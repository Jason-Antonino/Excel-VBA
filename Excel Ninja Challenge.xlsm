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1041" documentId="8_{FAC151B8-C412-4661-80DE-896FBE291673}" xr6:coauthVersionLast="46" xr6:coauthVersionMax="46" xr10:uidLastSave="{F4107A34-3D0A-4B92-997E-9A8B001611A7}"/>
  <bookViews>
    <workbookView xWindow="28680" yWindow="-120" windowWidth="29040" windowHeight="15840" tabRatio="269" activeTab="1" xr2:uid="{4EE4166E-FFDE-4045-BE4A-452AE43C29C1}"/>
  </bookViews>
  <sheets>
    <sheet name="Inputs" sheetId="3" r:id="rId1"/>
    <sheet name="Output" sheetId="4" r:id="rId2"/>
    <sheet name="Instructions" sheetId="2" r:id="rId3"/>
    <sheet name="Tables" sheetId="1" r:id="rId4"/>
  </sheets>
  <definedNames>
    <definedName name="Age_Decade">Tables!$A$10:$B$60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4" l="1"/>
  <c r="B4" i="4"/>
  <c r="C4" i="4"/>
  <c r="D4" i="4"/>
  <c r="A5" i="4"/>
  <c r="B5" i="4"/>
  <c r="C5" i="4"/>
  <c r="D5" i="4"/>
  <c r="A6" i="4"/>
  <c r="B6" i="4"/>
  <c r="C6" i="4"/>
  <c r="D6" i="4"/>
  <c r="A7" i="4"/>
  <c r="B7" i="4"/>
  <c r="C7" i="4"/>
  <c r="D7" i="4"/>
  <c r="A8" i="4"/>
  <c r="B8" i="4"/>
  <c r="C8" i="4"/>
  <c r="D8" i="4"/>
  <c r="A9" i="4"/>
  <c r="B9" i="4"/>
  <c r="C9" i="4"/>
  <c r="D9" i="4"/>
  <c r="A10" i="4"/>
  <c r="B10" i="4"/>
  <c r="C10" i="4"/>
  <c r="D10" i="4"/>
  <c r="A11" i="4"/>
  <c r="B11" i="4"/>
  <c r="C11" i="4"/>
  <c r="D11" i="4"/>
  <c r="A12" i="4"/>
  <c r="B12" i="4"/>
  <c r="C12" i="4"/>
  <c r="D12" i="4"/>
  <c r="A13" i="4"/>
  <c r="B13" i="4"/>
  <c r="C13" i="4"/>
  <c r="D13" i="4"/>
  <c r="A14" i="4"/>
  <c r="B14" i="4"/>
  <c r="C14" i="4"/>
  <c r="D14" i="4"/>
  <c r="A15" i="4"/>
  <c r="B15" i="4"/>
  <c r="C15" i="4"/>
  <c r="D15" i="4"/>
  <c r="A16" i="4"/>
  <c r="B16" i="4"/>
  <c r="C16" i="4"/>
  <c r="D16" i="4"/>
  <c r="A17" i="4"/>
  <c r="B17" i="4"/>
  <c r="C17" i="4"/>
  <c r="D17" i="4"/>
  <c r="A18" i="4"/>
  <c r="B18" i="4"/>
  <c r="C18" i="4"/>
  <c r="D18" i="4"/>
  <c r="A19" i="4"/>
  <c r="B19" i="4"/>
  <c r="C19" i="4"/>
  <c r="D19" i="4"/>
  <c r="A20" i="4"/>
  <c r="B20" i="4"/>
  <c r="C20" i="4"/>
  <c r="D20" i="4"/>
  <c r="A21" i="4"/>
  <c r="B21" i="4"/>
  <c r="C21" i="4"/>
  <c r="D21" i="4"/>
  <c r="A22" i="4"/>
  <c r="B22" i="4"/>
  <c r="C22" i="4"/>
  <c r="D22" i="4"/>
  <c r="A23" i="4"/>
  <c r="B23" i="4"/>
  <c r="C23" i="4"/>
  <c r="D23" i="4"/>
  <c r="A24" i="4"/>
  <c r="B24" i="4"/>
  <c r="C24" i="4"/>
  <c r="D24" i="4"/>
  <c r="A25" i="4"/>
  <c r="B25" i="4"/>
  <c r="C25" i="4"/>
  <c r="D25" i="4"/>
  <c r="A26" i="4"/>
  <c r="B26" i="4"/>
  <c r="C26" i="4"/>
  <c r="D26" i="4"/>
  <c r="A27" i="4"/>
  <c r="B27" i="4"/>
  <c r="C27" i="4"/>
  <c r="D27" i="4"/>
  <c r="A28" i="4"/>
  <c r="B28" i="4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C28" i="4"/>
  <c r="D28" i="4"/>
  <c r="A29" i="4"/>
  <c r="C29" i="4"/>
  <c r="D29" i="4"/>
  <c r="A30" i="4"/>
  <c r="C30" i="4"/>
  <c r="D30" i="4"/>
  <c r="A31" i="4"/>
  <c r="C31" i="4"/>
  <c r="D31" i="4"/>
  <c r="A32" i="4"/>
  <c r="C32" i="4"/>
  <c r="D32" i="4"/>
  <c r="A33" i="4"/>
  <c r="C33" i="4"/>
  <c r="D33" i="4"/>
  <c r="A34" i="4"/>
  <c r="C34" i="4"/>
  <c r="D34" i="4"/>
  <c r="A35" i="4"/>
  <c r="C35" i="4"/>
  <c r="D35" i="4"/>
  <c r="A36" i="4"/>
  <c r="C36" i="4"/>
  <c r="D36" i="4"/>
  <c r="A37" i="4"/>
  <c r="C37" i="4"/>
  <c r="D37" i="4"/>
  <c r="A38" i="4"/>
  <c r="C38" i="4"/>
  <c r="D38" i="4"/>
  <c r="A39" i="4"/>
  <c r="C39" i="4"/>
  <c r="D39" i="4"/>
  <c r="A40" i="4"/>
  <c r="C40" i="4"/>
  <c r="D40" i="4"/>
  <c r="A41" i="4"/>
  <c r="C41" i="4"/>
  <c r="D41" i="4"/>
  <c r="A42" i="4"/>
  <c r="C42" i="4"/>
  <c r="D42" i="4"/>
  <c r="A43" i="4"/>
  <c r="C43" i="4"/>
  <c r="D43" i="4"/>
  <c r="A44" i="4"/>
  <c r="C44" i="4"/>
  <c r="D44" i="4"/>
  <c r="A45" i="4"/>
  <c r="C45" i="4"/>
  <c r="D45" i="4"/>
  <c r="A46" i="4"/>
  <c r="C46" i="4"/>
  <c r="D46" i="4"/>
  <c r="D3" i="4"/>
  <c r="C3" i="4"/>
  <c r="B3" i="4"/>
  <c r="A3" i="4"/>
  <c r="C2" i="4"/>
  <c r="D2" i="4" s="1"/>
  <c r="C4" i="1"/>
  <c r="D4" i="1"/>
  <c r="E4" i="1"/>
  <c r="F4" i="1"/>
  <c r="B4" i="1"/>
</calcChain>
</file>

<file path=xl/sharedStrings.xml><?xml version="1.0" encoding="utf-8"?>
<sst xmlns="http://schemas.openxmlformats.org/spreadsheetml/2006/main" count="82" uniqueCount="26">
  <si>
    <t>Gender</t>
  </si>
  <si>
    <t>Age</t>
  </si>
  <si>
    <t>Male</t>
  </si>
  <si>
    <t>Female</t>
  </si>
  <si>
    <t>20s</t>
  </si>
  <si>
    <t>30s</t>
  </si>
  <si>
    <t>40s</t>
  </si>
  <si>
    <t>50s</t>
  </si>
  <si>
    <t>60s</t>
  </si>
  <si>
    <t>average claim</t>
  </si>
  <si>
    <t>The probability of making a claim is 50% more for those that are considered unhealthy.</t>
  </si>
  <si>
    <t xml:space="preserve">Claim Probabilities </t>
  </si>
  <si>
    <t>Claim Amounts</t>
  </si>
  <si>
    <t>Sex | Age</t>
  </si>
  <si>
    <t>Your task is to assist the insurance provider by calculating the projected claims for the full duration of the policy for any given policyholder.</t>
  </si>
  <si>
    <t>Your tool should be able to accept inputs about the policyholder (gender [M/F], age of the policyholder [20 to 69], and health condition [healthy/unhealthy])</t>
  </si>
  <si>
    <t>The output of your tool should be a projection of the expected claim amounts for the policyholder in Year 1, Year 2, Year 3, … etc. of the policy.</t>
  </si>
  <si>
    <r>
      <t>Note:</t>
    </r>
    <r>
      <rPr>
        <sz val="11"/>
        <color rgb="FF000000"/>
        <rFont val="Open Sans"/>
        <family val="2"/>
      </rPr>
      <t> Assume that a policyholder always purchases the policy on their birthday, so the policyholder will be the same age for the entire duration of each year.  For example, if a 25 year old purchases a policy on their 25th birthday, their age for Year 1 of the policy is 25, and their age for Year 2 of the policy is 26, etc..</t>
    </r>
  </si>
  <si>
    <t>Health</t>
  </si>
  <si>
    <t>In order to calculate the expected claim amount in a month for a specific policy holder, you should use the following formula:</t>
  </si>
  <si>
    <t>(Average claim amount) x (probability of making a claim in that month)</t>
  </si>
  <si>
    <t>Policy Year</t>
  </si>
  <si>
    <t>Expected Claims</t>
  </si>
  <si>
    <t>Age Range</t>
  </si>
  <si>
    <t>Decade</t>
  </si>
  <si>
    <t>Healthy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</si>
</sst>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$&quot;#,##0_);[Red]\(&quot;$&quot;#,##0\)"/>
    <numFmt numFmtId="8" formatCode="&quot;$&quot;#,##0.00_);[Red]\(&quot;$&quot;#,##0.00\)"/>
    <numFmt numFmtId="164" formatCode="0.00000000000000000"/>
    <numFmt numFmtId="165" formatCode="0.000"/>
  </numFmts>
  <fonts count="15" x14ac:knownFonts="1">
    <font>
      <sz val="11"/>
      <color theme="1"/>
      <name val="Calibri"/>
      <family val="2"/>
      <scheme val="minor"/>
    </font>
    <font>
      <sz val="13"/>
      <color rgb="FF000000"/>
      <name val="Open Sans"/>
      <family val="2"/>
    </font>
    <font>
      <b/>
      <sz val="13"/>
      <color rgb="FF000000"/>
      <name val="Open Sans"/>
      <family val="2"/>
    </font>
    <font>
      <b/>
      <sz val="11"/>
      <color rgb="FF000000"/>
      <name val="Open Sans"/>
      <family val="2"/>
    </font>
    <font>
      <sz val="12"/>
      <color theme="1"/>
      <name val="Open Sans"/>
      <family val="2"/>
    </font>
    <font>
      <sz val="14"/>
      <color theme="1"/>
      <name val="Open Sans"/>
      <family val="2"/>
    </font>
    <font>
      <b/>
      <sz val="12"/>
      <color theme="1"/>
      <name val="Open Sans"/>
      <family val="2"/>
    </font>
    <font>
      <sz val="11"/>
      <color theme="1"/>
      <name val="Open Sans"/>
      <family val="2"/>
    </font>
    <font>
      <b/>
      <sz val="11"/>
      <color theme="1"/>
      <name val="Open Sans"/>
      <family val="2"/>
    </font>
    <font>
      <sz val="10"/>
      <color theme="1"/>
      <name val="Open Sans"/>
      <family val="2"/>
    </font>
    <font>
      <b/>
      <sz val="10"/>
      <color theme="1"/>
      <name val="Open Sans"/>
      <family val="2"/>
    </font>
    <font>
      <sz val="11"/>
      <color rgb="FF000000"/>
      <name val="Open Sans"/>
      <family val="2"/>
    </font>
    <font>
      <sz val="11"/>
      <color theme="4"/>
      <name val="Open Sans"/>
      <family val="2"/>
    </font>
    <font>
      <sz val="12"/>
      <color rgb="FF000000"/>
      <name val="Open Sans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2" fillId="2" borderId="1" xfId="0" applyFont="1" applyFill="1" applyBorder="1" applyAlignment="1">
      <alignment horizontal="left" vertical="center" wrapText="1" indent="2"/>
    </xf>
    <xf numFmtId="10" fontId="1" fillId="2" borderId="1" xfId="0" applyNumberFormat="1" applyFont="1" applyFill="1" applyBorder="1" applyAlignment="1">
      <alignment horizontal="left" vertical="center" wrapText="1" indent="2"/>
    </xf>
    <xf numFmtId="0" fontId="6" fillId="0" borderId="1" xfId="0" applyFont="1" applyBorder="1" applyAlignment="1">
      <alignment horizontal="right"/>
    </xf>
    <xf numFmtId="6" fontId="9" fillId="0" borderId="1" xfId="0" applyNumberFormat="1" applyFont="1" applyFill="1" applyBorder="1" applyAlignment="1"/>
    <xf numFmtId="0" fontId="9" fillId="0" borderId="1" xfId="0" applyFont="1" applyFill="1" applyBorder="1" applyAlignment="1"/>
    <xf numFmtId="6" fontId="9" fillId="0" borderId="1" xfId="0" applyNumberFormat="1" applyFont="1" applyFill="1" applyBorder="1"/>
    <xf numFmtId="0" fontId="11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7" fillId="0" borderId="0" xfId="0" applyFont="1"/>
    <xf numFmtId="0" fontId="10" fillId="0" borderId="1" xfId="0" applyFont="1" applyFill="1" applyBorder="1" applyAlignment="1">
      <alignment horizontal="left" indent="1"/>
    </xf>
    <xf numFmtId="0" fontId="7" fillId="0" borderId="0" xfId="0" applyFont="1" applyFill="1" applyBorder="1" applyAlignment="1"/>
    <xf numFmtId="0" fontId="7" fillId="0" borderId="0" xfId="0" applyFont="1" applyFill="1" applyBorder="1"/>
    <xf numFmtId="165" fontId="7" fillId="0" borderId="0" xfId="0" applyNumberFormat="1" applyFont="1" applyFill="1" applyBorder="1"/>
    <xf numFmtId="0" fontId="9" fillId="0" borderId="0" xfId="0" applyFont="1"/>
    <xf numFmtId="2" fontId="7" fillId="0" borderId="0" xfId="0" applyNumberFormat="1" applyFont="1"/>
    <xf numFmtId="164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1" xfId="0" applyFont="1" applyBorder="1"/>
    <xf numFmtId="0" fontId="12" fillId="0" borderId="1" xfId="0" applyFont="1" applyBorder="1" applyAlignment="1">
      <alignment horizontal="left"/>
    </xf>
    <xf numFmtId="0" fontId="12" fillId="0" borderId="1" xfId="0" applyFont="1" applyBorder="1"/>
    <xf numFmtId="0" fontId="5" fillId="4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8" fontId="7" fillId="0" borderId="0" xfId="0" applyNumberFormat="1" applyFont="1" applyProtection="1">
      <protection locked="0"/>
    </xf>
    <xf numFmtId="0" fontId="8" fillId="0" borderId="0" xfId="0" applyFont="1" applyAlignment="1" applyProtection="1">
      <alignment horizontal="center"/>
    </xf>
    <xf numFmtId="0" fontId="8" fillId="0" borderId="0" xfId="0" applyFont="1" applyProtection="1"/>
    <xf numFmtId="0" fontId="7" fillId="0" borderId="0" xfId="0" applyFont="1" applyAlignment="1" applyProtection="1">
      <alignment horizontal="center"/>
    </xf>
    <xf numFmtId="8" fontId="7" fillId="0" borderId="0" xfId="0" applyNumberFormat="1" applyFo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0</xdr:row>
          <xdr:rowOff>47625</xdr:rowOff>
        </xdr:from>
        <xdr:to>
          <xdr:col>3</xdr:col>
          <xdr:colOff>390525</xdr:colOff>
          <xdr:row>2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Click Me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Open Sans"/>
                  <a:ea typeface="Open Sans"/>
                  <a:cs typeface="Open Sans"/>
                </a:rPr>
                <a:t>1st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19050</xdr:rowOff>
        </xdr:from>
        <xdr:to>
          <xdr:col>5</xdr:col>
          <xdr:colOff>19050</xdr:colOff>
          <xdr:row>2</xdr:row>
          <xdr:rowOff>209550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3</xdr:row>
          <xdr:rowOff>200025</xdr:rowOff>
        </xdr:from>
        <xdr:to>
          <xdr:col>7</xdr:col>
          <xdr:colOff>9525</xdr:colOff>
          <xdr:row>5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600075</xdr:colOff>
          <xdr:row>0</xdr:row>
          <xdr:rowOff>57150</xdr:rowOff>
        </xdr:from>
        <xdr:to>
          <xdr:col>7</xdr:col>
          <xdr:colOff>19050</xdr:colOff>
          <xdr:row>2</xdr:row>
          <xdr:rowOff>171450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A2C167-5288-4BD6-950D-ACA6E3FE686C}">
  <sheetPr codeName="Sheet1"/>
  <dimension ref="A1:B5"/>
  <sheetViews>
    <sheetView zoomScale="200" zoomScaleNormal="200" workbookViewId="0">
      <selection activeCell="B1" sqref="B1"/>
    </sheetView>
  </sheetViews>
  <sheetFormatPr defaultRowHeight="16.5" x14ac:dyDescent="0.3"/>
  <cols>
    <col min="1" max="2" width="11.42578125" style="9" bestFit="1" customWidth="1"/>
    <col min="3" max="16384" width="9.140625" style="9"/>
  </cols>
  <sheetData>
    <row r="1" spans="1:2" x14ac:dyDescent="0.3">
      <c r="A1" s="19" t="s">
        <v>1</v>
      </c>
      <c r="B1" s="20">
        <v>25</v>
      </c>
    </row>
    <row r="2" spans="1:2" x14ac:dyDescent="0.3">
      <c r="A2" s="19" t="s">
        <v>0</v>
      </c>
      <c r="B2" s="21" t="s">
        <v>2</v>
      </c>
    </row>
    <row r="3" spans="1:2" x14ac:dyDescent="0.3">
      <c r="A3" s="19" t="s">
        <v>18</v>
      </c>
      <c r="B3" s="21" t="s">
        <v>25</v>
      </c>
    </row>
    <row r="5" spans="1:2" x14ac:dyDescent="0.3">
      <c r="B5" s="17"/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InputBoxes">
                <anchor moveWithCells="1" sizeWithCells="1">
                  <from>
                    <xdr:col>2</xdr:col>
                    <xdr:colOff>161925</xdr:colOff>
                    <xdr:row>0</xdr:row>
                    <xdr:rowOff>47625</xdr:rowOff>
                  </from>
                  <to>
                    <xdr:col>3</xdr:col>
                    <xdr:colOff>390525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ClearTable">
                <anchor moveWithCells="1" sizeWithCells="1">
                  <from>
                    <xdr:col>3</xdr:col>
                    <xdr:colOff>600075</xdr:colOff>
                    <xdr:row>0</xdr:row>
                    <xdr:rowOff>19050</xdr:rowOff>
                  </from>
                  <to>
                    <xdr:col>5</xdr:col>
                    <xdr:colOff>19050</xdr:colOff>
                    <xdr:row>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E7C0-CDAE-49F2-961C-C910BF10C7B5}">
  <sheetPr codeName="Sheet4"/>
  <dimension ref="A1:G51"/>
  <sheetViews>
    <sheetView tabSelected="1" zoomScaleNormal="100" workbookViewId="0"/>
  </sheetViews>
  <sheetFormatPr defaultRowHeight="16.5" x14ac:dyDescent="0.3"/>
  <cols>
    <col min="1" max="1" width="5.140625" style="25" bestFit="1" customWidth="1"/>
    <col min="2" max="2" width="13.140625" style="25" bestFit="1" customWidth="1"/>
    <col min="3" max="3" width="13.140625" style="25" customWidth="1"/>
    <col min="4" max="4" width="19.140625" style="24" bestFit="1" customWidth="1"/>
    <col min="5" max="16384" width="9.140625" style="24"/>
  </cols>
  <sheetData>
    <row r="1" spans="1:7" x14ac:dyDescent="0.3">
      <c r="A1" s="27" t="s">
        <v>1</v>
      </c>
      <c r="B1" s="27" t="s">
        <v>21</v>
      </c>
      <c r="C1" s="27" t="s">
        <v>23</v>
      </c>
      <c r="D1" s="28" t="s">
        <v>22</v>
      </c>
    </row>
    <row r="2" spans="1:7" x14ac:dyDescent="0.3">
      <c r="A2" s="29">
        <v>25</v>
      </c>
      <c r="B2" s="29">
        <v>1</v>
      </c>
      <c r="C2" s="29" t="str">
        <f t="shared" ref="C2:C3" si="0">VLOOKUP(A2,Age_Decade,2,FALSE)</f>
        <v>20s</v>
      </c>
      <c r="D2" s="30">
        <f>IF(Inputs!$B$2="Male",(HLOOKUP(Output!$C2,Tables!$B$2:$F$4,2,FALSE)*Tables!$I$2*12), (HLOOKUP(Output!$C2,Tables!$B$2:$F$4,3,FALSE)*Tables!$I$3*12)) * IF(Inputs!$B$3="Unhealthy",1.5,1)</f>
        <v>82.44</v>
      </c>
      <c r="G2" s="25"/>
    </row>
    <row r="3" spans="1:7" x14ac:dyDescent="0.3">
      <c r="A3" s="29">
        <f>A2+1</f>
        <v>26</v>
      </c>
      <c r="B3" s="29">
        <f>B2+1</f>
        <v>2</v>
      </c>
      <c r="C3" s="29" t="str">
        <f t="shared" si="0"/>
        <v>20s</v>
      </c>
      <c r="D3" s="30">
        <f>IF(Inputs!$B$2="Male",(HLOOKUP(Output!$C3,Tables!$B$2:$F$4,2,FALSE)*Tables!$I$2*12), (HLOOKUP(Output!$C3,Tables!$B$2:$F$4,3,FALSE)*Tables!$I$3*12)) * IF(Inputs!$B$3="Unhealthy",1.5,1)</f>
        <v>82.44</v>
      </c>
    </row>
    <row r="4" spans="1:7" x14ac:dyDescent="0.3">
      <c r="A4" s="29">
        <f t="shared" ref="A4:A46" si="1">A3+1</f>
        <v>27</v>
      </c>
      <c r="B4" s="29">
        <f t="shared" ref="B4:B46" si="2">B3+1</f>
        <v>3</v>
      </c>
      <c r="C4" s="29" t="str">
        <f t="shared" ref="C4:C46" si="3">VLOOKUP(A4,Age_Decade,2,FALSE)</f>
        <v>20s</v>
      </c>
      <c r="D4" s="30">
        <f>IF(Inputs!$B$2="Male",(HLOOKUP(Output!$C4,Tables!$B$2:$F$4,2,FALSE)*Tables!$I$2*12), (HLOOKUP(Output!$C4,Tables!$B$2:$F$4,3,FALSE)*Tables!$I$3*12)) * IF(Inputs!$B$3="Unhealthy",1.5,1)</f>
        <v>82.44</v>
      </c>
    </row>
    <row r="5" spans="1:7" x14ac:dyDescent="0.3">
      <c r="A5" s="29">
        <f t="shared" si="1"/>
        <v>28</v>
      </c>
      <c r="B5" s="29">
        <f t="shared" si="2"/>
        <v>4</v>
      </c>
      <c r="C5" s="29" t="str">
        <f t="shared" si="3"/>
        <v>20s</v>
      </c>
      <c r="D5" s="30">
        <f>IF(Inputs!$B$2="Male",(HLOOKUP(Output!$C5,Tables!$B$2:$F$4,2,FALSE)*Tables!$I$2*12), (HLOOKUP(Output!$C5,Tables!$B$2:$F$4,3,FALSE)*Tables!$I$3*12)) * IF(Inputs!$B$3="Unhealthy",1.5,1)</f>
        <v>82.44</v>
      </c>
    </row>
    <row r="6" spans="1:7" x14ac:dyDescent="0.3">
      <c r="A6" s="29">
        <f t="shared" si="1"/>
        <v>29</v>
      </c>
      <c r="B6" s="29">
        <f t="shared" si="2"/>
        <v>5</v>
      </c>
      <c r="C6" s="29" t="str">
        <f t="shared" si="3"/>
        <v>20s</v>
      </c>
      <c r="D6" s="30">
        <f>IF(Inputs!$B$2="Male",(HLOOKUP(Output!$C6,Tables!$B$2:$F$4,2,FALSE)*Tables!$I$2*12), (HLOOKUP(Output!$C6,Tables!$B$2:$F$4,3,FALSE)*Tables!$I$3*12)) * IF(Inputs!$B$3="Unhealthy",1.5,1)</f>
        <v>82.44</v>
      </c>
    </row>
    <row r="7" spans="1:7" x14ac:dyDescent="0.3">
      <c r="A7" s="29">
        <f t="shared" si="1"/>
        <v>30</v>
      </c>
      <c r="B7" s="29">
        <f t="shared" si="2"/>
        <v>6</v>
      </c>
      <c r="C7" s="29" t="str">
        <f t="shared" si="3"/>
        <v>30s</v>
      </c>
      <c r="D7" s="30">
        <f>IF(Inputs!$B$2="Male",(HLOOKUP(Output!$C7,Tables!$B$2:$F$4,2,FALSE)*Tables!$I$2*12), (HLOOKUP(Output!$C7,Tables!$B$2:$F$4,3,FALSE)*Tables!$I$3*12)) * IF(Inputs!$B$3="Unhealthy",1.5,1)</f>
        <v>123.66</v>
      </c>
    </row>
    <row r="8" spans="1:7" x14ac:dyDescent="0.3">
      <c r="A8" s="29">
        <f t="shared" si="1"/>
        <v>31</v>
      </c>
      <c r="B8" s="29">
        <f t="shared" si="2"/>
        <v>7</v>
      </c>
      <c r="C8" s="29" t="str">
        <f t="shared" si="3"/>
        <v>30s</v>
      </c>
      <c r="D8" s="30">
        <f>IF(Inputs!$B$2="Male",(HLOOKUP(Output!$C8,Tables!$B$2:$F$4,2,FALSE)*Tables!$I$2*12), (HLOOKUP(Output!$C8,Tables!$B$2:$F$4,3,FALSE)*Tables!$I$3*12)) * IF(Inputs!$B$3="Unhealthy",1.5,1)</f>
        <v>123.66</v>
      </c>
    </row>
    <row r="9" spans="1:7" x14ac:dyDescent="0.3">
      <c r="A9" s="29">
        <f t="shared" si="1"/>
        <v>32</v>
      </c>
      <c r="B9" s="29">
        <f t="shared" si="2"/>
        <v>8</v>
      </c>
      <c r="C9" s="29" t="str">
        <f t="shared" si="3"/>
        <v>30s</v>
      </c>
      <c r="D9" s="30">
        <f>IF(Inputs!$B$2="Male",(HLOOKUP(Output!$C9,Tables!$B$2:$F$4,2,FALSE)*Tables!$I$2*12), (HLOOKUP(Output!$C9,Tables!$B$2:$F$4,3,FALSE)*Tables!$I$3*12)) * IF(Inputs!$B$3="Unhealthy",1.5,1)</f>
        <v>123.66</v>
      </c>
    </row>
    <row r="10" spans="1:7" x14ac:dyDescent="0.3">
      <c r="A10" s="29">
        <f t="shared" si="1"/>
        <v>33</v>
      </c>
      <c r="B10" s="29">
        <f t="shared" si="2"/>
        <v>9</v>
      </c>
      <c r="C10" s="29" t="str">
        <f t="shared" si="3"/>
        <v>30s</v>
      </c>
      <c r="D10" s="30">
        <f>IF(Inputs!$B$2="Male",(HLOOKUP(Output!$C10,Tables!$B$2:$F$4,2,FALSE)*Tables!$I$2*12), (HLOOKUP(Output!$C10,Tables!$B$2:$F$4,3,FALSE)*Tables!$I$3*12)) * IF(Inputs!$B$3="Unhealthy",1.5,1)</f>
        <v>123.66</v>
      </c>
    </row>
    <row r="11" spans="1:7" x14ac:dyDescent="0.3">
      <c r="A11" s="29">
        <f t="shared" si="1"/>
        <v>34</v>
      </c>
      <c r="B11" s="29">
        <f t="shared" si="2"/>
        <v>10</v>
      </c>
      <c r="C11" s="29" t="str">
        <f t="shared" si="3"/>
        <v>30s</v>
      </c>
      <c r="D11" s="30">
        <f>IF(Inputs!$B$2="Male",(HLOOKUP(Output!$C11,Tables!$B$2:$F$4,2,FALSE)*Tables!$I$2*12), (HLOOKUP(Output!$C11,Tables!$B$2:$F$4,3,FALSE)*Tables!$I$3*12)) * IF(Inputs!$B$3="Unhealthy",1.5,1)</f>
        <v>123.66</v>
      </c>
    </row>
    <row r="12" spans="1:7" x14ac:dyDescent="0.3">
      <c r="A12" s="29">
        <f t="shared" si="1"/>
        <v>35</v>
      </c>
      <c r="B12" s="29">
        <f t="shared" si="2"/>
        <v>11</v>
      </c>
      <c r="C12" s="29" t="str">
        <f t="shared" si="3"/>
        <v>30s</v>
      </c>
      <c r="D12" s="30">
        <f>IF(Inputs!$B$2="Male",(HLOOKUP(Output!$C12,Tables!$B$2:$F$4,2,FALSE)*Tables!$I$2*12), (HLOOKUP(Output!$C12,Tables!$B$2:$F$4,3,FALSE)*Tables!$I$3*12)) * IF(Inputs!$B$3="Unhealthy",1.5,1)</f>
        <v>123.66</v>
      </c>
    </row>
    <row r="13" spans="1:7" x14ac:dyDescent="0.3">
      <c r="A13" s="29">
        <f t="shared" si="1"/>
        <v>36</v>
      </c>
      <c r="B13" s="29">
        <f t="shared" si="2"/>
        <v>12</v>
      </c>
      <c r="C13" s="29" t="str">
        <f t="shared" si="3"/>
        <v>30s</v>
      </c>
      <c r="D13" s="30">
        <f>IF(Inputs!$B$2="Male",(HLOOKUP(Output!$C13,Tables!$B$2:$F$4,2,FALSE)*Tables!$I$2*12), (HLOOKUP(Output!$C13,Tables!$B$2:$F$4,3,FALSE)*Tables!$I$3*12)) * IF(Inputs!$B$3="Unhealthy",1.5,1)</f>
        <v>123.66</v>
      </c>
    </row>
    <row r="14" spans="1:7" x14ac:dyDescent="0.3">
      <c r="A14" s="29">
        <f t="shared" si="1"/>
        <v>37</v>
      </c>
      <c r="B14" s="29">
        <f t="shared" si="2"/>
        <v>13</v>
      </c>
      <c r="C14" s="29" t="str">
        <f t="shared" si="3"/>
        <v>30s</v>
      </c>
      <c r="D14" s="30">
        <f>IF(Inputs!$B$2="Male",(HLOOKUP(Output!$C14,Tables!$B$2:$F$4,2,FALSE)*Tables!$I$2*12), (HLOOKUP(Output!$C14,Tables!$B$2:$F$4,3,FALSE)*Tables!$I$3*12)) * IF(Inputs!$B$3="Unhealthy",1.5,1)</f>
        <v>123.66</v>
      </c>
    </row>
    <row r="15" spans="1:7" x14ac:dyDescent="0.3">
      <c r="A15" s="29">
        <f t="shared" si="1"/>
        <v>38</v>
      </c>
      <c r="B15" s="29">
        <f t="shared" si="2"/>
        <v>14</v>
      </c>
      <c r="C15" s="29" t="str">
        <f t="shared" si="3"/>
        <v>30s</v>
      </c>
      <c r="D15" s="30">
        <f>IF(Inputs!$B$2="Male",(HLOOKUP(Output!$C15,Tables!$B$2:$F$4,2,FALSE)*Tables!$I$2*12), (HLOOKUP(Output!$C15,Tables!$B$2:$F$4,3,FALSE)*Tables!$I$3*12)) * IF(Inputs!$B$3="Unhealthy",1.5,1)</f>
        <v>123.66</v>
      </c>
    </row>
    <row r="16" spans="1:7" x14ac:dyDescent="0.3">
      <c r="A16" s="29">
        <f t="shared" si="1"/>
        <v>39</v>
      </c>
      <c r="B16" s="29">
        <f t="shared" si="2"/>
        <v>15</v>
      </c>
      <c r="C16" s="29" t="str">
        <f t="shared" si="3"/>
        <v>30s</v>
      </c>
      <c r="D16" s="30">
        <f>IF(Inputs!$B$2="Male",(HLOOKUP(Output!$C16,Tables!$B$2:$F$4,2,FALSE)*Tables!$I$2*12), (HLOOKUP(Output!$C16,Tables!$B$2:$F$4,3,FALSE)*Tables!$I$3*12)) * IF(Inputs!$B$3="Unhealthy",1.5,1)</f>
        <v>123.66</v>
      </c>
    </row>
    <row r="17" spans="1:4" x14ac:dyDescent="0.3">
      <c r="A17" s="29">
        <f t="shared" si="1"/>
        <v>40</v>
      </c>
      <c r="B17" s="29">
        <f t="shared" si="2"/>
        <v>16</v>
      </c>
      <c r="C17" s="29" t="str">
        <f t="shared" si="3"/>
        <v>40s</v>
      </c>
      <c r="D17" s="30">
        <f>IF(Inputs!$B$2="Male",(HLOOKUP(Output!$C17,Tables!$B$2:$F$4,2,FALSE)*Tables!$I$2*12), (HLOOKUP(Output!$C17,Tables!$B$2:$F$4,3,FALSE)*Tables!$I$3*12)) * IF(Inputs!$B$3="Unhealthy",1.5,1)</f>
        <v>247.32</v>
      </c>
    </row>
    <row r="18" spans="1:4" x14ac:dyDescent="0.3">
      <c r="A18" s="29">
        <f t="shared" si="1"/>
        <v>41</v>
      </c>
      <c r="B18" s="29">
        <f t="shared" si="2"/>
        <v>17</v>
      </c>
      <c r="C18" s="29" t="str">
        <f t="shared" si="3"/>
        <v>40s</v>
      </c>
      <c r="D18" s="30">
        <f>IF(Inputs!$B$2="Male",(HLOOKUP(Output!$C18,Tables!$B$2:$F$4,2,FALSE)*Tables!$I$2*12), (HLOOKUP(Output!$C18,Tables!$B$2:$F$4,3,FALSE)*Tables!$I$3*12)) * IF(Inputs!$B$3="Unhealthy",1.5,1)</f>
        <v>247.32</v>
      </c>
    </row>
    <row r="19" spans="1:4" x14ac:dyDescent="0.3">
      <c r="A19" s="29">
        <f t="shared" si="1"/>
        <v>42</v>
      </c>
      <c r="B19" s="29">
        <f t="shared" si="2"/>
        <v>18</v>
      </c>
      <c r="C19" s="29" t="str">
        <f t="shared" si="3"/>
        <v>40s</v>
      </c>
      <c r="D19" s="30">
        <f>IF(Inputs!$B$2="Male",(HLOOKUP(Output!$C19,Tables!$B$2:$F$4,2,FALSE)*Tables!$I$2*12), (HLOOKUP(Output!$C19,Tables!$B$2:$F$4,3,FALSE)*Tables!$I$3*12)) * IF(Inputs!$B$3="Unhealthy",1.5,1)</f>
        <v>247.32</v>
      </c>
    </row>
    <row r="20" spans="1:4" x14ac:dyDescent="0.3">
      <c r="A20" s="29">
        <f t="shared" si="1"/>
        <v>43</v>
      </c>
      <c r="B20" s="29">
        <f t="shared" si="2"/>
        <v>19</v>
      </c>
      <c r="C20" s="29" t="str">
        <f t="shared" si="3"/>
        <v>40s</v>
      </c>
      <c r="D20" s="30">
        <f>IF(Inputs!$B$2="Male",(HLOOKUP(Output!$C20,Tables!$B$2:$F$4,2,FALSE)*Tables!$I$2*12), (HLOOKUP(Output!$C20,Tables!$B$2:$F$4,3,FALSE)*Tables!$I$3*12)) * IF(Inputs!$B$3="Unhealthy",1.5,1)</f>
        <v>247.32</v>
      </c>
    </row>
    <row r="21" spans="1:4" x14ac:dyDescent="0.3">
      <c r="A21" s="29">
        <f t="shared" si="1"/>
        <v>44</v>
      </c>
      <c r="B21" s="29">
        <f t="shared" si="2"/>
        <v>20</v>
      </c>
      <c r="C21" s="29" t="str">
        <f t="shared" si="3"/>
        <v>40s</v>
      </c>
      <c r="D21" s="30">
        <f>IF(Inputs!$B$2="Male",(HLOOKUP(Output!$C21,Tables!$B$2:$F$4,2,FALSE)*Tables!$I$2*12), (HLOOKUP(Output!$C21,Tables!$B$2:$F$4,3,FALSE)*Tables!$I$3*12)) * IF(Inputs!$B$3="Unhealthy",1.5,1)</f>
        <v>247.32</v>
      </c>
    </row>
    <row r="22" spans="1:4" x14ac:dyDescent="0.3">
      <c r="A22" s="29">
        <f t="shared" si="1"/>
        <v>45</v>
      </c>
      <c r="B22" s="29">
        <f t="shared" si="2"/>
        <v>21</v>
      </c>
      <c r="C22" s="29" t="str">
        <f t="shared" si="3"/>
        <v>40s</v>
      </c>
      <c r="D22" s="30">
        <f>IF(Inputs!$B$2="Male",(HLOOKUP(Output!$C22,Tables!$B$2:$F$4,2,FALSE)*Tables!$I$2*12), (HLOOKUP(Output!$C22,Tables!$B$2:$F$4,3,FALSE)*Tables!$I$3*12)) * IF(Inputs!$B$3="Unhealthy",1.5,1)</f>
        <v>247.32</v>
      </c>
    </row>
    <row r="23" spans="1:4" x14ac:dyDescent="0.3">
      <c r="A23" s="29">
        <f t="shared" si="1"/>
        <v>46</v>
      </c>
      <c r="B23" s="29">
        <f t="shared" si="2"/>
        <v>22</v>
      </c>
      <c r="C23" s="29" t="str">
        <f t="shared" si="3"/>
        <v>40s</v>
      </c>
      <c r="D23" s="30">
        <f>IF(Inputs!$B$2="Male",(HLOOKUP(Output!$C23,Tables!$B$2:$F$4,2,FALSE)*Tables!$I$2*12), (HLOOKUP(Output!$C23,Tables!$B$2:$F$4,3,FALSE)*Tables!$I$3*12)) * IF(Inputs!$B$3="Unhealthy",1.5,1)</f>
        <v>247.32</v>
      </c>
    </row>
    <row r="24" spans="1:4" x14ac:dyDescent="0.3">
      <c r="A24" s="29">
        <f t="shared" si="1"/>
        <v>47</v>
      </c>
      <c r="B24" s="29">
        <f t="shared" si="2"/>
        <v>23</v>
      </c>
      <c r="C24" s="29" t="str">
        <f t="shared" si="3"/>
        <v>40s</v>
      </c>
      <c r="D24" s="30">
        <f>IF(Inputs!$B$2="Male",(HLOOKUP(Output!$C24,Tables!$B$2:$F$4,2,FALSE)*Tables!$I$2*12), (HLOOKUP(Output!$C24,Tables!$B$2:$F$4,3,FALSE)*Tables!$I$3*12)) * IF(Inputs!$B$3="Unhealthy",1.5,1)</f>
        <v>247.32</v>
      </c>
    </row>
    <row r="25" spans="1:4" x14ac:dyDescent="0.3">
      <c r="A25" s="29">
        <f t="shared" si="1"/>
        <v>48</v>
      </c>
      <c r="B25" s="29">
        <f t="shared" si="2"/>
        <v>24</v>
      </c>
      <c r="C25" s="29" t="str">
        <f t="shared" si="3"/>
        <v>40s</v>
      </c>
      <c r="D25" s="30">
        <f>IF(Inputs!$B$2="Male",(HLOOKUP(Output!$C25,Tables!$B$2:$F$4,2,FALSE)*Tables!$I$2*12), (HLOOKUP(Output!$C25,Tables!$B$2:$F$4,3,FALSE)*Tables!$I$3*12)) * IF(Inputs!$B$3="Unhealthy",1.5,1)</f>
        <v>247.32</v>
      </c>
    </row>
    <row r="26" spans="1:4" x14ac:dyDescent="0.3">
      <c r="A26" s="29">
        <f t="shared" si="1"/>
        <v>49</v>
      </c>
      <c r="B26" s="29">
        <f t="shared" si="2"/>
        <v>25</v>
      </c>
      <c r="C26" s="29" t="str">
        <f t="shared" si="3"/>
        <v>40s</v>
      </c>
      <c r="D26" s="30">
        <f>IF(Inputs!$B$2="Male",(HLOOKUP(Output!$C26,Tables!$B$2:$F$4,2,FALSE)*Tables!$I$2*12), (HLOOKUP(Output!$C26,Tables!$B$2:$F$4,3,FALSE)*Tables!$I$3*12)) * IF(Inputs!$B$3="Unhealthy",1.5,1)</f>
        <v>247.32</v>
      </c>
    </row>
    <row r="27" spans="1:4" x14ac:dyDescent="0.3">
      <c r="A27" s="29">
        <f t="shared" si="1"/>
        <v>50</v>
      </c>
      <c r="B27" s="29">
        <f t="shared" si="2"/>
        <v>26</v>
      </c>
      <c r="C27" s="29" t="str">
        <f t="shared" si="3"/>
        <v>50s</v>
      </c>
      <c r="D27" s="30">
        <f>IF(Inputs!$B$2="Male",(HLOOKUP(Output!$C27,Tables!$B$2:$F$4,2,FALSE)*Tables!$I$2*12), (HLOOKUP(Output!$C27,Tables!$B$2:$F$4,3,FALSE)*Tables!$I$3*12)) * IF(Inputs!$B$3="Unhealthy",1.5,1)</f>
        <v>412.20000000000005</v>
      </c>
    </row>
    <row r="28" spans="1:4" x14ac:dyDescent="0.3">
      <c r="A28" s="29">
        <f t="shared" si="1"/>
        <v>51</v>
      </c>
      <c r="B28" s="29">
        <f t="shared" si="2"/>
        <v>27</v>
      </c>
      <c r="C28" s="29" t="str">
        <f t="shared" si="3"/>
        <v>50s</v>
      </c>
      <c r="D28" s="30">
        <f>IF(Inputs!$B$2="Male",(HLOOKUP(Output!$C28,Tables!$B$2:$F$4,2,FALSE)*Tables!$I$2*12), (HLOOKUP(Output!$C28,Tables!$B$2:$F$4,3,FALSE)*Tables!$I$3*12)) * IF(Inputs!$B$3="Unhealthy",1.5,1)</f>
        <v>412.20000000000005</v>
      </c>
    </row>
    <row r="29" spans="1:4" x14ac:dyDescent="0.3">
      <c r="A29" s="29">
        <f t="shared" si="1"/>
        <v>52</v>
      </c>
      <c r="B29" s="29">
        <f t="shared" si="2"/>
        <v>28</v>
      </c>
      <c r="C29" s="29" t="str">
        <f t="shared" si="3"/>
        <v>50s</v>
      </c>
      <c r="D29" s="30">
        <f>IF(Inputs!$B$2="Male",(HLOOKUP(Output!$C29,Tables!$B$2:$F$4,2,FALSE)*Tables!$I$2*12), (HLOOKUP(Output!$C29,Tables!$B$2:$F$4,3,FALSE)*Tables!$I$3*12)) * IF(Inputs!$B$3="Unhealthy",1.5,1)</f>
        <v>412.20000000000005</v>
      </c>
    </row>
    <row r="30" spans="1:4" x14ac:dyDescent="0.3">
      <c r="A30" s="29">
        <f t="shared" si="1"/>
        <v>53</v>
      </c>
      <c r="B30" s="29">
        <f t="shared" si="2"/>
        <v>29</v>
      </c>
      <c r="C30" s="29" t="str">
        <f t="shared" si="3"/>
        <v>50s</v>
      </c>
      <c r="D30" s="30">
        <f>IF(Inputs!$B$2="Male",(HLOOKUP(Output!$C30,Tables!$B$2:$F$4,2,FALSE)*Tables!$I$2*12), (HLOOKUP(Output!$C30,Tables!$B$2:$F$4,3,FALSE)*Tables!$I$3*12)) * IF(Inputs!$B$3="Unhealthy",1.5,1)</f>
        <v>412.20000000000005</v>
      </c>
    </row>
    <row r="31" spans="1:4" x14ac:dyDescent="0.3">
      <c r="A31" s="29">
        <f t="shared" si="1"/>
        <v>54</v>
      </c>
      <c r="B31" s="29">
        <f t="shared" si="2"/>
        <v>30</v>
      </c>
      <c r="C31" s="29" t="str">
        <f t="shared" si="3"/>
        <v>50s</v>
      </c>
      <c r="D31" s="30">
        <f>IF(Inputs!$B$2="Male",(HLOOKUP(Output!$C31,Tables!$B$2:$F$4,2,FALSE)*Tables!$I$2*12), (HLOOKUP(Output!$C31,Tables!$B$2:$F$4,3,FALSE)*Tables!$I$3*12)) * IF(Inputs!$B$3="Unhealthy",1.5,1)</f>
        <v>412.20000000000005</v>
      </c>
    </row>
    <row r="32" spans="1:4" x14ac:dyDescent="0.3">
      <c r="A32" s="29">
        <f t="shared" si="1"/>
        <v>55</v>
      </c>
      <c r="B32" s="29">
        <f t="shared" si="2"/>
        <v>31</v>
      </c>
      <c r="C32" s="29" t="str">
        <f t="shared" si="3"/>
        <v>50s</v>
      </c>
      <c r="D32" s="30">
        <f>IF(Inputs!$B$2="Male",(HLOOKUP(Output!$C32,Tables!$B$2:$F$4,2,FALSE)*Tables!$I$2*12), (HLOOKUP(Output!$C32,Tables!$B$2:$F$4,3,FALSE)*Tables!$I$3*12)) * IF(Inputs!$B$3="Unhealthy",1.5,1)</f>
        <v>412.20000000000005</v>
      </c>
    </row>
    <row r="33" spans="1:4" x14ac:dyDescent="0.3">
      <c r="A33" s="29">
        <f t="shared" si="1"/>
        <v>56</v>
      </c>
      <c r="B33" s="29">
        <f t="shared" si="2"/>
        <v>32</v>
      </c>
      <c r="C33" s="29" t="str">
        <f t="shared" si="3"/>
        <v>50s</v>
      </c>
      <c r="D33" s="30">
        <f>IF(Inputs!$B$2="Male",(HLOOKUP(Output!$C33,Tables!$B$2:$F$4,2,FALSE)*Tables!$I$2*12), (HLOOKUP(Output!$C33,Tables!$B$2:$F$4,3,FALSE)*Tables!$I$3*12)) * IF(Inputs!$B$3="Unhealthy",1.5,1)</f>
        <v>412.20000000000005</v>
      </c>
    </row>
    <row r="34" spans="1:4" x14ac:dyDescent="0.3">
      <c r="A34" s="29">
        <f t="shared" si="1"/>
        <v>57</v>
      </c>
      <c r="B34" s="29">
        <f t="shared" si="2"/>
        <v>33</v>
      </c>
      <c r="C34" s="29" t="str">
        <f t="shared" si="3"/>
        <v>50s</v>
      </c>
      <c r="D34" s="30">
        <f>IF(Inputs!$B$2="Male",(HLOOKUP(Output!$C34,Tables!$B$2:$F$4,2,FALSE)*Tables!$I$2*12), (HLOOKUP(Output!$C34,Tables!$B$2:$F$4,3,FALSE)*Tables!$I$3*12)) * IF(Inputs!$B$3="Unhealthy",1.5,1)</f>
        <v>412.20000000000005</v>
      </c>
    </row>
    <row r="35" spans="1:4" x14ac:dyDescent="0.3">
      <c r="A35" s="29">
        <f t="shared" si="1"/>
        <v>58</v>
      </c>
      <c r="B35" s="29">
        <f t="shared" si="2"/>
        <v>34</v>
      </c>
      <c r="C35" s="29" t="str">
        <f t="shared" si="3"/>
        <v>50s</v>
      </c>
      <c r="D35" s="30">
        <f>IF(Inputs!$B$2="Male",(HLOOKUP(Output!$C35,Tables!$B$2:$F$4,2,FALSE)*Tables!$I$2*12), (HLOOKUP(Output!$C35,Tables!$B$2:$F$4,3,FALSE)*Tables!$I$3*12)) * IF(Inputs!$B$3="Unhealthy",1.5,1)</f>
        <v>412.20000000000005</v>
      </c>
    </row>
    <row r="36" spans="1:4" x14ac:dyDescent="0.3">
      <c r="A36" s="29">
        <f t="shared" si="1"/>
        <v>59</v>
      </c>
      <c r="B36" s="29">
        <f t="shared" si="2"/>
        <v>35</v>
      </c>
      <c r="C36" s="29" t="str">
        <f t="shared" si="3"/>
        <v>50s</v>
      </c>
      <c r="D36" s="30">
        <f>IF(Inputs!$B$2="Male",(HLOOKUP(Output!$C36,Tables!$B$2:$F$4,2,FALSE)*Tables!$I$2*12), (HLOOKUP(Output!$C36,Tables!$B$2:$F$4,3,FALSE)*Tables!$I$3*12)) * IF(Inputs!$B$3="Unhealthy",1.5,1)</f>
        <v>412.20000000000005</v>
      </c>
    </row>
    <row r="37" spans="1:4" x14ac:dyDescent="0.3">
      <c r="A37" s="29">
        <f t="shared" si="1"/>
        <v>60</v>
      </c>
      <c r="B37" s="29">
        <f t="shared" si="2"/>
        <v>36</v>
      </c>
      <c r="C37" s="29" t="str">
        <f t="shared" si="3"/>
        <v>60s</v>
      </c>
      <c r="D37" s="30">
        <f>IF(Inputs!$B$2="Male",(HLOOKUP(Output!$C37,Tables!$B$2:$F$4,2,FALSE)*Tables!$I$2*12), (HLOOKUP(Output!$C37,Tables!$B$2:$F$4,3,FALSE)*Tables!$I$3*12)) * IF(Inputs!$B$3="Unhealthy",1.5,1)</f>
        <v>659.52</v>
      </c>
    </row>
    <row r="38" spans="1:4" x14ac:dyDescent="0.3">
      <c r="A38" s="29">
        <f t="shared" si="1"/>
        <v>61</v>
      </c>
      <c r="B38" s="29">
        <f t="shared" si="2"/>
        <v>37</v>
      </c>
      <c r="C38" s="29" t="str">
        <f t="shared" si="3"/>
        <v>60s</v>
      </c>
      <c r="D38" s="30">
        <f>IF(Inputs!$B$2="Male",(HLOOKUP(Output!$C38,Tables!$B$2:$F$4,2,FALSE)*Tables!$I$2*12), (HLOOKUP(Output!$C38,Tables!$B$2:$F$4,3,FALSE)*Tables!$I$3*12)) * IF(Inputs!$B$3="Unhealthy",1.5,1)</f>
        <v>659.52</v>
      </c>
    </row>
    <row r="39" spans="1:4" x14ac:dyDescent="0.3">
      <c r="A39" s="29">
        <f t="shared" si="1"/>
        <v>62</v>
      </c>
      <c r="B39" s="29">
        <f t="shared" si="2"/>
        <v>38</v>
      </c>
      <c r="C39" s="29" t="str">
        <f t="shared" si="3"/>
        <v>60s</v>
      </c>
      <c r="D39" s="30">
        <f>IF(Inputs!$B$2="Male",(HLOOKUP(Output!$C39,Tables!$B$2:$F$4,2,FALSE)*Tables!$I$2*12), (HLOOKUP(Output!$C39,Tables!$B$2:$F$4,3,FALSE)*Tables!$I$3*12)) * IF(Inputs!$B$3="Unhealthy",1.5,1)</f>
        <v>659.52</v>
      </c>
    </row>
    <row r="40" spans="1:4" x14ac:dyDescent="0.3">
      <c r="A40" s="29">
        <f t="shared" si="1"/>
        <v>63</v>
      </c>
      <c r="B40" s="29">
        <f t="shared" si="2"/>
        <v>39</v>
      </c>
      <c r="C40" s="29" t="str">
        <f t="shared" si="3"/>
        <v>60s</v>
      </c>
      <c r="D40" s="30">
        <f>IF(Inputs!$B$2="Male",(HLOOKUP(Output!$C40,Tables!$B$2:$F$4,2,FALSE)*Tables!$I$2*12), (HLOOKUP(Output!$C40,Tables!$B$2:$F$4,3,FALSE)*Tables!$I$3*12)) * IF(Inputs!$B$3="Unhealthy",1.5,1)</f>
        <v>659.52</v>
      </c>
    </row>
    <row r="41" spans="1:4" x14ac:dyDescent="0.3">
      <c r="A41" s="29">
        <f t="shared" si="1"/>
        <v>64</v>
      </c>
      <c r="B41" s="29">
        <f t="shared" si="2"/>
        <v>40</v>
      </c>
      <c r="C41" s="29" t="str">
        <f t="shared" si="3"/>
        <v>60s</v>
      </c>
      <c r="D41" s="30">
        <f>IF(Inputs!$B$2="Male",(HLOOKUP(Output!$C41,Tables!$B$2:$F$4,2,FALSE)*Tables!$I$2*12), (HLOOKUP(Output!$C41,Tables!$B$2:$F$4,3,FALSE)*Tables!$I$3*12)) * IF(Inputs!$B$3="Unhealthy",1.5,1)</f>
        <v>659.52</v>
      </c>
    </row>
    <row r="42" spans="1:4" x14ac:dyDescent="0.3">
      <c r="A42" s="29">
        <f t="shared" si="1"/>
        <v>65</v>
      </c>
      <c r="B42" s="29">
        <f t="shared" si="2"/>
        <v>41</v>
      </c>
      <c r="C42" s="29" t="str">
        <f t="shared" si="3"/>
        <v>60s</v>
      </c>
      <c r="D42" s="30">
        <f>IF(Inputs!$B$2="Male",(HLOOKUP(Output!$C42,Tables!$B$2:$F$4,2,FALSE)*Tables!$I$2*12), (HLOOKUP(Output!$C42,Tables!$B$2:$F$4,3,FALSE)*Tables!$I$3*12)) * IF(Inputs!$B$3="Unhealthy",1.5,1)</f>
        <v>659.52</v>
      </c>
    </row>
    <row r="43" spans="1:4" x14ac:dyDescent="0.3">
      <c r="A43" s="29">
        <f t="shared" si="1"/>
        <v>66</v>
      </c>
      <c r="B43" s="29">
        <f t="shared" si="2"/>
        <v>42</v>
      </c>
      <c r="C43" s="29" t="str">
        <f t="shared" si="3"/>
        <v>60s</v>
      </c>
      <c r="D43" s="30">
        <f>IF(Inputs!$B$2="Male",(HLOOKUP(Output!$C43,Tables!$B$2:$F$4,2,FALSE)*Tables!$I$2*12), (HLOOKUP(Output!$C43,Tables!$B$2:$F$4,3,FALSE)*Tables!$I$3*12)) * IF(Inputs!$B$3="Unhealthy",1.5,1)</f>
        <v>659.52</v>
      </c>
    </row>
    <row r="44" spans="1:4" x14ac:dyDescent="0.3">
      <c r="A44" s="29">
        <f t="shared" si="1"/>
        <v>67</v>
      </c>
      <c r="B44" s="29">
        <f t="shared" si="2"/>
        <v>43</v>
      </c>
      <c r="C44" s="29" t="str">
        <f t="shared" si="3"/>
        <v>60s</v>
      </c>
      <c r="D44" s="30">
        <f>IF(Inputs!$B$2="Male",(HLOOKUP(Output!$C44,Tables!$B$2:$F$4,2,FALSE)*Tables!$I$2*12), (HLOOKUP(Output!$C44,Tables!$B$2:$F$4,3,FALSE)*Tables!$I$3*12)) * IF(Inputs!$B$3="Unhealthy",1.5,1)</f>
        <v>659.52</v>
      </c>
    </row>
    <row r="45" spans="1:4" x14ac:dyDescent="0.3">
      <c r="A45" s="29">
        <f t="shared" si="1"/>
        <v>68</v>
      </c>
      <c r="B45" s="29">
        <f t="shared" si="2"/>
        <v>44</v>
      </c>
      <c r="C45" s="29" t="str">
        <f t="shared" si="3"/>
        <v>60s</v>
      </c>
      <c r="D45" s="30">
        <f>IF(Inputs!$B$2="Male",(HLOOKUP(Output!$C45,Tables!$B$2:$F$4,2,FALSE)*Tables!$I$2*12), (HLOOKUP(Output!$C45,Tables!$B$2:$F$4,3,FALSE)*Tables!$I$3*12)) * IF(Inputs!$B$3="Unhealthy",1.5,1)</f>
        <v>659.52</v>
      </c>
    </row>
    <row r="46" spans="1:4" x14ac:dyDescent="0.3">
      <c r="A46" s="29">
        <f t="shared" si="1"/>
        <v>69</v>
      </c>
      <c r="B46" s="29">
        <f t="shared" si="2"/>
        <v>45</v>
      </c>
      <c r="C46" s="29" t="str">
        <f t="shared" si="3"/>
        <v>60s</v>
      </c>
      <c r="D46" s="30">
        <f>IF(Inputs!$B$2="Male",(HLOOKUP(Output!$C46,Tables!$B$2:$F$4,2,FALSE)*Tables!$I$2*12), (HLOOKUP(Output!$C46,Tables!$B$2:$F$4,3,FALSE)*Tables!$I$3*12)) * IF(Inputs!$B$3="Unhealthy",1.5,1)</f>
        <v>659.52</v>
      </c>
    </row>
    <row r="47" spans="1:4" x14ac:dyDescent="0.3">
      <c r="D47" s="26"/>
    </row>
    <row r="48" spans="1:4" x14ac:dyDescent="0.3">
      <c r="D48" s="26"/>
    </row>
    <row r="49" spans="4:4" x14ac:dyDescent="0.3">
      <c r="D49" s="26"/>
    </row>
    <row r="50" spans="4:4" x14ac:dyDescent="0.3">
      <c r="D50" s="26"/>
    </row>
    <row r="51" spans="4:4" x14ac:dyDescent="0.3">
      <c r="D51" s="26"/>
    </row>
  </sheetData>
  <sheetProtection formatCells="0" formatColumns="0" formatRows="0" insertColumns="0" insertRows="0" insertHyperlinks="0" deleteColumn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leanUp">
                <anchor moveWithCells="1" sizeWithCells="1">
                  <from>
                    <xdr:col>4</xdr:col>
                    <xdr:colOff>600075</xdr:colOff>
                    <xdr:row>3</xdr:row>
                    <xdr:rowOff>200025</xdr:rowOff>
                  </from>
                  <to>
                    <xdr:col>7</xdr:col>
                    <xdr:colOff>9525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CompleteTable">
                <anchor moveWithCells="1" sizeWithCells="1">
                  <from>
                    <xdr:col>4</xdr:col>
                    <xdr:colOff>600075</xdr:colOff>
                    <xdr:row>0</xdr:row>
                    <xdr:rowOff>57150</xdr:rowOff>
                  </from>
                  <to>
                    <xdr:col>7</xdr:col>
                    <xdr:colOff>19050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D3BB7-BFCB-4FD0-B9F4-8C0C1A939872}">
  <sheetPr codeName="Sheet2"/>
  <dimension ref="A1:A4"/>
  <sheetViews>
    <sheetView zoomScale="150" zoomScaleNormal="150" workbookViewId="0">
      <selection activeCell="A2" sqref="A2"/>
    </sheetView>
  </sheetViews>
  <sheetFormatPr defaultRowHeight="15" x14ac:dyDescent="0.25"/>
  <cols>
    <col min="1" max="1" width="72.28515625" customWidth="1"/>
  </cols>
  <sheetData>
    <row r="1" spans="1:1" ht="49.5" x14ac:dyDescent="0.25">
      <c r="A1" s="7" t="s">
        <v>14</v>
      </c>
    </row>
    <row r="2" spans="1:1" ht="49.5" x14ac:dyDescent="0.25">
      <c r="A2" s="7" t="s">
        <v>15</v>
      </c>
    </row>
    <row r="3" spans="1:1" ht="49.5" x14ac:dyDescent="0.25">
      <c r="A3" s="7" t="s">
        <v>16</v>
      </c>
    </row>
    <row r="4" spans="1:1" ht="82.5" x14ac:dyDescent="0.25">
      <c r="A4" s="8" t="s">
        <v>17</v>
      </c>
    </row>
  </sheetData>
  <sheetProtection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2E96E-7D0B-4EF6-BE4E-04CD13835230}">
  <sheetPr codeName="Sheet3"/>
  <dimension ref="A1:P60"/>
  <sheetViews>
    <sheetView zoomScale="140" zoomScaleNormal="140" workbookViewId="0">
      <selection sqref="A1:F1"/>
    </sheetView>
  </sheetViews>
  <sheetFormatPr defaultRowHeight="16.5" x14ac:dyDescent="0.3"/>
  <cols>
    <col min="1" max="1" width="13.85546875" style="9" customWidth="1"/>
    <col min="2" max="6" width="10.85546875" style="9" bestFit="1" customWidth="1"/>
    <col min="7" max="7" width="8.42578125" style="9" bestFit="1" customWidth="1"/>
    <col min="8" max="8" width="10.140625" style="9" bestFit="1" customWidth="1"/>
    <col min="9" max="9" width="7.28515625" style="9" bestFit="1" customWidth="1"/>
    <col min="10" max="10" width="13.28515625" style="9" bestFit="1" customWidth="1"/>
    <col min="11" max="12" width="7.28515625" style="9" bestFit="1" customWidth="1"/>
    <col min="13" max="13" width="11.42578125" style="9" bestFit="1" customWidth="1"/>
    <col min="14" max="15" width="7.28515625" style="9" bestFit="1" customWidth="1"/>
    <col min="16" max="16384" width="9.140625" style="9"/>
  </cols>
  <sheetData>
    <row r="1" spans="1:16" ht="21" x14ac:dyDescent="0.4">
      <c r="A1" s="22" t="s">
        <v>11</v>
      </c>
      <c r="B1" s="22"/>
      <c r="C1" s="22"/>
      <c r="D1" s="22"/>
      <c r="E1" s="22"/>
      <c r="F1" s="22"/>
      <c r="H1" s="23" t="s">
        <v>12</v>
      </c>
      <c r="I1" s="23"/>
      <c r="J1" s="23"/>
    </row>
    <row r="2" spans="1:16" ht="18.75" x14ac:dyDescent="0.35">
      <c r="A2" s="3" t="s">
        <v>13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1"/>
      <c r="H2" s="10" t="s">
        <v>2</v>
      </c>
      <c r="I2" s="4">
        <v>687</v>
      </c>
      <c r="J2" s="5" t="s">
        <v>9</v>
      </c>
      <c r="K2" s="11"/>
      <c r="L2" s="11"/>
      <c r="M2" s="11"/>
      <c r="N2" s="11"/>
      <c r="O2" s="11"/>
      <c r="P2" s="11"/>
    </row>
    <row r="3" spans="1:16" ht="18.75" x14ac:dyDescent="0.3">
      <c r="A3" s="1" t="s">
        <v>2</v>
      </c>
      <c r="B3" s="2">
        <v>0.01</v>
      </c>
      <c r="C3" s="2">
        <v>1.4999999999999999E-2</v>
      </c>
      <c r="D3" s="2">
        <v>0.03</v>
      </c>
      <c r="E3" s="2">
        <v>0.05</v>
      </c>
      <c r="F3" s="2">
        <v>0.08</v>
      </c>
      <c r="G3" s="12"/>
      <c r="H3" s="10" t="s">
        <v>3</v>
      </c>
      <c r="I3" s="6">
        <v>492</v>
      </c>
      <c r="J3" s="5" t="s">
        <v>9</v>
      </c>
      <c r="K3" s="12"/>
      <c r="L3" s="12"/>
      <c r="M3" s="12"/>
      <c r="N3" s="12"/>
      <c r="O3" s="12"/>
    </row>
    <row r="4" spans="1:16" ht="18.75" x14ac:dyDescent="0.3">
      <c r="A4" s="1" t="s">
        <v>3</v>
      </c>
      <c r="B4" s="2">
        <f>0.75*B3</f>
        <v>7.4999999999999997E-3</v>
      </c>
      <c r="C4" s="2">
        <f t="shared" ref="C4:F4" si="0">0.75*C3</f>
        <v>1.125E-2</v>
      </c>
      <c r="D4" s="2">
        <f t="shared" si="0"/>
        <v>2.2499999999999999E-2</v>
      </c>
      <c r="E4" s="2">
        <f t="shared" si="0"/>
        <v>3.7500000000000006E-2</v>
      </c>
      <c r="F4" s="2">
        <f t="shared" si="0"/>
        <v>0.06</v>
      </c>
      <c r="G4" s="13"/>
      <c r="H4" s="13"/>
      <c r="I4" s="13"/>
      <c r="J4" s="13"/>
      <c r="K4" s="13"/>
      <c r="L4" s="13"/>
      <c r="M4" s="13"/>
      <c r="N4" s="13"/>
      <c r="O4" s="13"/>
    </row>
    <row r="5" spans="1:16" x14ac:dyDescent="0.3">
      <c r="A5" s="12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</row>
    <row r="6" spans="1:16" x14ac:dyDescent="0.3">
      <c r="A6" s="14" t="s">
        <v>10</v>
      </c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</row>
    <row r="7" spans="1:16" x14ac:dyDescent="0.3">
      <c r="A7" s="14" t="s">
        <v>19</v>
      </c>
    </row>
    <row r="8" spans="1:16" x14ac:dyDescent="0.3">
      <c r="A8" s="14" t="s">
        <v>20</v>
      </c>
    </row>
    <row r="10" spans="1:16" x14ac:dyDescent="0.3">
      <c r="A10" s="18" t="s">
        <v>1</v>
      </c>
      <c r="B10" s="18" t="s">
        <v>24</v>
      </c>
      <c r="D10" s="16"/>
    </row>
    <row r="11" spans="1:16" x14ac:dyDescent="0.3">
      <c r="A11" s="17">
        <v>20</v>
      </c>
      <c r="B11" s="17" t="s">
        <v>4</v>
      </c>
    </row>
    <row r="12" spans="1:16" x14ac:dyDescent="0.3">
      <c r="A12" s="17">
        <v>21</v>
      </c>
      <c r="B12" s="17" t="s">
        <v>4</v>
      </c>
    </row>
    <row r="13" spans="1:16" x14ac:dyDescent="0.3">
      <c r="A13" s="17">
        <v>22</v>
      </c>
      <c r="B13" s="17" t="s">
        <v>4</v>
      </c>
    </row>
    <row r="14" spans="1:16" x14ac:dyDescent="0.3">
      <c r="A14" s="17">
        <v>23</v>
      </c>
      <c r="B14" s="17" t="s">
        <v>4</v>
      </c>
    </row>
    <row r="15" spans="1:16" x14ac:dyDescent="0.3">
      <c r="A15" s="17">
        <v>24</v>
      </c>
      <c r="B15" s="17" t="s">
        <v>4</v>
      </c>
    </row>
    <row r="16" spans="1:16" x14ac:dyDescent="0.3">
      <c r="A16" s="17">
        <v>25</v>
      </c>
      <c r="B16" s="17" t="s">
        <v>4</v>
      </c>
    </row>
    <row r="17" spans="1:2" x14ac:dyDescent="0.3">
      <c r="A17" s="17">
        <v>26</v>
      </c>
      <c r="B17" s="17" t="s">
        <v>4</v>
      </c>
    </row>
    <row r="18" spans="1:2" x14ac:dyDescent="0.3">
      <c r="A18" s="17">
        <v>27</v>
      </c>
      <c r="B18" s="17" t="s">
        <v>4</v>
      </c>
    </row>
    <row r="19" spans="1:2" x14ac:dyDescent="0.3">
      <c r="A19" s="17">
        <v>28</v>
      </c>
      <c r="B19" s="17" t="s">
        <v>4</v>
      </c>
    </row>
    <row r="20" spans="1:2" x14ac:dyDescent="0.3">
      <c r="A20" s="17">
        <v>29</v>
      </c>
      <c r="B20" s="17" t="s">
        <v>4</v>
      </c>
    </row>
    <row r="21" spans="1:2" x14ac:dyDescent="0.3">
      <c r="A21" s="17">
        <v>30</v>
      </c>
      <c r="B21" s="17" t="s">
        <v>5</v>
      </c>
    </row>
    <row r="22" spans="1:2" x14ac:dyDescent="0.3">
      <c r="A22" s="17">
        <v>31</v>
      </c>
      <c r="B22" s="17" t="s">
        <v>5</v>
      </c>
    </row>
    <row r="23" spans="1:2" x14ac:dyDescent="0.3">
      <c r="A23" s="17">
        <v>32</v>
      </c>
      <c r="B23" s="17" t="s">
        <v>5</v>
      </c>
    </row>
    <row r="24" spans="1:2" x14ac:dyDescent="0.3">
      <c r="A24" s="17">
        <v>33</v>
      </c>
      <c r="B24" s="17" t="s">
        <v>5</v>
      </c>
    </row>
    <row r="25" spans="1:2" x14ac:dyDescent="0.3">
      <c r="A25" s="17">
        <v>34</v>
      </c>
      <c r="B25" s="17" t="s">
        <v>5</v>
      </c>
    </row>
    <row r="26" spans="1:2" x14ac:dyDescent="0.3">
      <c r="A26" s="17">
        <v>35</v>
      </c>
      <c r="B26" s="17" t="s">
        <v>5</v>
      </c>
    </row>
    <row r="27" spans="1:2" x14ac:dyDescent="0.3">
      <c r="A27" s="17">
        <v>36</v>
      </c>
      <c r="B27" s="17" t="s">
        <v>5</v>
      </c>
    </row>
    <row r="28" spans="1:2" x14ac:dyDescent="0.3">
      <c r="A28" s="17">
        <v>37</v>
      </c>
      <c r="B28" s="17" t="s">
        <v>5</v>
      </c>
    </row>
    <row r="29" spans="1:2" x14ac:dyDescent="0.3">
      <c r="A29" s="17">
        <v>38</v>
      </c>
      <c r="B29" s="17" t="s">
        <v>5</v>
      </c>
    </row>
    <row r="30" spans="1:2" x14ac:dyDescent="0.3">
      <c r="A30" s="17">
        <v>39</v>
      </c>
      <c r="B30" s="17" t="s">
        <v>5</v>
      </c>
    </row>
    <row r="31" spans="1:2" x14ac:dyDescent="0.3">
      <c r="A31" s="17">
        <v>40</v>
      </c>
      <c r="B31" s="17" t="s">
        <v>6</v>
      </c>
    </row>
    <row r="32" spans="1:2" x14ac:dyDescent="0.3">
      <c r="A32" s="17">
        <v>41</v>
      </c>
      <c r="B32" s="17" t="s">
        <v>6</v>
      </c>
    </row>
    <row r="33" spans="1:2" x14ac:dyDescent="0.3">
      <c r="A33" s="17">
        <v>42</v>
      </c>
      <c r="B33" s="17" t="s">
        <v>6</v>
      </c>
    </row>
    <row r="34" spans="1:2" x14ac:dyDescent="0.3">
      <c r="A34" s="17">
        <v>43</v>
      </c>
      <c r="B34" s="17" t="s">
        <v>6</v>
      </c>
    </row>
    <row r="35" spans="1:2" x14ac:dyDescent="0.3">
      <c r="A35" s="17">
        <v>44</v>
      </c>
      <c r="B35" s="17" t="s">
        <v>6</v>
      </c>
    </row>
    <row r="36" spans="1:2" x14ac:dyDescent="0.3">
      <c r="A36" s="17">
        <v>45</v>
      </c>
      <c r="B36" s="17" t="s">
        <v>6</v>
      </c>
    </row>
    <row r="37" spans="1:2" x14ac:dyDescent="0.3">
      <c r="A37" s="17">
        <v>46</v>
      </c>
      <c r="B37" s="17" t="s">
        <v>6</v>
      </c>
    </row>
    <row r="38" spans="1:2" x14ac:dyDescent="0.3">
      <c r="A38" s="17">
        <v>47</v>
      </c>
      <c r="B38" s="17" t="s">
        <v>6</v>
      </c>
    </row>
    <row r="39" spans="1:2" x14ac:dyDescent="0.3">
      <c r="A39" s="17">
        <v>48</v>
      </c>
      <c r="B39" s="17" t="s">
        <v>6</v>
      </c>
    </row>
    <row r="40" spans="1:2" x14ac:dyDescent="0.3">
      <c r="A40" s="17">
        <v>49</v>
      </c>
      <c r="B40" s="17" t="s">
        <v>6</v>
      </c>
    </row>
    <row r="41" spans="1:2" x14ac:dyDescent="0.3">
      <c r="A41" s="17">
        <v>50</v>
      </c>
      <c r="B41" s="17" t="s">
        <v>7</v>
      </c>
    </row>
    <row r="42" spans="1:2" x14ac:dyDescent="0.3">
      <c r="A42" s="17">
        <v>51</v>
      </c>
      <c r="B42" s="17" t="s">
        <v>7</v>
      </c>
    </row>
    <row r="43" spans="1:2" x14ac:dyDescent="0.3">
      <c r="A43" s="17">
        <v>52</v>
      </c>
      <c r="B43" s="17" t="s">
        <v>7</v>
      </c>
    </row>
    <row r="44" spans="1:2" x14ac:dyDescent="0.3">
      <c r="A44" s="17">
        <v>53</v>
      </c>
      <c r="B44" s="17" t="s">
        <v>7</v>
      </c>
    </row>
    <row r="45" spans="1:2" x14ac:dyDescent="0.3">
      <c r="A45" s="17">
        <v>54</v>
      </c>
      <c r="B45" s="17" t="s">
        <v>7</v>
      </c>
    </row>
    <row r="46" spans="1:2" x14ac:dyDescent="0.3">
      <c r="A46" s="17">
        <v>55</v>
      </c>
      <c r="B46" s="17" t="s">
        <v>7</v>
      </c>
    </row>
    <row r="47" spans="1:2" x14ac:dyDescent="0.3">
      <c r="A47" s="17">
        <v>56</v>
      </c>
      <c r="B47" s="17" t="s">
        <v>7</v>
      </c>
    </row>
    <row r="48" spans="1:2" x14ac:dyDescent="0.3">
      <c r="A48" s="17">
        <v>57</v>
      </c>
      <c r="B48" s="17" t="s">
        <v>7</v>
      </c>
    </row>
    <row r="49" spans="1:2" x14ac:dyDescent="0.3">
      <c r="A49" s="17">
        <v>58</v>
      </c>
      <c r="B49" s="17" t="s">
        <v>7</v>
      </c>
    </row>
    <row r="50" spans="1:2" x14ac:dyDescent="0.3">
      <c r="A50" s="17">
        <v>59</v>
      </c>
      <c r="B50" s="17" t="s">
        <v>7</v>
      </c>
    </row>
    <row r="51" spans="1:2" x14ac:dyDescent="0.3">
      <c r="A51" s="17">
        <v>60</v>
      </c>
      <c r="B51" s="17" t="s">
        <v>8</v>
      </c>
    </row>
    <row r="52" spans="1:2" x14ac:dyDescent="0.3">
      <c r="A52" s="17">
        <v>61</v>
      </c>
      <c r="B52" s="17" t="s">
        <v>8</v>
      </c>
    </row>
    <row r="53" spans="1:2" x14ac:dyDescent="0.3">
      <c r="A53" s="17">
        <v>62</v>
      </c>
      <c r="B53" s="17" t="s">
        <v>8</v>
      </c>
    </row>
    <row r="54" spans="1:2" x14ac:dyDescent="0.3">
      <c r="A54" s="17">
        <v>63</v>
      </c>
      <c r="B54" s="17" t="s">
        <v>8</v>
      </c>
    </row>
    <row r="55" spans="1:2" x14ac:dyDescent="0.3">
      <c r="A55" s="17">
        <v>64</v>
      </c>
      <c r="B55" s="17" t="s">
        <v>8</v>
      </c>
    </row>
    <row r="56" spans="1:2" x14ac:dyDescent="0.3">
      <c r="A56" s="17">
        <v>65</v>
      </c>
      <c r="B56" s="17" t="s">
        <v>8</v>
      </c>
    </row>
    <row r="57" spans="1:2" x14ac:dyDescent="0.3">
      <c r="A57" s="17">
        <v>66</v>
      </c>
      <c r="B57" s="17" t="s">
        <v>8</v>
      </c>
    </row>
    <row r="58" spans="1:2" x14ac:dyDescent="0.3">
      <c r="A58" s="17">
        <v>67</v>
      </c>
      <c r="B58" s="17" t="s">
        <v>8</v>
      </c>
    </row>
    <row r="59" spans="1:2" x14ac:dyDescent="0.3">
      <c r="A59" s="17">
        <v>68</v>
      </c>
      <c r="B59" s="17" t="s">
        <v>8</v>
      </c>
    </row>
    <row r="60" spans="1:2" x14ac:dyDescent="0.3">
      <c r="A60" s="17">
        <v>69</v>
      </c>
      <c r="B60" s="17" t="s">
        <v>8</v>
      </c>
    </row>
  </sheetData>
  <sheetProtection sheet="1" objects="1" scenarios="1"/>
  <mergeCells count="2">
    <mergeCell ref="A1:F1"/>
    <mergeCell ref="H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Inputs</vt:lpstr>
      <vt:lpstr>Output</vt:lpstr>
      <vt:lpstr>Instructions</vt:lpstr>
      <vt:lpstr>Tables</vt:lpstr>
      <vt:lpstr>Age_Decade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2021-04-06T01:07:15Z</dcterms:created>
  <dcterms:modified xsi:type="dcterms:W3CDTF">2021-05-08T19:23:38Z</dcterms:modified>
</cp:coreProperties>
</file>