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"/>
    </mc:Choice>
  </mc:AlternateContent>
  <xr:revisionPtr revIDLastSave="0" documentId="13_ncr:1_{94266BBA-EDF1-476B-9776-EBC5CAC3B21D}" xr6:coauthVersionLast="46" xr6:coauthVersionMax="46" xr10:uidLastSave="{00000000-0000-0000-0000-000000000000}"/>
  <bookViews>
    <workbookView xWindow="-108" yWindow="-108" windowWidth="23256" windowHeight="12576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Tables!$A$10:$B$60</definedName>
    <definedName name="Probabilit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4" l="1"/>
  <c r="B16" i="4"/>
  <c r="C16" i="4"/>
  <c r="D16" i="4" s="1"/>
  <c r="A17" i="4"/>
  <c r="B17" i="4"/>
  <c r="C17" i="4"/>
  <c r="D17" i="4" s="1"/>
  <c r="A14" i="4"/>
  <c r="B14" i="4"/>
  <c r="B15" i="4" s="1"/>
  <c r="C15" i="4" s="1"/>
  <c r="D15" i="4" s="1"/>
  <c r="C14" i="4"/>
  <c r="D14" i="4"/>
  <c r="A15" i="4"/>
  <c r="C2" i="4"/>
  <c r="D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B3" i="4"/>
  <c r="C3" i="4" s="1"/>
  <c r="D3" i="4" s="1"/>
  <c r="C4" i="1"/>
  <c r="D4" i="1"/>
  <c r="E4" i="1"/>
  <c r="F4" i="1"/>
  <c r="B4" i="1"/>
  <c r="B4" i="4" l="1"/>
  <c r="B5" i="4" l="1"/>
  <c r="C4" i="4"/>
  <c r="D4" i="4" s="1"/>
  <c r="B6" i="4" l="1"/>
  <c r="C5" i="4"/>
  <c r="D5" i="4" s="1"/>
  <c r="B7" i="4" l="1"/>
  <c r="C6" i="4"/>
  <c r="D6" i="4" s="1"/>
  <c r="B8" i="4" l="1"/>
  <c r="C7" i="4"/>
  <c r="D7" i="4" s="1"/>
  <c r="B9" i="4" l="1"/>
  <c r="C8" i="4"/>
  <c r="D8" i="4" s="1"/>
  <c r="B10" i="4" l="1"/>
  <c r="C9" i="4"/>
  <c r="D9" i="4" s="1"/>
  <c r="B11" i="4" l="1"/>
  <c r="C10" i="4"/>
  <c r="D10" i="4" s="1"/>
  <c r="B12" i="4" l="1"/>
  <c r="C11" i="4"/>
  <c r="D11" i="4" s="1"/>
  <c r="B13" i="4" l="1"/>
  <c r="C12" i="4"/>
  <c r="D12" i="4" s="1"/>
  <c r="C13" i="4" l="1"/>
  <c r="D13" i="4" s="1"/>
</calcChain>
</file>

<file path=xl/sharedStrings.xml><?xml version="1.0" encoding="utf-8"?>
<sst xmlns="http://schemas.openxmlformats.org/spreadsheetml/2006/main" count="96" uniqueCount="36">
  <si>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</si>
  <si>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</si>
  <si>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</si>
  <si>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</si>
  <si>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</si>
  <si>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</si>
  <si>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</si>
  <si>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</si>
  <si>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</si>
  <si>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</si>
  <si>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</si>
  <si>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</si>
  <si>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</si>
  <si>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</si>
  <si>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</si>
  <si>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</si>
  <si>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</si>
  <si>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</si>
  <si>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</si>
  <si>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</si>
  <si>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</si>
  <si>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</si>
  <si>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</si>
  <si>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</si>
  <si>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</si>
  <si>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=IF(Inputs!$B$2="Male",(HLOOKUP(C2,Tables!$B$2:$F$4,2,FALSE)*(Tables!$I$2*12)),(HLOOKUP(C2,Tables!$B$2:$F$4,3,FALSE)*(Tables!$I$3*12))) * IF(Inputs!$B$3="Unhealthy",1.5,1)</t>
  </si>
  <si>
    <t>=VLOOKUP(B2,Age_Decade,2,FALSE)</t>
  </si>
  <si>
    <t>A</t>
  </si>
  <si>
    <t>B</t>
  </si>
  <si>
    <t>C</t>
  </si>
  <si>
    <t>D</t>
  </si>
  <si>
    <t>Formula for finding decade range (for column C)</t>
  </si>
  <si>
    <t>Formula for computing expected claims each policy year (column D)</t>
  </si>
  <si>
    <t>=VLOOKUP(B2,Age_Decades,2,FALSE)</t>
  </si>
  <si>
    <t>C2 =</t>
  </si>
  <si>
    <t>D2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</si>
</sst>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5" x14ac:knownFonts="1">
    <font>
      <sz val="11"/>
      <color theme="1"/>
      <name val="Calibri"/>
      <family val="2"/>
      <scheme val="minor"/>
    </font>
    <font>
      <sz val="13"/>
      <color rgb="FF000000"/>
      <name val="Open Sans"/>
      <family val="2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2" borderId="1" xfId="0" applyFont="1" applyFill="1" applyBorder="1" applyAlignment="1">
      <alignment horizontal="left" vertical="center" wrapText="1" indent="2"/>
    </xf>
    <xf numFmtId="10" fontId="1" fillId="2" borderId="1" xfId="0" applyNumberFormat="1" applyFont="1" applyFill="1" applyBorder="1" applyAlignment="1">
      <alignment horizontal="left" vertical="center" wrapText="1" indent="2"/>
    </xf>
    <xf numFmtId="0" fontId="6" fillId="0" borderId="1" xfId="0" applyFont="1" applyBorder="1" applyAlignment="1">
      <alignment horizontal="right"/>
    </xf>
    <xf numFmtId="0" fontId="9" fillId="0" borderId="1" xfId="0" applyFont="1" applyFill="1" applyBorder="1" applyAlignment="1"/>
    <xf numFmtId="0" fontId="11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7" fillId="0" borderId="0" xfId="0" applyFont="1"/>
    <xf numFmtId="0" fontId="10" fillId="0" borderId="1" xfId="0" applyFont="1" applyFill="1" applyBorder="1" applyAlignment="1">
      <alignment horizontal="left" indent="1"/>
    </xf>
    <xf numFmtId="0" fontId="7" fillId="0" borderId="0" xfId="0" applyFont="1" applyFill="1" applyBorder="1" applyAlignment="1"/>
    <xf numFmtId="0" fontId="7" fillId="0" borderId="0" xfId="0" applyFont="1" applyFill="1" applyBorder="1"/>
    <xf numFmtId="165" fontId="7" fillId="0" borderId="0" xfId="0" applyNumberFormat="1" applyFont="1" applyFill="1" applyBorder="1"/>
    <xf numFmtId="0" fontId="9" fillId="0" borderId="0" xfId="0" applyFont="1"/>
    <xf numFmtId="2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/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8" fontId="7" fillId="0" borderId="0" xfId="0" applyNumberFormat="1" applyFont="1" applyAlignment="1" applyProtection="1">
      <alignment horizontal="center"/>
    </xf>
    <xf numFmtId="8" fontId="7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0" fillId="0" borderId="0" xfId="0" quotePrefix="1" applyAlignment="1">
      <alignment horizontal="center"/>
    </xf>
    <xf numFmtId="6" fontId="7" fillId="0" borderId="1" xfId="0" applyNumberFormat="1" applyFont="1" applyFill="1" applyBorder="1" applyAlignment="1"/>
    <xf numFmtId="6" fontId="7" fillId="0" borderId="1" xfId="0" applyNumberFormat="1" applyFont="1" applyFill="1" applyBorder="1"/>
    <xf numFmtId="0" fontId="14" fillId="0" borderId="0" xfId="0" quotePrefix="1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left"/>
      <protection locked="0"/>
    </xf>
    <xf numFmtId="0" fontId="12" fillId="0" borderId="1" xfId="0" applyFont="1" applyBorder="1" applyProtection="1">
      <protection locked="0"/>
    </xf>
    <xf numFmtId="0" fontId="7" fillId="0" borderId="0" xfId="0" applyFont="1" applyProtection="1"/>
    <xf numFmtId="0" fontId="7" fillId="0" borderId="0" xfId="0" quotePrefix="1" applyFont="1" applyProtection="1"/>
    <xf numFmtId="0" fontId="5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160020</xdr:colOff>
          <xdr:row>0</xdr:row>
          <xdr:rowOff>45720</xdr:rowOff>
        </xdr:from>
        <xdr:to>
          <xdr:col>3</xdr:col>
          <xdr:colOff>388620</xdr:colOff>
          <xdr:row>2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7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IF(Inputs!$B$2="Male",(HLOOKUP(C2,Tables!$B$2:$F$4,2,FALSE)*(Tables!$I$2*12)),(HLOOKUP(C2,Tables!$B$2:$F$4,3,FALSE)*(Tables!$I$3*12)))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200" zoomScaleNormal="200" workbookViewId="0">
      <selection activeCell="B1" sqref="B1"/>
    </sheetView>
  </sheetViews>
  <sheetFormatPr defaultColWidth="9.109375" defaultRowHeight="15.6" x14ac:dyDescent="0.35"/>
  <cols>
    <col min="1" max="2" width="11.44140625" style="7" bestFit="1" customWidth="1"/>
    <col min="3" max="16384" width="9.109375" style="7"/>
  </cols>
  <sheetData>
    <row r="1" spans="1:2" x14ac:dyDescent="0.35">
      <c r="A1" s="17" t="s">
        <v>1</v>
      </c>
      <c r="B1" s="29"/>
    </row>
    <row r="2" spans="1:2" x14ac:dyDescent="0.35">
      <c r="A2" s="17" t="s">
        <v>0</v>
      </c>
      <c r="B2" s="30"/>
    </row>
    <row r="3" spans="1:2" x14ac:dyDescent="0.35">
      <c r="A3" s="17" t="s">
        <v>18</v>
      </c>
      <c r="B3" s="30"/>
    </row>
    <row r="5" spans="1:2" x14ac:dyDescent="0.35">
      <c r="B5" s="15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160020</xdr:colOff>
                    <xdr:row>0</xdr:row>
                    <xdr:rowOff>45720</xdr:rowOff>
                  </from>
                  <to>
                    <xdr:col>3</xdr:col>
                    <xdr:colOff>388620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E9"/>
  <sheetViews>
    <sheetView zoomScale="150" zoomScaleNormal="150" workbookViewId="0">
      <selection activeCell="B9" sqref="B9"/>
    </sheetView>
  </sheetViews>
  <sheetFormatPr defaultRowHeight="14.4" x14ac:dyDescent="0.3"/>
  <cols>
    <col min="1" max="1" width="72.33203125" customWidth="1"/>
    <col min="2" max="2" width="10.109375" customWidth="1"/>
    <col min="3" max="3" width="4.44140625" bestFit="1" customWidth="1"/>
    <col min="4" max="4" width="10.33203125" bestFit="1" customWidth="1"/>
    <col min="5" max="5" width="15.5546875" bestFit="1" customWidth="1"/>
  </cols>
  <sheetData>
    <row r="1" spans="1:5" ht="31.2" x14ac:dyDescent="0.3">
      <c r="A1" s="5" t="s">
        <v>14</v>
      </c>
    </row>
    <row r="2" spans="1:5" ht="46.8" x14ac:dyDescent="0.3">
      <c r="A2" s="5" t="s">
        <v>15</v>
      </c>
    </row>
    <row r="3" spans="1:5" ht="31.2" x14ac:dyDescent="0.3">
      <c r="A3" s="5" t="s">
        <v>16</v>
      </c>
    </row>
    <row r="4" spans="1:5" ht="78" x14ac:dyDescent="0.3">
      <c r="A4" s="6" t="s">
        <v>17</v>
      </c>
    </row>
    <row r="5" spans="1:5" x14ac:dyDescent="0.3">
      <c r="B5" t="s">
        <v>27</v>
      </c>
      <c r="C5" t="s">
        <v>28</v>
      </c>
      <c r="D5" t="s">
        <v>29</v>
      </c>
      <c r="E5" t="s">
        <v>30</v>
      </c>
    </row>
    <row r="6" spans="1:5" x14ac:dyDescent="0.3">
      <c r="B6" t="s">
        <v>21</v>
      </c>
      <c r="C6" t="s">
        <v>1</v>
      </c>
      <c r="D6" t="s">
        <v>23</v>
      </c>
      <c r="E6" t="s">
        <v>22</v>
      </c>
    </row>
    <row r="8" spans="1:5" x14ac:dyDescent="0.3">
      <c r="A8" t="s">
        <v>31</v>
      </c>
      <c r="B8" s="24" t="s">
        <v>26</v>
      </c>
    </row>
    <row r="9" spans="1:5" x14ac:dyDescent="0.3">
      <c r="A9" t="s">
        <v>32</v>
      </c>
      <c r="B9" s="24" t="s">
        <v>25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09375" defaultRowHeight="15.6" x14ac:dyDescent="0.35"/>
  <cols>
    <col min="1" max="1" width="13.88671875" style="7" customWidth="1"/>
    <col min="2" max="6" width="10.88671875" style="7" bestFit="1" customWidth="1"/>
    <col min="7" max="7" width="8.44140625" style="7" bestFit="1" customWidth="1"/>
    <col min="8" max="8" width="10.109375" style="7" bestFit="1" customWidth="1"/>
    <col min="9" max="9" width="7.33203125" style="7" bestFit="1" customWidth="1"/>
    <col min="10" max="10" width="13.33203125" style="7" bestFit="1" customWidth="1"/>
    <col min="11" max="12" width="7.33203125" style="7" bestFit="1" customWidth="1"/>
    <col min="13" max="13" width="11.44140625" style="7" bestFit="1" customWidth="1"/>
    <col min="14" max="15" width="7.33203125" style="7" bestFit="1" customWidth="1"/>
    <col min="16" max="16384" width="9.109375" style="7"/>
  </cols>
  <sheetData>
    <row r="1" spans="1:16" ht="21" x14ac:dyDescent="0.5">
      <c r="A1" s="33" t="s">
        <v>11</v>
      </c>
      <c r="B1" s="33"/>
      <c r="C1" s="33"/>
      <c r="D1" s="33"/>
      <c r="E1" s="33"/>
      <c r="F1" s="33"/>
      <c r="H1" s="34" t="s">
        <v>12</v>
      </c>
      <c r="I1" s="34"/>
      <c r="J1" s="34"/>
    </row>
    <row r="2" spans="1:16" ht="19.8" x14ac:dyDescent="0.4">
      <c r="A2" s="3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9"/>
      <c r="H2" s="8" t="s">
        <v>2</v>
      </c>
      <c r="I2" s="26">
        <v>687</v>
      </c>
      <c r="J2" s="4" t="s">
        <v>9</v>
      </c>
      <c r="K2" s="9"/>
      <c r="L2" s="9"/>
      <c r="M2" s="9"/>
      <c r="N2" s="9"/>
      <c r="O2" s="9"/>
      <c r="P2" s="9"/>
    </row>
    <row r="3" spans="1:16" ht="19.8" x14ac:dyDescent="0.35">
      <c r="A3" s="1" t="s">
        <v>2</v>
      </c>
      <c r="B3" s="2">
        <v>0.01</v>
      </c>
      <c r="C3" s="2">
        <v>1.4999999999999999E-2</v>
      </c>
      <c r="D3" s="2">
        <v>0.03</v>
      </c>
      <c r="E3" s="2">
        <v>0.05</v>
      </c>
      <c r="F3" s="2">
        <v>0.08</v>
      </c>
      <c r="G3" s="10"/>
      <c r="H3" s="8" t="s">
        <v>3</v>
      </c>
      <c r="I3" s="27">
        <v>492</v>
      </c>
      <c r="J3" s="4" t="s">
        <v>9</v>
      </c>
      <c r="K3" s="10"/>
      <c r="L3" s="10"/>
      <c r="M3" s="10"/>
      <c r="N3" s="10"/>
      <c r="O3" s="10"/>
    </row>
    <row r="4" spans="1:16" ht="19.8" x14ac:dyDescent="0.35">
      <c r="A4" s="1" t="s">
        <v>3</v>
      </c>
      <c r="B4" s="2">
        <f>0.75*B3</f>
        <v>7.4999999999999997E-3</v>
      </c>
      <c r="C4" s="2">
        <f t="shared" ref="C4:F4" si="0">0.75*C3</f>
        <v>1.125E-2</v>
      </c>
      <c r="D4" s="2">
        <f t="shared" si="0"/>
        <v>2.2499999999999999E-2</v>
      </c>
      <c r="E4" s="2">
        <f t="shared" si="0"/>
        <v>3.7500000000000006E-2</v>
      </c>
      <c r="F4" s="2">
        <f t="shared" si="0"/>
        <v>0.06</v>
      </c>
      <c r="G4" s="11"/>
      <c r="H4" s="11"/>
      <c r="I4" s="11"/>
      <c r="J4" s="11"/>
      <c r="K4" s="11"/>
      <c r="L4" s="11"/>
      <c r="M4" s="11"/>
      <c r="N4" s="11"/>
      <c r="O4" s="11"/>
    </row>
    <row r="5" spans="1:16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6" x14ac:dyDescent="0.35">
      <c r="A6" s="12" t="s">
        <v>10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6" x14ac:dyDescent="0.35">
      <c r="A7" s="12" t="s">
        <v>19</v>
      </c>
    </row>
    <row r="8" spans="1:16" x14ac:dyDescent="0.35">
      <c r="A8" s="12" t="s">
        <v>20</v>
      </c>
    </row>
    <row r="10" spans="1:16" x14ac:dyDescent="0.35">
      <c r="A10" s="16" t="s">
        <v>1</v>
      </c>
      <c r="B10" s="16" t="s">
        <v>24</v>
      </c>
      <c r="D10" s="14"/>
    </row>
    <row r="11" spans="1:16" x14ac:dyDescent="0.35">
      <c r="A11" s="15">
        <v>20</v>
      </c>
      <c r="B11" s="15" t="s">
        <v>4</v>
      </c>
    </row>
    <row r="12" spans="1:16" x14ac:dyDescent="0.35">
      <c r="A12" s="15">
        <v>21</v>
      </c>
      <c r="B12" s="15" t="s">
        <v>4</v>
      </c>
    </row>
    <row r="13" spans="1:16" x14ac:dyDescent="0.35">
      <c r="A13" s="15">
        <v>22</v>
      </c>
      <c r="B13" s="15" t="s">
        <v>4</v>
      </c>
    </row>
    <row r="14" spans="1:16" x14ac:dyDescent="0.35">
      <c r="A14" s="15">
        <v>23</v>
      </c>
      <c r="B14" s="15" t="s">
        <v>4</v>
      </c>
    </row>
    <row r="15" spans="1:16" x14ac:dyDescent="0.35">
      <c r="A15" s="15">
        <v>24</v>
      </c>
      <c r="B15" s="15" t="s">
        <v>4</v>
      </c>
    </row>
    <row r="16" spans="1:16" x14ac:dyDescent="0.35">
      <c r="A16" s="15">
        <v>25</v>
      </c>
      <c r="B16" s="15" t="s">
        <v>4</v>
      </c>
    </row>
    <row r="17" spans="1:2" x14ac:dyDescent="0.35">
      <c r="A17" s="15">
        <v>26</v>
      </c>
      <c r="B17" s="15" t="s">
        <v>4</v>
      </c>
    </row>
    <row r="18" spans="1:2" x14ac:dyDescent="0.35">
      <c r="A18" s="15">
        <v>27</v>
      </c>
      <c r="B18" s="15" t="s">
        <v>4</v>
      </c>
    </row>
    <row r="19" spans="1:2" x14ac:dyDescent="0.35">
      <c r="A19" s="15">
        <v>28</v>
      </c>
      <c r="B19" s="15" t="s">
        <v>4</v>
      </c>
    </row>
    <row r="20" spans="1:2" x14ac:dyDescent="0.35">
      <c r="A20" s="15">
        <v>29</v>
      </c>
      <c r="B20" s="15" t="s">
        <v>4</v>
      </c>
    </row>
    <row r="21" spans="1:2" x14ac:dyDescent="0.35">
      <c r="A21" s="15">
        <v>30</v>
      </c>
      <c r="B21" s="15" t="s">
        <v>5</v>
      </c>
    </row>
    <row r="22" spans="1:2" x14ac:dyDescent="0.35">
      <c r="A22" s="15">
        <v>31</v>
      </c>
      <c r="B22" s="15" t="s">
        <v>5</v>
      </c>
    </row>
    <row r="23" spans="1:2" x14ac:dyDescent="0.35">
      <c r="A23" s="15">
        <v>32</v>
      </c>
      <c r="B23" s="15" t="s">
        <v>5</v>
      </c>
    </row>
    <row r="24" spans="1:2" x14ac:dyDescent="0.35">
      <c r="A24" s="15">
        <v>33</v>
      </c>
      <c r="B24" s="15" t="s">
        <v>5</v>
      </c>
    </row>
    <row r="25" spans="1:2" x14ac:dyDescent="0.35">
      <c r="A25" s="15">
        <v>34</v>
      </c>
      <c r="B25" s="15" t="s">
        <v>5</v>
      </c>
    </row>
    <row r="26" spans="1:2" x14ac:dyDescent="0.35">
      <c r="A26" s="15">
        <v>35</v>
      </c>
      <c r="B26" s="15" t="s">
        <v>5</v>
      </c>
    </row>
    <row r="27" spans="1:2" x14ac:dyDescent="0.35">
      <c r="A27" s="15">
        <v>36</v>
      </c>
      <c r="B27" s="15" t="s">
        <v>5</v>
      </c>
    </row>
    <row r="28" spans="1:2" x14ac:dyDescent="0.35">
      <c r="A28" s="15">
        <v>37</v>
      </c>
      <c r="B28" s="15" t="s">
        <v>5</v>
      </c>
    </row>
    <row r="29" spans="1:2" x14ac:dyDescent="0.35">
      <c r="A29" s="15">
        <v>38</v>
      </c>
      <c r="B29" s="15" t="s">
        <v>5</v>
      </c>
    </row>
    <row r="30" spans="1:2" x14ac:dyDescent="0.35">
      <c r="A30" s="15">
        <v>39</v>
      </c>
      <c r="B30" s="15" t="s">
        <v>5</v>
      </c>
    </row>
    <row r="31" spans="1:2" x14ac:dyDescent="0.35">
      <c r="A31" s="15">
        <v>40</v>
      </c>
      <c r="B31" s="15" t="s">
        <v>6</v>
      </c>
    </row>
    <row r="32" spans="1:2" x14ac:dyDescent="0.35">
      <c r="A32" s="15">
        <v>41</v>
      </c>
      <c r="B32" s="15" t="s">
        <v>6</v>
      </c>
    </row>
    <row r="33" spans="1:2" x14ac:dyDescent="0.35">
      <c r="A33" s="15">
        <v>42</v>
      </c>
      <c r="B33" s="15" t="s">
        <v>6</v>
      </c>
    </row>
    <row r="34" spans="1:2" x14ac:dyDescent="0.35">
      <c r="A34" s="15">
        <v>43</v>
      </c>
      <c r="B34" s="15" t="s">
        <v>6</v>
      </c>
    </row>
    <row r="35" spans="1:2" x14ac:dyDescent="0.35">
      <c r="A35" s="15">
        <v>44</v>
      </c>
      <c r="B35" s="15" t="s">
        <v>6</v>
      </c>
    </row>
    <row r="36" spans="1:2" x14ac:dyDescent="0.35">
      <c r="A36" s="15">
        <v>45</v>
      </c>
      <c r="B36" s="15" t="s">
        <v>6</v>
      </c>
    </row>
    <row r="37" spans="1:2" x14ac:dyDescent="0.35">
      <c r="A37" s="15">
        <v>46</v>
      </c>
      <c r="B37" s="15" t="s">
        <v>6</v>
      </c>
    </row>
    <row r="38" spans="1:2" x14ac:dyDescent="0.35">
      <c r="A38" s="15">
        <v>47</v>
      </c>
      <c r="B38" s="15" t="s">
        <v>6</v>
      </c>
    </row>
    <row r="39" spans="1:2" x14ac:dyDescent="0.35">
      <c r="A39" s="15">
        <v>48</v>
      </c>
      <c r="B39" s="15" t="s">
        <v>6</v>
      </c>
    </row>
    <row r="40" spans="1:2" x14ac:dyDescent="0.35">
      <c r="A40" s="15">
        <v>49</v>
      </c>
      <c r="B40" s="15" t="s">
        <v>6</v>
      </c>
    </row>
    <row r="41" spans="1:2" x14ac:dyDescent="0.35">
      <c r="A41" s="15">
        <v>50</v>
      </c>
      <c r="B41" s="15" t="s">
        <v>7</v>
      </c>
    </row>
    <row r="42" spans="1:2" x14ac:dyDescent="0.35">
      <c r="A42" s="15">
        <v>51</v>
      </c>
      <c r="B42" s="15" t="s">
        <v>7</v>
      </c>
    </row>
    <row r="43" spans="1:2" x14ac:dyDescent="0.35">
      <c r="A43" s="15">
        <v>52</v>
      </c>
      <c r="B43" s="15" t="s">
        <v>7</v>
      </c>
    </row>
    <row r="44" spans="1:2" x14ac:dyDescent="0.35">
      <c r="A44" s="15">
        <v>53</v>
      </c>
      <c r="B44" s="15" t="s">
        <v>7</v>
      </c>
    </row>
    <row r="45" spans="1:2" x14ac:dyDescent="0.35">
      <c r="A45" s="15">
        <v>54</v>
      </c>
      <c r="B45" s="15" t="s">
        <v>7</v>
      </c>
    </row>
    <row r="46" spans="1:2" x14ac:dyDescent="0.35">
      <c r="A46" s="15">
        <v>55</v>
      </c>
      <c r="B46" s="15" t="s">
        <v>7</v>
      </c>
    </row>
    <row r="47" spans="1:2" x14ac:dyDescent="0.35">
      <c r="A47" s="15">
        <v>56</v>
      </c>
      <c r="B47" s="15" t="s">
        <v>7</v>
      </c>
    </row>
    <row r="48" spans="1:2" x14ac:dyDescent="0.35">
      <c r="A48" s="15">
        <v>57</v>
      </c>
      <c r="B48" s="15" t="s">
        <v>7</v>
      </c>
    </row>
    <row r="49" spans="1:2" x14ac:dyDescent="0.35">
      <c r="A49" s="15">
        <v>58</v>
      </c>
      <c r="B49" s="15" t="s">
        <v>7</v>
      </c>
    </row>
    <row r="50" spans="1:2" x14ac:dyDescent="0.35">
      <c r="A50" s="15">
        <v>59</v>
      </c>
      <c r="B50" s="15" t="s">
        <v>7</v>
      </c>
    </row>
    <row r="51" spans="1:2" x14ac:dyDescent="0.35">
      <c r="A51" s="15">
        <v>60</v>
      </c>
      <c r="B51" s="15" t="s">
        <v>8</v>
      </c>
    </row>
    <row r="52" spans="1:2" x14ac:dyDescent="0.35">
      <c r="A52" s="15">
        <v>61</v>
      </c>
      <c r="B52" s="15" t="s">
        <v>8</v>
      </c>
    </row>
    <row r="53" spans="1:2" x14ac:dyDescent="0.35">
      <c r="A53" s="15">
        <v>62</v>
      </c>
      <c r="B53" s="15" t="s">
        <v>8</v>
      </c>
    </row>
    <row r="54" spans="1:2" x14ac:dyDescent="0.35">
      <c r="A54" s="15">
        <v>63</v>
      </c>
      <c r="B54" s="15" t="s">
        <v>8</v>
      </c>
    </row>
    <row r="55" spans="1:2" x14ac:dyDescent="0.35">
      <c r="A55" s="15">
        <v>64</v>
      </c>
      <c r="B55" s="15" t="s">
        <v>8</v>
      </c>
    </row>
    <row r="56" spans="1:2" x14ac:dyDescent="0.35">
      <c r="A56" s="15">
        <v>65</v>
      </c>
      <c r="B56" s="15" t="s">
        <v>8</v>
      </c>
    </row>
    <row r="57" spans="1:2" x14ac:dyDescent="0.35">
      <c r="A57" s="15">
        <v>66</v>
      </c>
      <c r="B57" s="15" t="s">
        <v>8</v>
      </c>
    </row>
    <row r="58" spans="1:2" x14ac:dyDescent="0.35">
      <c r="A58" s="15">
        <v>67</v>
      </c>
      <c r="B58" s="15" t="s">
        <v>8</v>
      </c>
    </row>
    <row r="59" spans="1:2" x14ac:dyDescent="0.35">
      <c r="A59" s="15">
        <v>68</v>
      </c>
      <c r="B59" s="15" t="s">
        <v>8</v>
      </c>
    </row>
    <row r="60" spans="1:2" x14ac:dyDescent="0.35">
      <c r="A60" s="15">
        <v>69</v>
      </c>
      <c r="B60" s="15" t="s">
        <v>8</v>
      </c>
    </row>
  </sheetData>
  <sheetProtection sheet="1" objects="1" scenarios="1"/>
  <mergeCells count="2">
    <mergeCell ref="A1:F1"/>
    <mergeCell ref="H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M21"/>
  <sheetViews>
    <sheetView zoomScaleNormal="100" workbookViewId="0"/>
  </sheetViews>
  <sheetFormatPr defaultColWidth="9.109375" defaultRowHeight="15.6" x14ac:dyDescent="0.35"/>
  <cols>
    <col min="1" max="1" width="15" style="19" customWidth="1"/>
    <col min="2" max="2" width="7" style="19" customWidth="1"/>
    <col min="3" max="3" width="10.33203125" bestFit="1" customWidth="1"/>
    <col min="4" max="4" width="15.5546875" style="19" bestFit="1" customWidth="1"/>
    <col min="5" max="5" width="10" style="19" customWidth="1"/>
    <col min="6" max="16384" width="9.109375" style="18"/>
  </cols>
  <sheetData>
    <row r="1" spans="1:13" x14ac:dyDescent="0.35">
      <c r="A1" s="21" t="s">
        <v>21</v>
      </c>
      <c r="B1" s="21" t="s">
        <v>1</v>
      </c>
      <c r="C1" s="21" t="s">
        <v>23</v>
      </c>
      <c r="D1" s="21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3" x14ac:dyDescent="0.35">
      <c r="A2" s="21">
        <v>1</v>
      </c>
      <c r="B2" s="21">
        <v>28</v>
      </c>
      <c r="C2" s="21" t="str">
        <f t="shared" ref="C2:C13" si="0">VLOOKUP(B2,Age_Decade,2,FALSE)</f>
        <v>20s</v>
      </c>
      <c r="D2" s="28">
        <f>IF(Inputs!$B$2="Male",(HLOOKUP(C2,Tables!$B$2:$F$4,2,FALSE)*(Tables!$I$2*12)),(HLOOKUP(C2,Tables!$B$2:$F$4,3,FALSE)*(Tables!$I$3*12))) * IF(Inputs!$B$3="Unhealthy",1.5,1)</f>
        <v>44.28</v>
      </c>
      <c r="E2" s="31"/>
      <c r="F2" s="31" t="s">
        <v>34</v>
      </c>
      <c r="G2" s="32" t="s">
        <v>33</v>
      </c>
      <c r="H2" s="31"/>
      <c r="I2" s="31"/>
      <c r="J2" s="31"/>
      <c r="K2" s="31"/>
      <c r="L2" s="31"/>
      <c r="M2" s="31"/>
    </row>
    <row r="3" spans="1:13" x14ac:dyDescent="0.35">
      <c r="A3" s="21">
        <f>A2+1</f>
        <v>2</v>
      </c>
      <c r="B3" s="21">
        <f>B2+1</f>
        <v>29</v>
      </c>
      <c r="C3" s="21" t="str">
        <f t="shared" si="0"/>
        <v>20s</v>
      </c>
      <c r="D3" s="25">
        <f>IF(Inputs!$B$2="Male",(HLOOKUP(C3,Tables!$B$2:$F$4,2,FALSE)*(Tables!$I$2*12)),(HLOOKUP(C3,Tables!$B$2:$F$4,3,FALSE)*(Tables!$I$3*12))) * IF(Inputs!$B$3="Unhealthy",1.5,1)</f>
        <v>44.28</v>
      </c>
      <c r="E3" s="31"/>
      <c r="F3" s="31" t="s">
        <v>35</v>
      </c>
      <c r="G3" s="32" t="s">
        <v>25</v>
      </c>
      <c r="H3" s="31"/>
      <c r="I3" s="31"/>
      <c r="J3" s="31"/>
      <c r="K3" s="31"/>
      <c r="L3" s="31"/>
      <c r="M3" s="31"/>
    </row>
    <row r="4" spans="1:13" x14ac:dyDescent="0.35">
      <c r="A4" s="21">
        <f t="shared" ref="A4:A17" si="1">A3+1</f>
        <v>3</v>
      </c>
      <c r="B4" s="21">
        <f t="shared" ref="B4:B17" si="2">B3+1</f>
        <v>30</v>
      </c>
      <c r="C4" s="21" t="str">
        <f t="shared" si="0"/>
        <v>30s</v>
      </c>
      <c r="D4" s="25">
        <f>IF(Inputs!$B$2="Male",(HLOOKUP(C4,Tables!$B$2:$F$4,2,FALSE)*(Tables!$I$2*12)),(HLOOKUP(C4,Tables!$B$2:$F$4,3,FALSE)*(Tables!$I$3*12))) * IF(Inputs!$B$3="Unhealthy",1.5,1)</f>
        <v>66.42</v>
      </c>
      <c r="E4" s="31"/>
      <c r="F4" s="31"/>
      <c r="G4" s="31"/>
      <c r="H4" s="31"/>
      <c r="I4" s="31"/>
      <c r="J4" s="31"/>
      <c r="K4" s="31"/>
      <c r="L4" s="31"/>
      <c r="M4" s="31"/>
    </row>
    <row r="5" spans="1:13" x14ac:dyDescent="0.35">
      <c r="A5" s="21">
        <f t="shared" si="1"/>
        <v>4</v>
      </c>
      <c r="B5" s="21">
        <f t="shared" si="2"/>
        <v>31</v>
      </c>
      <c r="C5" s="21" t="str">
        <f t="shared" si="0"/>
        <v>30s</v>
      </c>
      <c r="D5" s="25">
        <f>IF(Inputs!$B$2="Male",(HLOOKUP(C5,Tables!$B$2:$F$4,2,FALSE)*(Tables!$I$2*12)),(HLOOKUP(C5,Tables!$B$2:$F$4,3,FALSE)*(Tables!$I$3*12))) * IF(Inputs!$B$3="Unhealthy",1.5,1)</f>
        <v>66.42</v>
      </c>
      <c r="E5" s="31"/>
      <c r="F5" s="31"/>
      <c r="G5" s="31"/>
      <c r="H5" s="31"/>
      <c r="I5" s="31"/>
      <c r="J5" s="31"/>
      <c r="K5" s="31"/>
      <c r="L5" s="31"/>
      <c r="M5" s="31"/>
    </row>
    <row r="6" spans="1:13" x14ac:dyDescent="0.35">
      <c r="A6" s="21">
        <f t="shared" si="1"/>
        <v>5</v>
      </c>
      <c r="B6" s="21">
        <f t="shared" si="2"/>
        <v>32</v>
      </c>
      <c r="C6" s="21" t="str">
        <f t="shared" si="0"/>
        <v>30s</v>
      </c>
      <c r="D6" s="25">
        <f>IF(Inputs!$B$2="Male",(HLOOKUP(C6,Tables!$B$2:$F$4,2,FALSE)*(Tables!$I$2*12)),(HLOOKUP(C6,Tables!$B$2:$F$4,3,FALSE)*(Tables!$I$3*12))) * IF(Inputs!$B$3="Unhealthy",1.5,1)</f>
        <v>66.42</v>
      </c>
      <c r="E6" s="31"/>
      <c r="F6" s="31"/>
      <c r="G6" s="31"/>
      <c r="H6" s="31"/>
      <c r="I6" s="31"/>
      <c r="J6" s="31"/>
      <c r="K6" s="31"/>
      <c r="L6" s="31"/>
      <c r="M6" s="31"/>
    </row>
    <row r="7" spans="1:13" x14ac:dyDescent="0.35">
      <c r="A7" s="21">
        <f t="shared" si="1"/>
        <v>6</v>
      </c>
      <c r="B7" s="21">
        <f t="shared" si="2"/>
        <v>33</v>
      </c>
      <c r="C7" s="21" t="str">
        <f t="shared" si="0"/>
        <v>30s</v>
      </c>
      <c r="D7" s="21">
        <f>IF(Inputs!$B$2="Male",(HLOOKUP(C7,Tables!$B$2:$F$4,2,FALSE)*(Tables!$I$2*12)),(HLOOKUP(C7,Tables!$B$2:$F$4,3,FALSE)*(Tables!$I$3*12))) * IF(Inputs!$B$3="Unhealthy",1.5,1)</f>
        <v>66.42</v>
      </c>
      <c r="E7" s="31"/>
      <c r="F7" s="31"/>
      <c r="G7" s="31"/>
      <c r="H7" s="31"/>
      <c r="I7" s="31"/>
      <c r="J7" s="31"/>
      <c r="K7" s="31"/>
      <c r="L7" s="31"/>
      <c r="M7" s="31"/>
    </row>
    <row r="8" spans="1:13" x14ac:dyDescent="0.35">
      <c r="A8" s="21">
        <f t="shared" si="1"/>
        <v>7</v>
      </c>
      <c r="B8" s="21">
        <f t="shared" si="2"/>
        <v>34</v>
      </c>
      <c r="C8" s="21" t="str">
        <f t="shared" si="0"/>
        <v>30s</v>
      </c>
      <c r="D8" s="21">
        <f>IF(Inputs!$B$2="Male",(HLOOKUP(C8,Tables!$B$2:$F$4,2,FALSE)*(Tables!$I$2*12)),(HLOOKUP(C8,Tables!$B$2:$F$4,3,FALSE)*(Tables!$I$3*12))) * IF(Inputs!$B$3="Unhealthy",1.5,1)</f>
        <v>66.42</v>
      </c>
      <c r="E8" s="31"/>
      <c r="F8" s="31"/>
      <c r="G8" s="31"/>
      <c r="H8" s="31"/>
      <c r="I8" s="31"/>
      <c r="J8" s="31"/>
      <c r="K8" s="31"/>
      <c r="L8" s="31"/>
      <c r="M8" s="31"/>
    </row>
    <row r="9" spans="1:13" x14ac:dyDescent="0.35">
      <c r="A9" s="21">
        <f t="shared" si="1"/>
        <v>8</v>
      </c>
      <c r="B9" s="21">
        <f t="shared" si="2"/>
        <v>35</v>
      </c>
      <c r="C9" s="21" t="str">
        <f t="shared" si="0"/>
        <v>30s</v>
      </c>
      <c r="D9" s="21">
        <f>IF(Inputs!$B$2="Male",(HLOOKUP(C9,Tables!$B$2:$F$4,2,FALSE)*(Tables!$I$2*12)),(HLOOKUP(C9,Tables!$B$2:$F$4,3,FALSE)*(Tables!$I$3*12))) * IF(Inputs!$B$3="Unhealthy",1.5,1)</f>
        <v>66.42</v>
      </c>
      <c r="E9" s="31"/>
      <c r="F9" s="31"/>
      <c r="G9" s="31"/>
      <c r="H9" s="31"/>
      <c r="I9" s="31"/>
      <c r="J9" s="31"/>
      <c r="K9" s="31"/>
      <c r="L9" s="31"/>
      <c r="M9" s="31"/>
    </row>
    <row r="10" spans="1:13" x14ac:dyDescent="0.35">
      <c r="A10" s="21">
        <f t="shared" si="1"/>
        <v>9</v>
      </c>
      <c r="B10" s="21">
        <f t="shared" si="2"/>
        <v>36</v>
      </c>
      <c r="C10" s="21" t="str">
        <f t="shared" si="0"/>
        <v>30s</v>
      </c>
      <c r="D10" s="21">
        <f>IF(Inputs!$B$2="Male",(HLOOKUP(C10,Tables!$B$2:$F$4,2,FALSE)*(Tables!$I$2*12)),(HLOOKUP(C10,Tables!$B$2:$F$4,3,FALSE)*(Tables!$I$3*12))) * IF(Inputs!$B$3="Unhealthy",1.5,1)</f>
        <v>66.42</v>
      </c>
      <c r="E10" s="31"/>
      <c r="F10" s="31"/>
      <c r="G10" s="31"/>
      <c r="H10" s="31"/>
      <c r="I10" s="31"/>
      <c r="J10" s="31"/>
      <c r="K10" s="31"/>
      <c r="L10" s="31"/>
      <c r="M10" s="31"/>
    </row>
    <row r="11" spans="1:13" x14ac:dyDescent="0.35">
      <c r="A11" s="21">
        <f t="shared" si="1"/>
        <v>10</v>
      </c>
      <c r="B11" s="21">
        <f t="shared" si="2"/>
        <v>37</v>
      </c>
      <c r="C11" s="21" t="str">
        <f t="shared" si="0"/>
        <v>30s</v>
      </c>
      <c r="D11" s="21">
        <f>IF(Inputs!$B$2="Male",(HLOOKUP(C11,Tables!$B$2:$F$4,2,FALSE)*(Tables!$I$2*12)),(HLOOKUP(C11,Tables!$B$2:$F$4,3,FALSE)*(Tables!$I$3*12))) * IF(Inputs!$B$3="Unhealthy",1.5,1)</f>
        <v>66.42</v>
      </c>
      <c r="E11" s="31"/>
      <c r="H11" s="31"/>
      <c r="I11" s="31"/>
      <c r="J11" s="31"/>
      <c r="K11" s="31"/>
      <c r="L11" s="31"/>
      <c r="M11" s="31"/>
    </row>
    <row r="12" spans="1:13" x14ac:dyDescent="0.35">
      <c r="A12" s="21">
        <f t="shared" si="1"/>
        <v>11</v>
      </c>
      <c r="B12" s="21">
        <f t="shared" si="2"/>
        <v>38</v>
      </c>
      <c r="C12" s="21" t="str">
        <f t="shared" si="0"/>
        <v>30s</v>
      </c>
      <c r="D12" s="21">
        <f>IF(Inputs!$B$2="Male",(HLOOKUP(C12,Tables!$B$2:$F$4,2,FALSE)*(Tables!$I$2*12)),(HLOOKUP(C12,Tables!$B$2:$F$4,3,FALSE)*(Tables!$I$3*12))) * IF(Inputs!$B$3="Unhealthy",1.5,1)</f>
        <v>66.42</v>
      </c>
      <c r="E12" s="31"/>
      <c r="H12" s="31"/>
      <c r="I12" s="31"/>
      <c r="J12" s="31"/>
      <c r="K12" s="31"/>
      <c r="L12" s="31"/>
      <c r="M12" s="31"/>
    </row>
    <row r="13" spans="1:13" x14ac:dyDescent="0.35">
      <c r="A13" s="21">
        <f t="shared" si="1"/>
        <v>12</v>
      </c>
      <c r="B13" s="21">
        <f t="shared" si="2"/>
        <v>39</v>
      </c>
      <c r="C13" s="21" t="str">
        <f t="shared" si="0"/>
        <v>30s</v>
      </c>
      <c r="D13" s="21">
        <f>IF(Inputs!$B$2="Male",(HLOOKUP(C13,Tables!$B$2:$F$4,2,FALSE)*(Tables!$I$2*12)),(HLOOKUP(C13,Tables!$B$2:$F$4,3,FALSE)*(Tables!$I$3*12))) * IF(Inputs!$B$3="Unhealthy",1.5,1)</f>
        <v>66.42</v>
      </c>
      <c r="E13" s="31"/>
      <c r="F13" s="31"/>
      <c r="G13" s="31"/>
      <c r="H13" s="31"/>
      <c r="I13" s="31"/>
      <c r="J13" s="31"/>
      <c r="K13" s="31"/>
      <c r="L13" s="31"/>
      <c r="M13" s="31"/>
    </row>
    <row r="14" spans="1:13" x14ac:dyDescent="0.35">
      <c r="A14" s="21">
        <f t="shared" si="1"/>
        <v>13</v>
      </c>
      <c r="B14" s="21">
        <f t="shared" si="2"/>
        <v>40</v>
      </c>
      <c r="C14" s="21" t="str">
        <f t="shared" ref="C14:C16" si="3">VLOOKUP(B14,Age_Decade,2,FALSE)</f>
        <v>40s</v>
      </c>
      <c r="D14" s="21">
        <f>IF(Inputs!$B$2="Male",(HLOOKUP(C14,Tables!$B$2:$F$4,2,FALSE)*(Tables!$I$2*12)),(HLOOKUP(C14,Tables!$B$2:$F$4,3,FALSE)*(Tables!$I$3*12))) * IF(Inputs!$B$3="Unhealthy",1.5,1)</f>
        <v>132.84</v>
      </c>
      <c r="E14" s="22"/>
    </row>
    <row r="15" spans="1:13" x14ac:dyDescent="0.35">
      <c r="A15" s="21">
        <f t="shared" si="1"/>
        <v>14</v>
      </c>
      <c r="B15" s="21">
        <f t="shared" si="2"/>
        <v>41</v>
      </c>
      <c r="C15" s="21" t="str">
        <f t="shared" si="3"/>
        <v>40s</v>
      </c>
      <c r="D15" s="21">
        <f>IF(Inputs!$B$2="Male",(HLOOKUP(C15,Tables!$B$2:$F$4,2,FALSE)*(Tables!$I$2*12)),(HLOOKUP(C15,Tables!$B$2:$F$4,3,FALSE)*(Tables!$I$3*12))) * IF(Inputs!$B$3="Unhealthy",1.5,1)</f>
        <v>132.84</v>
      </c>
      <c r="E15" s="22"/>
    </row>
    <row r="16" spans="1:13" x14ac:dyDescent="0.35">
      <c r="A16" s="21">
        <f t="shared" si="1"/>
        <v>15</v>
      </c>
      <c r="B16" s="21">
        <f t="shared" si="2"/>
        <v>42</v>
      </c>
      <c r="C16" s="21" t="str">
        <f t="shared" si="3"/>
        <v>40s</v>
      </c>
      <c r="D16" s="21">
        <f>IF(Inputs!$B$2="Male",(HLOOKUP(C16,Tables!$B$2:$F$4,2,FALSE)*(Tables!$I$2*12)),(HLOOKUP(C16,Tables!$B$2:$F$4,3,FALSE)*(Tables!$I$3*12))) * IF(Inputs!$B$3="Unhealthy",1.5,1)</f>
        <v>132.84</v>
      </c>
      <c r="E16" s="22"/>
    </row>
    <row r="17" spans="1:5" x14ac:dyDescent="0.35">
      <c r="A17" s="21">
        <f t="shared" si="1"/>
        <v>16</v>
      </c>
      <c r="B17" s="21">
        <f t="shared" si="2"/>
        <v>43</v>
      </c>
      <c r="C17" s="21" t="str">
        <f t="shared" ref="C17" si="4">VLOOKUP(B17,Age_Decade,2,FALSE)</f>
        <v>40s</v>
      </c>
      <c r="D17" s="21">
        <f>IF(Inputs!$B$2="Male",(HLOOKUP(C17,Tables!$B$2:$F$4,2,FALSE)*(Tables!$I$2*12)),(HLOOKUP(C17,Tables!$B$2:$F$4,3,FALSE)*(Tables!$I$3*12))) * IF(Inputs!$B$3="Unhealthy",1.5,1)</f>
        <v>132.84</v>
      </c>
      <c r="E17" s="22"/>
    </row>
    <row r="18" spans="1:5" x14ac:dyDescent="0.35">
      <c r="A18" s="20"/>
      <c r="B18" s="20"/>
      <c r="D18" s="20"/>
      <c r="E18" s="22"/>
    </row>
    <row r="19" spans="1:5" x14ac:dyDescent="0.35">
      <c r="E19" s="23"/>
    </row>
    <row r="20" spans="1:5" x14ac:dyDescent="0.35">
      <c r="E20" s="23"/>
    </row>
    <row r="21" spans="1:5" x14ac:dyDescent="0.35">
      <c r="E21" s="23"/>
    </row>
  </sheetData>
  <sheetProtection sheet="1" objects="1" scenarios="1"/>
  <pageMargins left="0.7" right="0.7" top="0.75" bottom="0.75" header="0.3" footer="0.3"/>
  <ignoredErrors>
    <ignoredError sqref="D2" unlockedFormula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Inputs</vt:lpstr>
      <vt:lpstr>Instructions</vt:lpstr>
      <vt:lpstr>Tables</vt:lpstr>
      <vt:lpstr>Formulas</vt:lpstr>
      <vt:lpstr>Age_Decade</vt:lpstr>
      <vt:lpstr>Probability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2021-05-11T09:10:42Z</dcterms:modified>
</cp:coreProperties>
</file>