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"/>
    </mc:Choice>
  </mc:AlternateContent>
  <xr:revisionPtr revIDLastSave="0" documentId="13_ncr:1_{8186D9E5-79B3-4443-908D-4A10BA6DB513}" xr6:coauthVersionLast="46" xr6:coauthVersionMax="46" xr10:uidLastSave="{00000000-0000-0000-0000-000000000000}"/>
  <bookViews>
    <workbookView xWindow="-108" yWindow="-108" windowWidth="23256" windowHeight="12576" tabRatio="423" activeTab="1" xr2:uid="{4EE4166E-FFDE-4045-BE4A-452AE43C29C1}"/>
  </bookViews>
  <sheets>
    <sheet name="Inputs" sheetId="3" r:id="rId1"/>
    <sheet name="Outputs" sheetId="7" r:id="rId2"/>
    <sheet name="Instructions" sheetId="2" r:id="rId3"/>
    <sheet name="Tables" sheetId="1" r:id="rId4"/>
    <sheet name="Formulas" sheetId="4" r:id="rId5"/>
  </sheets>
  <definedNames>
    <definedName name="Age_Decade">Tables!$A$10:$B$60</definedName>
    <definedName name="Probabilit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4" l="1"/>
  <c r="B16" i="4"/>
  <c r="C16" i="4"/>
  <c r="D16" i="4" s="1"/>
  <c r="A17" i="4"/>
  <c r="B17" i="4"/>
  <c r="C17" i="4"/>
  <c r="D17" i="4" s="1"/>
  <c r="A14" i="4"/>
  <c r="B14" i="4"/>
  <c r="B15" i="4" s="1"/>
  <c r="C15" i="4" s="1"/>
  <c r="D15" i="4" s="1"/>
  <c r="C14" i="4"/>
  <c r="D14" i="4"/>
  <c r="A15" i="4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2" i="7"/>
  <c r="A4" i="7"/>
  <c r="B4" i="7"/>
  <c r="C4" i="7" s="1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B5" i="7"/>
  <c r="C5" i="7"/>
  <c r="B6" i="7"/>
  <c r="C6" i="7" s="1"/>
  <c r="C3" i="7"/>
  <c r="B3" i="7"/>
  <c r="A3" i="7"/>
  <c r="C2" i="7"/>
  <c r="C2" i="4"/>
  <c r="D2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B3" i="4"/>
  <c r="C3" i="4" s="1"/>
  <c r="D3" i="4" s="1"/>
  <c r="C4" i="1"/>
  <c r="D4" i="1"/>
  <c r="E4" i="1"/>
  <c r="F4" i="1"/>
  <c r="B4" i="1"/>
  <c r="B7" i="7" l="1"/>
  <c r="B4" i="4"/>
  <c r="B8" i="7" l="1"/>
  <c r="C7" i="7"/>
  <c r="B5" i="4"/>
  <c r="C4" i="4"/>
  <c r="D4" i="4" s="1"/>
  <c r="B9" i="7" l="1"/>
  <c r="C8" i="7"/>
  <c r="B6" i="4"/>
  <c r="C5" i="4"/>
  <c r="D5" i="4" s="1"/>
  <c r="C9" i="7" l="1"/>
  <c r="B10" i="7"/>
  <c r="B7" i="4"/>
  <c r="C6" i="4"/>
  <c r="D6" i="4" s="1"/>
  <c r="C10" i="7" l="1"/>
  <c r="B11" i="7"/>
  <c r="B8" i="4"/>
  <c r="C7" i="4"/>
  <c r="D7" i="4" s="1"/>
  <c r="B12" i="7" l="1"/>
  <c r="C11" i="7"/>
  <c r="B9" i="4"/>
  <c r="C8" i="4"/>
  <c r="D8" i="4" s="1"/>
  <c r="B13" i="7" l="1"/>
  <c r="C12" i="7"/>
  <c r="B10" i="4"/>
  <c r="C9" i="4"/>
  <c r="D9" i="4" s="1"/>
  <c r="C13" i="7" l="1"/>
  <c r="B14" i="7"/>
  <c r="B11" i="4"/>
  <c r="C10" i="4"/>
  <c r="D10" i="4" s="1"/>
  <c r="C14" i="7" l="1"/>
  <c r="B15" i="7"/>
  <c r="B12" i="4"/>
  <c r="C11" i="4"/>
  <c r="D11" i="4" s="1"/>
  <c r="B16" i="7" l="1"/>
  <c r="C15" i="7"/>
  <c r="B13" i="4"/>
  <c r="C12" i="4"/>
  <c r="D12" i="4" s="1"/>
  <c r="B17" i="7" l="1"/>
  <c r="C16" i="7"/>
  <c r="C13" i="4"/>
  <c r="D13" i="4" s="1"/>
  <c r="C17" i="7" l="1"/>
  <c r="B18" i="7"/>
  <c r="C18" i="7" l="1"/>
  <c r="B19" i="7"/>
  <c r="B20" i="7" l="1"/>
  <c r="C19" i="7"/>
  <c r="B21" i="7" l="1"/>
  <c r="C20" i="7"/>
  <c r="C21" i="7" l="1"/>
  <c r="B22" i="7"/>
  <c r="C22" i="7" l="1"/>
  <c r="B23" i="7"/>
  <c r="B24" i="7" l="1"/>
  <c r="C23" i="7"/>
  <c r="B25" i="7" l="1"/>
  <c r="C24" i="7"/>
  <c r="C25" i="7" l="1"/>
  <c r="B26" i="7"/>
  <c r="C26" i="7" l="1"/>
  <c r="B27" i="7"/>
  <c r="B28" i="7" l="1"/>
  <c r="C27" i="7"/>
  <c r="B29" i="7" l="1"/>
  <c r="C28" i="7"/>
  <c r="C29" i="7" l="1"/>
  <c r="B30" i="7"/>
  <c r="C30" i="7" l="1"/>
  <c r="B31" i="7"/>
  <c r="B32" i="7" l="1"/>
  <c r="C31" i="7"/>
  <c r="B33" i="7" l="1"/>
  <c r="C32" i="7"/>
  <c r="C33" i="7" l="1"/>
  <c r="B34" i="7"/>
  <c r="C34" i="7" l="1"/>
  <c r="B35" i="7"/>
  <c r="B36" i="7" l="1"/>
  <c r="C36" i="7" s="1"/>
  <c r="C35" i="7"/>
</calcChain>
</file>

<file path=xl/sharedStrings.xml><?xml version="1.0" encoding="utf-8"?>
<sst xmlns="http://schemas.openxmlformats.org/spreadsheetml/2006/main" count="106" uniqueCount="39">
  <si>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</si>
  <si>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</si>
  <si>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</si>
  <si>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</si>
  <si>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</si>
  <si>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</si>
  <si>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</si>
  <si>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</si>
  <si>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</si>
  <si>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</si>
  <si>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</si>
  <si>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</si>
  <si>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</si>
  <si>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</si>
  <si>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</si>
  <si>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</si>
  <si>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</si>
  <si>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</si>
  <si>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</si>
  <si>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</si>
  <si>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</si>
  <si>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</si>
  <si>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</si>
  <si>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</si>
  <si>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</si>
  <si>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=IF(Inputs!$B$2="Male",(HLOOKUP(C2,Tables!$B$2:$F$4,2,FALSE)*(Tables!$I$2*12)),(HLOOKUP(C2,Tables!$B$2:$F$4,3,FALSE)*(Tables!$I$3*12))) * IF(Inputs!$B$3="Unhealthy",1.5,1)</t>
  </si>
  <si>
    <t>=VLOOKUP(B2,Age_Decade,2,FALSE)</t>
  </si>
  <si>
    <t>A</t>
  </si>
  <si>
    <t>B</t>
  </si>
  <si>
    <t>C</t>
  </si>
  <si>
    <t>D</t>
  </si>
  <si>
    <t>Formula for finding decade range (for column C)</t>
  </si>
  <si>
    <t>Formula for computing expected claims each policy year (column D)</t>
  </si>
  <si>
    <t>=VLOOKUP(B2,Age_Decades,2,FALSE)</t>
  </si>
  <si>
    <t>C2 =</t>
  </si>
  <si>
    <t>D2 =</t>
  </si>
  <si>
    <t>Health Status</t>
  </si>
  <si>
    <t>Sex</t>
  </si>
  <si>
    <t>Unhealthy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</si>
</sst>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  <numFmt numFmtId="166" formatCode="&quot;$&quot;#,##0.00"/>
  </numFmts>
  <fonts count="16" x14ac:knownFonts="1">
    <font>
      <sz val="11"/>
      <color theme="1"/>
      <name val="Calibri"/>
      <family val="2"/>
      <scheme val="minor"/>
    </font>
    <font>
      <sz val="13"/>
      <color rgb="FF000000"/>
      <name val="Open Sans"/>
      <family val="2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2" borderId="1" xfId="0" applyFont="1" applyFill="1" applyBorder="1" applyAlignment="1">
      <alignment horizontal="left" vertical="center" wrapText="1" indent="2"/>
    </xf>
    <xf numFmtId="10" fontId="1" fillId="2" borderId="1" xfId="0" applyNumberFormat="1" applyFont="1" applyFill="1" applyBorder="1" applyAlignment="1">
      <alignment horizontal="left" vertical="center" wrapText="1" indent="2"/>
    </xf>
    <xf numFmtId="0" fontId="6" fillId="0" borderId="1" xfId="0" applyFont="1" applyBorder="1" applyAlignment="1">
      <alignment horizontal="right"/>
    </xf>
    <xf numFmtId="0" fontId="9" fillId="0" borderId="1" xfId="0" applyFont="1" applyFill="1" applyBorder="1" applyAlignment="1"/>
    <xf numFmtId="0" fontId="11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7" fillId="0" borderId="0" xfId="0" applyFont="1"/>
    <xf numFmtId="0" fontId="10" fillId="0" borderId="1" xfId="0" applyFont="1" applyFill="1" applyBorder="1" applyAlignment="1">
      <alignment horizontal="left" indent="1"/>
    </xf>
    <xf numFmtId="0" fontId="7" fillId="0" borderId="0" xfId="0" applyFont="1" applyFill="1" applyBorder="1" applyAlignment="1"/>
    <xf numFmtId="0" fontId="7" fillId="0" borderId="0" xfId="0" applyFont="1" applyFill="1" applyBorder="1"/>
    <xf numFmtId="165" fontId="7" fillId="0" borderId="0" xfId="0" applyNumberFormat="1" applyFont="1" applyFill="1" applyBorder="1"/>
    <xf numFmtId="0" fontId="9" fillId="0" borderId="0" xfId="0" applyFont="1"/>
    <xf numFmtId="2" fontId="7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1" xfId="0" applyFont="1" applyBorder="1"/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8" fontId="7" fillId="0" borderId="0" xfId="0" applyNumberFormat="1" applyFont="1" applyAlignment="1" applyProtection="1">
      <alignment horizontal="center"/>
    </xf>
    <xf numFmtId="8" fontId="7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0" fillId="0" borderId="0" xfId="0" quotePrefix="1" applyAlignment="1">
      <alignment horizontal="center"/>
    </xf>
    <xf numFmtId="6" fontId="7" fillId="0" borderId="1" xfId="0" applyNumberFormat="1" applyFont="1" applyFill="1" applyBorder="1" applyAlignment="1"/>
    <xf numFmtId="6" fontId="7" fillId="0" borderId="1" xfId="0" applyNumberFormat="1" applyFont="1" applyFill="1" applyBorder="1"/>
    <xf numFmtId="0" fontId="14" fillId="0" borderId="0" xfId="0" quotePrefix="1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left"/>
      <protection locked="0"/>
    </xf>
    <xf numFmtId="0" fontId="12" fillId="0" borderId="1" xfId="0" applyFont="1" applyBorder="1" applyProtection="1">
      <protection locked="0"/>
    </xf>
    <xf numFmtId="0" fontId="7" fillId="0" borderId="0" xfId="0" applyFont="1" applyProtection="1"/>
    <xf numFmtId="0" fontId="7" fillId="0" borderId="0" xfId="0" quotePrefix="1" applyFont="1" applyProtection="1"/>
    <xf numFmtId="0" fontId="5" fillId="4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166" fontId="0" fillId="0" borderId="0" xfId="0" applyNumberFormat="1" applyAlignment="1">
      <alignment horizontal="center"/>
    </xf>
  </cellXfs>
  <cellStyles count="1">
    <cellStyle name="Normal" xfId="0" builtinId="0"/>
  </cellStyles>
  <dxfs count="6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Open Sans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160020</xdr:colOff>
          <xdr:row>0</xdr:row>
          <xdr:rowOff>45720</xdr:rowOff>
        </xdr:from>
        <xdr:to>
          <xdr:col>3</xdr:col>
          <xdr:colOff>388620</xdr:colOff>
          <xdr:row>2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15240</xdr:rowOff>
        </xdr:from>
        <xdr:to>
          <xdr:col>7</xdr:col>
          <xdr:colOff>327660</xdr:colOff>
          <xdr:row>3</xdr:row>
          <xdr:rowOff>106680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F9ABEDB5-4CBB-45D3-8DDD-4C437DACE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4</xdr:row>
          <xdr:rowOff>99060</xdr:rowOff>
        </xdr:from>
        <xdr:to>
          <xdr:col>7</xdr:col>
          <xdr:colOff>327660</xdr:colOff>
          <xdr:row>7</xdr:row>
          <xdr:rowOff>45720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832B03B5-3094-4CAE-A8D9-A07B0BEBA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 and 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8</xdr:row>
          <xdr:rowOff>0</xdr:rowOff>
        </xdr:from>
        <xdr:to>
          <xdr:col>7</xdr:col>
          <xdr:colOff>327660</xdr:colOff>
          <xdr:row>10</xdr:row>
          <xdr:rowOff>167640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8580A6A5-F1B5-490B-8A6F-4E1F301C5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Results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D17" totalsRowShown="0" headerRowDxfId="5" dataDxfId="4" headerRowCellStyle="Normal" dataCellStyle="Normal">
  <tableColumns count="4"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VLOOKUP(B2,Age_Decade,2,FALSE)</calculatedColumnFormula>
    </tableColumn>
    <tableColumn id="4" xr3:uid="{0238F8F0-9C31-4468-8819-E0ABF29DCAB6}" name="Expected Claims" dataDxfId="0" dataCellStyle="Normal">
      <calculatedColumnFormula>IF(Inputs!$B$2="Male",(HLOOKUP(C2,Tables!$B$2:$F$4,2,FALSE)*(Tables!$I$2*12)),(HLOOKUP(C2,Tables!$B$2:$F$4,3,FALSE)*(Tables!$I$3*12)))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zoomScale="200" zoomScaleNormal="200" workbookViewId="0">
      <selection activeCell="B1" sqref="B1"/>
    </sheetView>
  </sheetViews>
  <sheetFormatPr defaultColWidth="9.109375" defaultRowHeight="15.6" x14ac:dyDescent="0.35"/>
  <cols>
    <col min="1" max="2" width="11.44140625" style="7" bestFit="1" customWidth="1"/>
    <col min="3" max="16384" width="9.109375" style="7"/>
  </cols>
  <sheetData>
    <row r="1" spans="1:2" x14ac:dyDescent="0.35">
      <c r="A1" s="17" t="s">
        <v>1</v>
      </c>
      <c r="B1" s="29">
        <v>35</v>
      </c>
    </row>
    <row r="2" spans="1:2" x14ac:dyDescent="0.35">
      <c r="A2" s="17" t="s">
        <v>0</v>
      </c>
      <c r="B2" s="30" t="s">
        <v>3</v>
      </c>
    </row>
    <row r="3" spans="1:2" x14ac:dyDescent="0.35">
      <c r="A3" s="17" t="s">
        <v>18</v>
      </c>
      <c r="B3" s="30" t="s">
        <v>38</v>
      </c>
    </row>
    <row r="5" spans="1:2" x14ac:dyDescent="0.35">
      <c r="B5" s="15"/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160020</xdr:colOff>
                    <xdr:row>0</xdr:row>
                    <xdr:rowOff>45720</xdr:rowOff>
                  </from>
                  <to>
                    <xdr:col>3</xdr:col>
                    <xdr:colOff>388620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5BC36-3EDC-4E59-9143-53BA4B229E85}">
  <sheetPr codeName="Sheet7"/>
  <dimension ref="A1:E55"/>
  <sheetViews>
    <sheetView tabSelected="1" zoomScale="150" zoomScaleNormal="150" workbookViewId="0">
      <selection activeCell="D2" sqref="D2"/>
    </sheetView>
  </sheetViews>
  <sheetFormatPr defaultRowHeight="14.4" x14ac:dyDescent="0.3"/>
  <cols>
    <col min="1" max="1" width="10.33203125" bestFit="1" customWidth="1"/>
    <col min="2" max="2" width="4.21875" bestFit="1" customWidth="1"/>
    <col min="3" max="3" width="9.88671875" bestFit="1" customWidth="1"/>
    <col min="4" max="4" width="15" bestFit="1" customWidth="1"/>
    <col min="5" max="5" width="12.44140625" bestFit="1" customWidth="1"/>
  </cols>
  <sheetData>
    <row r="1" spans="1:5" x14ac:dyDescent="0.3">
      <c r="A1" s="36" t="s">
        <v>21</v>
      </c>
      <c r="B1" s="36" t="s">
        <v>1</v>
      </c>
      <c r="C1" s="36" t="s">
        <v>23</v>
      </c>
      <c r="D1" s="36" t="s">
        <v>22</v>
      </c>
      <c r="E1" s="35" t="s">
        <v>36</v>
      </c>
    </row>
    <row r="2" spans="1:5" x14ac:dyDescent="0.3">
      <c r="A2" s="21">
        <v>1</v>
      </c>
      <c r="B2" s="21">
        <v>35</v>
      </c>
      <c r="C2" s="21" t="str">
        <f>VLOOKUP(Outputs!B2,[0]!Age_Decade,2,FALSE)</f>
        <v>30s</v>
      </c>
      <c r="D2" s="37">
        <f>IF(Inputs!$B$2="Male",(HLOOKUP(C2,Tables!$B$2:$F$4,2,FALSE)*(Tables!$I$2*12)),(HLOOKUP(C2,Tables!$B$2:$F$4,3,FALSE)*(Tables!$I$3*12))) * IF(Inputs!$B$3="Unhealthy",1.5,1)</f>
        <v>99.63</v>
      </c>
      <c r="E2" t="s">
        <v>38</v>
      </c>
    </row>
    <row r="3" spans="1:5" x14ac:dyDescent="0.3">
      <c r="A3" s="21">
        <f>A2+1</f>
        <v>2</v>
      </c>
      <c r="B3" s="21">
        <f>B2+1</f>
        <v>36</v>
      </c>
      <c r="C3" s="21" t="str">
        <f>VLOOKUP(Outputs!B3,[0]!Age_Decade,2,FALSE)</f>
        <v>30s</v>
      </c>
      <c r="D3" s="37">
        <f>IF(Inputs!$B$2="Male",(HLOOKUP(C3,Tables!$B$2:$F$4,2,FALSE)*(Tables!$I$2*12)),(HLOOKUP(C3,Tables!$B$2:$F$4,3,FALSE)*(Tables!$I$3*12))) * IF(Inputs!$B$3="Unhealthy",1.5,1)</f>
        <v>99.63</v>
      </c>
    </row>
    <row r="4" spans="1:5" x14ac:dyDescent="0.3">
      <c r="A4" s="21">
        <f t="shared" ref="A4:A36" si="0">A3+1</f>
        <v>3</v>
      </c>
      <c r="B4" s="21">
        <f t="shared" ref="B4:B36" si="1">B3+1</f>
        <v>37</v>
      </c>
      <c r="C4" s="21" t="str">
        <f>VLOOKUP(Outputs!B4,[0]!Age_Decade,2,FALSE)</f>
        <v>30s</v>
      </c>
      <c r="D4" s="37">
        <f>IF(Inputs!$B$2="Male",(HLOOKUP(C4,Tables!$B$2:$F$4,2,FALSE)*(Tables!$I$2*12)),(HLOOKUP(C4,Tables!$B$2:$F$4,3,FALSE)*(Tables!$I$3*12))) * IF(Inputs!$B$3="Unhealthy",1.5,1)</f>
        <v>99.63</v>
      </c>
      <c r="E4" s="35" t="s">
        <v>37</v>
      </c>
    </row>
    <row r="5" spans="1:5" x14ac:dyDescent="0.3">
      <c r="A5" s="21">
        <f t="shared" si="0"/>
        <v>4</v>
      </c>
      <c r="B5" s="21">
        <f t="shared" si="1"/>
        <v>38</v>
      </c>
      <c r="C5" s="21" t="str">
        <f>VLOOKUP(Outputs!B5,[0]!Age_Decade,2,FALSE)</f>
        <v>30s</v>
      </c>
      <c r="D5" s="37">
        <f>IF(Inputs!$B$2="Male",(HLOOKUP(C5,Tables!$B$2:$F$4,2,FALSE)*(Tables!$I$2*12)),(HLOOKUP(C5,Tables!$B$2:$F$4,3,FALSE)*(Tables!$I$3*12))) * IF(Inputs!$B$3="Unhealthy",1.5,1)</f>
        <v>99.63</v>
      </c>
      <c r="E5" t="s">
        <v>3</v>
      </c>
    </row>
    <row r="6" spans="1:5" x14ac:dyDescent="0.3">
      <c r="A6" s="21">
        <f t="shared" si="0"/>
        <v>5</v>
      </c>
      <c r="B6" s="21">
        <f t="shared" si="1"/>
        <v>39</v>
      </c>
      <c r="C6" s="21" t="str">
        <f>VLOOKUP(Outputs!B6,[0]!Age_Decade,2,FALSE)</f>
        <v>30s</v>
      </c>
      <c r="D6" s="37">
        <f>IF(Inputs!$B$2="Male",(HLOOKUP(C6,Tables!$B$2:$F$4,2,FALSE)*(Tables!$I$2*12)),(HLOOKUP(C6,Tables!$B$2:$F$4,3,FALSE)*(Tables!$I$3*12))) * IF(Inputs!$B$3="Unhealthy",1.5,1)</f>
        <v>99.63</v>
      </c>
    </row>
    <row r="7" spans="1:5" x14ac:dyDescent="0.3">
      <c r="A7" s="21">
        <f t="shared" si="0"/>
        <v>6</v>
      </c>
      <c r="B7" s="21">
        <f t="shared" si="1"/>
        <v>40</v>
      </c>
      <c r="C7" s="21" t="str">
        <f>VLOOKUP(Outputs!B7,[0]!Age_Decade,2,FALSE)</f>
        <v>40s</v>
      </c>
      <c r="D7" s="37">
        <f>IF(Inputs!$B$2="Male",(HLOOKUP(C7,Tables!$B$2:$F$4,2,FALSE)*(Tables!$I$2*12)),(HLOOKUP(C7,Tables!$B$2:$F$4,3,FALSE)*(Tables!$I$3*12))) * IF(Inputs!$B$3="Unhealthy",1.5,1)</f>
        <v>199.26</v>
      </c>
    </row>
    <row r="8" spans="1:5" x14ac:dyDescent="0.3">
      <c r="A8" s="21">
        <f t="shared" si="0"/>
        <v>7</v>
      </c>
      <c r="B8" s="21">
        <f t="shared" si="1"/>
        <v>41</v>
      </c>
      <c r="C8" s="21" t="str">
        <f>VLOOKUP(Outputs!B8,[0]!Age_Decade,2,FALSE)</f>
        <v>40s</v>
      </c>
      <c r="D8" s="37">
        <f>IF(Inputs!$B$2="Male",(HLOOKUP(C8,Tables!$B$2:$F$4,2,FALSE)*(Tables!$I$2*12)),(HLOOKUP(C8,Tables!$B$2:$F$4,3,FALSE)*(Tables!$I$3*12))) * IF(Inputs!$B$3="Unhealthy",1.5,1)</f>
        <v>199.26</v>
      </c>
    </row>
    <row r="9" spans="1:5" x14ac:dyDescent="0.3">
      <c r="A9" s="21">
        <f t="shared" si="0"/>
        <v>8</v>
      </c>
      <c r="B9" s="21">
        <f t="shared" si="1"/>
        <v>42</v>
      </c>
      <c r="C9" s="21" t="str">
        <f>VLOOKUP(Outputs!B9,[0]!Age_Decade,2,FALSE)</f>
        <v>40s</v>
      </c>
      <c r="D9" s="37">
        <f>IF(Inputs!$B$2="Male",(HLOOKUP(C9,Tables!$B$2:$F$4,2,FALSE)*(Tables!$I$2*12)),(HLOOKUP(C9,Tables!$B$2:$F$4,3,FALSE)*(Tables!$I$3*12))) * IF(Inputs!$B$3="Unhealthy",1.5,1)</f>
        <v>199.26</v>
      </c>
    </row>
    <row r="10" spans="1:5" x14ac:dyDescent="0.3">
      <c r="A10" s="21">
        <f t="shared" si="0"/>
        <v>9</v>
      </c>
      <c r="B10" s="21">
        <f t="shared" si="1"/>
        <v>43</v>
      </c>
      <c r="C10" s="21" t="str">
        <f>VLOOKUP(Outputs!B10,[0]!Age_Decade,2,FALSE)</f>
        <v>40s</v>
      </c>
      <c r="D10" s="37">
        <f>IF(Inputs!$B$2="Male",(HLOOKUP(C10,Tables!$B$2:$F$4,2,FALSE)*(Tables!$I$2*12)),(HLOOKUP(C10,Tables!$B$2:$F$4,3,FALSE)*(Tables!$I$3*12))) * IF(Inputs!$B$3="Unhealthy",1.5,1)</f>
        <v>199.26</v>
      </c>
    </row>
    <row r="11" spans="1:5" x14ac:dyDescent="0.3">
      <c r="A11" s="21">
        <f t="shared" si="0"/>
        <v>10</v>
      </c>
      <c r="B11" s="21">
        <f t="shared" si="1"/>
        <v>44</v>
      </c>
      <c r="C11" s="21" t="str">
        <f>VLOOKUP(Outputs!B11,[0]!Age_Decade,2,FALSE)</f>
        <v>40s</v>
      </c>
      <c r="D11" s="37">
        <f>IF(Inputs!$B$2="Male",(HLOOKUP(C11,Tables!$B$2:$F$4,2,FALSE)*(Tables!$I$2*12)),(HLOOKUP(C11,Tables!$B$2:$F$4,3,FALSE)*(Tables!$I$3*12))) * IF(Inputs!$B$3="Unhealthy",1.5,1)</f>
        <v>199.26</v>
      </c>
    </row>
    <row r="12" spans="1:5" x14ac:dyDescent="0.3">
      <c r="A12" s="21">
        <f t="shared" si="0"/>
        <v>11</v>
      </c>
      <c r="B12" s="21">
        <f t="shared" si="1"/>
        <v>45</v>
      </c>
      <c r="C12" s="21" t="str">
        <f>VLOOKUP(Outputs!B12,[0]!Age_Decade,2,FALSE)</f>
        <v>40s</v>
      </c>
      <c r="D12" s="37">
        <f>IF(Inputs!$B$2="Male",(HLOOKUP(C12,Tables!$B$2:$F$4,2,FALSE)*(Tables!$I$2*12)),(HLOOKUP(C12,Tables!$B$2:$F$4,3,FALSE)*(Tables!$I$3*12))) * IF(Inputs!$B$3="Unhealthy",1.5,1)</f>
        <v>199.26</v>
      </c>
    </row>
    <row r="13" spans="1:5" x14ac:dyDescent="0.3">
      <c r="A13" s="21">
        <f t="shared" si="0"/>
        <v>12</v>
      </c>
      <c r="B13" s="21">
        <f t="shared" si="1"/>
        <v>46</v>
      </c>
      <c r="C13" s="21" t="str">
        <f>VLOOKUP(Outputs!B13,[0]!Age_Decade,2,FALSE)</f>
        <v>40s</v>
      </c>
      <c r="D13" s="37">
        <f>IF(Inputs!$B$2="Male",(HLOOKUP(C13,Tables!$B$2:$F$4,2,FALSE)*(Tables!$I$2*12)),(HLOOKUP(C13,Tables!$B$2:$F$4,3,FALSE)*(Tables!$I$3*12))) * IF(Inputs!$B$3="Unhealthy",1.5,1)</f>
        <v>199.26</v>
      </c>
    </row>
    <row r="14" spans="1:5" x14ac:dyDescent="0.3">
      <c r="A14" s="21">
        <f t="shared" si="0"/>
        <v>13</v>
      </c>
      <c r="B14" s="21">
        <f t="shared" si="1"/>
        <v>47</v>
      </c>
      <c r="C14" s="21" t="str">
        <f>VLOOKUP(Outputs!B14,[0]!Age_Decade,2,FALSE)</f>
        <v>40s</v>
      </c>
      <c r="D14" s="37">
        <f>IF(Inputs!$B$2="Male",(HLOOKUP(C14,Tables!$B$2:$F$4,2,FALSE)*(Tables!$I$2*12)),(HLOOKUP(C14,Tables!$B$2:$F$4,3,FALSE)*(Tables!$I$3*12))) * IF(Inputs!$B$3="Unhealthy",1.5,1)</f>
        <v>199.26</v>
      </c>
    </row>
    <row r="15" spans="1:5" x14ac:dyDescent="0.3">
      <c r="A15" s="21">
        <f t="shared" si="0"/>
        <v>14</v>
      </c>
      <c r="B15" s="21">
        <f t="shared" si="1"/>
        <v>48</v>
      </c>
      <c r="C15" s="21" t="str">
        <f>VLOOKUP(Outputs!B15,[0]!Age_Decade,2,FALSE)</f>
        <v>40s</v>
      </c>
      <c r="D15" s="37">
        <f>IF(Inputs!$B$2="Male",(HLOOKUP(C15,Tables!$B$2:$F$4,2,FALSE)*(Tables!$I$2*12)),(HLOOKUP(C15,Tables!$B$2:$F$4,3,FALSE)*(Tables!$I$3*12))) * IF(Inputs!$B$3="Unhealthy",1.5,1)</f>
        <v>199.26</v>
      </c>
    </row>
    <row r="16" spans="1:5" x14ac:dyDescent="0.3">
      <c r="A16" s="21">
        <f t="shared" si="0"/>
        <v>15</v>
      </c>
      <c r="B16" s="21">
        <f t="shared" si="1"/>
        <v>49</v>
      </c>
      <c r="C16" s="21" t="str">
        <f>VLOOKUP(Outputs!B16,[0]!Age_Decade,2,FALSE)</f>
        <v>40s</v>
      </c>
      <c r="D16" s="37">
        <f>IF(Inputs!$B$2="Male",(HLOOKUP(C16,Tables!$B$2:$F$4,2,FALSE)*(Tables!$I$2*12)),(HLOOKUP(C16,Tables!$B$2:$F$4,3,FALSE)*(Tables!$I$3*12))) * IF(Inputs!$B$3="Unhealthy",1.5,1)</f>
        <v>199.26</v>
      </c>
    </row>
    <row r="17" spans="1:4" x14ac:dyDescent="0.3">
      <c r="A17" s="21">
        <f t="shared" si="0"/>
        <v>16</v>
      </c>
      <c r="B17" s="21">
        <f t="shared" si="1"/>
        <v>50</v>
      </c>
      <c r="C17" s="21" t="str">
        <f>VLOOKUP(Outputs!B17,[0]!Age_Decade,2,FALSE)</f>
        <v>50s</v>
      </c>
      <c r="D17" s="37">
        <f>IF(Inputs!$B$2="Male",(HLOOKUP(C17,Tables!$B$2:$F$4,2,FALSE)*(Tables!$I$2*12)),(HLOOKUP(C17,Tables!$B$2:$F$4,3,FALSE)*(Tables!$I$3*12))) * IF(Inputs!$B$3="Unhealthy",1.5,1)</f>
        <v>332.1</v>
      </c>
    </row>
    <row r="18" spans="1:4" x14ac:dyDescent="0.3">
      <c r="A18" s="21">
        <f t="shared" si="0"/>
        <v>17</v>
      </c>
      <c r="B18" s="21">
        <f t="shared" si="1"/>
        <v>51</v>
      </c>
      <c r="C18" s="21" t="str">
        <f>VLOOKUP(Outputs!B18,[0]!Age_Decade,2,FALSE)</f>
        <v>50s</v>
      </c>
      <c r="D18" s="37">
        <f>IF(Inputs!$B$2="Male",(HLOOKUP(C18,Tables!$B$2:$F$4,2,FALSE)*(Tables!$I$2*12)),(HLOOKUP(C18,Tables!$B$2:$F$4,3,FALSE)*(Tables!$I$3*12))) * IF(Inputs!$B$3="Unhealthy",1.5,1)</f>
        <v>332.1</v>
      </c>
    </row>
    <row r="19" spans="1:4" x14ac:dyDescent="0.3">
      <c r="A19" s="21">
        <f t="shared" si="0"/>
        <v>18</v>
      </c>
      <c r="B19" s="21">
        <f t="shared" si="1"/>
        <v>52</v>
      </c>
      <c r="C19" s="21" t="str">
        <f>VLOOKUP(Outputs!B19,[0]!Age_Decade,2,FALSE)</f>
        <v>50s</v>
      </c>
      <c r="D19" s="37">
        <f>IF(Inputs!$B$2="Male",(HLOOKUP(C19,Tables!$B$2:$F$4,2,FALSE)*(Tables!$I$2*12)),(HLOOKUP(C19,Tables!$B$2:$F$4,3,FALSE)*(Tables!$I$3*12))) * IF(Inputs!$B$3="Unhealthy",1.5,1)</f>
        <v>332.1</v>
      </c>
    </row>
    <row r="20" spans="1:4" x14ac:dyDescent="0.3">
      <c r="A20" s="21">
        <f t="shared" si="0"/>
        <v>19</v>
      </c>
      <c r="B20" s="21">
        <f t="shared" si="1"/>
        <v>53</v>
      </c>
      <c r="C20" s="21" t="str">
        <f>VLOOKUP(Outputs!B20,[0]!Age_Decade,2,FALSE)</f>
        <v>50s</v>
      </c>
      <c r="D20" s="37">
        <f>IF(Inputs!$B$2="Male",(HLOOKUP(C20,Tables!$B$2:$F$4,2,FALSE)*(Tables!$I$2*12)),(HLOOKUP(C20,Tables!$B$2:$F$4,3,FALSE)*(Tables!$I$3*12))) * IF(Inputs!$B$3="Unhealthy",1.5,1)</f>
        <v>332.1</v>
      </c>
    </row>
    <row r="21" spans="1:4" x14ac:dyDescent="0.3">
      <c r="A21" s="21">
        <f t="shared" si="0"/>
        <v>20</v>
      </c>
      <c r="B21" s="21">
        <f t="shared" si="1"/>
        <v>54</v>
      </c>
      <c r="C21" s="21" t="str">
        <f>VLOOKUP(Outputs!B21,[0]!Age_Decade,2,FALSE)</f>
        <v>50s</v>
      </c>
      <c r="D21" s="37">
        <f>IF(Inputs!$B$2="Male",(HLOOKUP(C21,Tables!$B$2:$F$4,2,FALSE)*(Tables!$I$2*12)),(HLOOKUP(C21,Tables!$B$2:$F$4,3,FALSE)*(Tables!$I$3*12))) * IF(Inputs!$B$3="Unhealthy",1.5,1)</f>
        <v>332.1</v>
      </c>
    </row>
    <row r="22" spans="1:4" x14ac:dyDescent="0.3">
      <c r="A22" s="21">
        <f t="shared" si="0"/>
        <v>21</v>
      </c>
      <c r="B22" s="21">
        <f t="shared" si="1"/>
        <v>55</v>
      </c>
      <c r="C22" s="21" t="str">
        <f>VLOOKUP(Outputs!B22,[0]!Age_Decade,2,FALSE)</f>
        <v>50s</v>
      </c>
      <c r="D22" s="37">
        <f>IF(Inputs!$B$2="Male",(HLOOKUP(C22,Tables!$B$2:$F$4,2,FALSE)*(Tables!$I$2*12)),(HLOOKUP(C22,Tables!$B$2:$F$4,3,FALSE)*(Tables!$I$3*12))) * IF(Inputs!$B$3="Unhealthy",1.5,1)</f>
        <v>332.1</v>
      </c>
    </row>
    <row r="23" spans="1:4" x14ac:dyDescent="0.3">
      <c r="A23" s="21">
        <f t="shared" si="0"/>
        <v>22</v>
      </c>
      <c r="B23" s="21">
        <f t="shared" si="1"/>
        <v>56</v>
      </c>
      <c r="C23" s="21" t="str">
        <f>VLOOKUP(Outputs!B23,[0]!Age_Decade,2,FALSE)</f>
        <v>50s</v>
      </c>
      <c r="D23" s="37">
        <f>IF(Inputs!$B$2="Male",(HLOOKUP(C23,Tables!$B$2:$F$4,2,FALSE)*(Tables!$I$2*12)),(HLOOKUP(C23,Tables!$B$2:$F$4,3,FALSE)*(Tables!$I$3*12))) * IF(Inputs!$B$3="Unhealthy",1.5,1)</f>
        <v>332.1</v>
      </c>
    </row>
    <row r="24" spans="1:4" x14ac:dyDescent="0.3">
      <c r="A24" s="21">
        <f t="shared" si="0"/>
        <v>23</v>
      </c>
      <c r="B24" s="21">
        <f t="shared" si="1"/>
        <v>57</v>
      </c>
      <c r="C24" s="21" t="str">
        <f>VLOOKUP(Outputs!B24,[0]!Age_Decade,2,FALSE)</f>
        <v>50s</v>
      </c>
      <c r="D24" s="37">
        <f>IF(Inputs!$B$2="Male",(HLOOKUP(C24,Tables!$B$2:$F$4,2,FALSE)*(Tables!$I$2*12)),(HLOOKUP(C24,Tables!$B$2:$F$4,3,FALSE)*(Tables!$I$3*12))) * IF(Inputs!$B$3="Unhealthy",1.5,1)</f>
        <v>332.1</v>
      </c>
    </row>
    <row r="25" spans="1:4" x14ac:dyDescent="0.3">
      <c r="A25" s="21">
        <f t="shared" si="0"/>
        <v>24</v>
      </c>
      <c r="B25" s="21">
        <f t="shared" si="1"/>
        <v>58</v>
      </c>
      <c r="C25" s="21" t="str">
        <f>VLOOKUP(Outputs!B25,[0]!Age_Decade,2,FALSE)</f>
        <v>50s</v>
      </c>
      <c r="D25" s="37">
        <f>IF(Inputs!$B$2="Male",(HLOOKUP(C25,Tables!$B$2:$F$4,2,FALSE)*(Tables!$I$2*12)),(HLOOKUP(C25,Tables!$B$2:$F$4,3,FALSE)*(Tables!$I$3*12))) * IF(Inputs!$B$3="Unhealthy",1.5,1)</f>
        <v>332.1</v>
      </c>
    </row>
    <row r="26" spans="1:4" x14ac:dyDescent="0.3">
      <c r="A26" s="21">
        <f t="shared" si="0"/>
        <v>25</v>
      </c>
      <c r="B26" s="21">
        <f t="shared" si="1"/>
        <v>59</v>
      </c>
      <c r="C26" s="21" t="str">
        <f>VLOOKUP(Outputs!B26,[0]!Age_Decade,2,FALSE)</f>
        <v>50s</v>
      </c>
      <c r="D26" s="37">
        <f>IF(Inputs!$B$2="Male",(HLOOKUP(C26,Tables!$B$2:$F$4,2,FALSE)*(Tables!$I$2*12)),(HLOOKUP(C26,Tables!$B$2:$F$4,3,FALSE)*(Tables!$I$3*12))) * IF(Inputs!$B$3="Unhealthy",1.5,1)</f>
        <v>332.1</v>
      </c>
    </row>
    <row r="27" spans="1:4" x14ac:dyDescent="0.3">
      <c r="A27" s="21">
        <f t="shared" si="0"/>
        <v>26</v>
      </c>
      <c r="B27" s="21">
        <f t="shared" si="1"/>
        <v>60</v>
      </c>
      <c r="C27" s="21" t="str">
        <f>VLOOKUP(Outputs!B27,[0]!Age_Decade,2,FALSE)</f>
        <v>60s</v>
      </c>
      <c r="D27" s="37">
        <f>IF(Inputs!$B$2="Male",(HLOOKUP(C27,Tables!$B$2:$F$4,2,FALSE)*(Tables!$I$2*12)),(HLOOKUP(C27,Tables!$B$2:$F$4,3,FALSE)*(Tables!$I$3*12))) * IF(Inputs!$B$3="Unhealthy",1.5,1)</f>
        <v>531.36</v>
      </c>
    </row>
    <row r="28" spans="1:4" x14ac:dyDescent="0.3">
      <c r="A28" s="21">
        <f t="shared" si="0"/>
        <v>27</v>
      </c>
      <c r="B28" s="21">
        <f t="shared" si="1"/>
        <v>61</v>
      </c>
      <c r="C28" s="21" t="str">
        <f>VLOOKUP(Outputs!B28,[0]!Age_Decade,2,FALSE)</f>
        <v>60s</v>
      </c>
      <c r="D28" s="37">
        <f>IF(Inputs!$B$2="Male",(HLOOKUP(C28,Tables!$B$2:$F$4,2,FALSE)*(Tables!$I$2*12)),(HLOOKUP(C28,Tables!$B$2:$F$4,3,FALSE)*(Tables!$I$3*12))) * IF(Inputs!$B$3="Unhealthy",1.5,1)</f>
        <v>531.36</v>
      </c>
    </row>
    <row r="29" spans="1:4" x14ac:dyDescent="0.3">
      <c r="A29" s="21">
        <f t="shared" si="0"/>
        <v>28</v>
      </c>
      <c r="B29" s="21">
        <f t="shared" si="1"/>
        <v>62</v>
      </c>
      <c r="C29" s="21" t="str">
        <f>VLOOKUP(Outputs!B29,[0]!Age_Decade,2,FALSE)</f>
        <v>60s</v>
      </c>
      <c r="D29" s="37">
        <f>IF(Inputs!$B$2="Male",(HLOOKUP(C29,Tables!$B$2:$F$4,2,FALSE)*(Tables!$I$2*12)),(HLOOKUP(C29,Tables!$B$2:$F$4,3,FALSE)*(Tables!$I$3*12))) * IF(Inputs!$B$3="Unhealthy",1.5,1)</f>
        <v>531.36</v>
      </c>
    </row>
    <row r="30" spans="1:4" x14ac:dyDescent="0.3">
      <c r="A30" s="21">
        <f t="shared" si="0"/>
        <v>29</v>
      </c>
      <c r="B30" s="21">
        <f t="shared" si="1"/>
        <v>63</v>
      </c>
      <c r="C30" s="21" t="str">
        <f>VLOOKUP(Outputs!B30,[0]!Age_Decade,2,FALSE)</f>
        <v>60s</v>
      </c>
      <c r="D30" s="37">
        <f>IF(Inputs!$B$2="Male",(HLOOKUP(C30,Tables!$B$2:$F$4,2,FALSE)*(Tables!$I$2*12)),(HLOOKUP(C30,Tables!$B$2:$F$4,3,FALSE)*(Tables!$I$3*12))) * IF(Inputs!$B$3="Unhealthy",1.5,1)</f>
        <v>531.36</v>
      </c>
    </row>
    <row r="31" spans="1:4" x14ac:dyDescent="0.3">
      <c r="A31" s="21">
        <f t="shared" si="0"/>
        <v>30</v>
      </c>
      <c r="B31" s="21">
        <f t="shared" si="1"/>
        <v>64</v>
      </c>
      <c r="C31" s="21" t="str">
        <f>VLOOKUP(Outputs!B31,[0]!Age_Decade,2,FALSE)</f>
        <v>60s</v>
      </c>
      <c r="D31" s="37">
        <f>IF(Inputs!$B$2="Male",(HLOOKUP(C31,Tables!$B$2:$F$4,2,FALSE)*(Tables!$I$2*12)),(HLOOKUP(C31,Tables!$B$2:$F$4,3,FALSE)*(Tables!$I$3*12))) * IF(Inputs!$B$3="Unhealthy",1.5,1)</f>
        <v>531.36</v>
      </c>
    </row>
    <row r="32" spans="1:4" x14ac:dyDescent="0.3">
      <c r="A32" s="21">
        <f t="shared" si="0"/>
        <v>31</v>
      </c>
      <c r="B32" s="21">
        <f t="shared" si="1"/>
        <v>65</v>
      </c>
      <c r="C32" s="21" t="str">
        <f>VLOOKUP(Outputs!B32,[0]!Age_Decade,2,FALSE)</f>
        <v>60s</v>
      </c>
      <c r="D32" s="37">
        <f>IF(Inputs!$B$2="Male",(HLOOKUP(C32,Tables!$B$2:$F$4,2,FALSE)*(Tables!$I$2*12)),(HLOOKUP(C32,Tables!$B$2:$F$4,3,FALSE)*(Tables!$I$3*12))) * IF(Inputs!$B$3="Unhealthy",1.5,1)</f>
        <v>531.36</v>
      </c>
    </row>
    <row r="33" spans="1:4" x14ac:dyDescent="0.3">
      <c r="A33" s="21">
        <f t="shared" si="0"/>
        <v>32</v>
      </c>
      <c r="B33" s="21">
        <f t="shared" si="1"/>
        <v>66</v>
      </c>
      <c r="C33" s="21" t="str">
        <f>VLOOKUP(Outputs!B33,[0]!Age_Decade,2,FALSE)</f>
        <v>60s</v>
      </c>
      <c r="D33" s="37">
        <f>IF(Inputs!$B$2="Male",(HLOOKUP(C33,Tables!$B$2:$F$4,2,FALSE)*(Tables!$I$2*12)),(HLOOKUP(C33,Tables!$B$2:$F$4,3,FALSE)*(Tables!$I$3*12))) * IF(Inputs!$B$3="Unhealthy",1.5,1)</f>
        <v>531.36</v>
      </c>
    </row>
    <row r="34" spans="1:4" x14ac:dyDescent="0.3">
      <c r="A34" s="21">
        <f t="shared" si="0"/>
        <v>33</v>
      </c>
      <c r="B34" s="21">
        <f t="shared" si="1"/>
        <v>67</v>
      </c>
      <c r="C34" s="21" t="str">
        <f>VLOOKUP(Outputs!B34,[0]!Age_Decade,2,FALSE)</f>
        <v>60s</v>
      </c>
      <c r="D34" s="37">
        <f>IF(Inputs!$B$2="Male",(HLOOKUP(C34,Tables!$B$2:$F$4,2,FALSE)*(Tables!$I$2*12)),(HLOOKUP(C34,Tables!$B$2:$F$4,3,FALSE)*(Tables!$I$3*12))) * IF(Inputs!$B$3="Unhealthy",1.5,1)</f>
        <v>531.36</v>
      </c>
    </row>
    <row r="35" spans="1:4" x14ac:dyDescent="0.3">
      <c r="A35" s="21">
        <f t="shared" si="0"/>
        <v>34</v>
      </c>
      <c r="B35" s="21">
        <f t="shared" si="1"/>
        <v>68</v>
      </c>
      <c r="C35" s="21" t="str">
        <f>VLOOKUP(Outputs!B35,[0]!Age_Decade,2,FALSE)</f>
        <v>60s</v>
      </c>
      <c r="D35" s="37">
        <f>IF(Inputs!$B$2="Male",(HLOOKUP(C35,Tables!$B$2:$F$4,2,FALSE)*(Tables!$I$2*12)),(HLOOKUP(C35,Tables!$B$2:$F$4,3,FALSE)*(Tables!$I$3*12))) * IF(Inputs!$B$3="Unhealthy",1.5,1)</f>
        <v>531.36</v>
      </c>
    </row>
    <row r="36" spans="1:4" x14ac:dyDescent="0.3">
      <c r="A36" s="21">
        <f t="shared" si="0"/>
        <v>35</v>
      </c>
      <c r="B36" s="21">
        <f t="shared" si="1"/>
        <v>69</v>
      </c>
      <c r="C36" s="21" t="str">
        <f>VLOOKUP(Outputs!B36,[0]!Age_Decade,2,FALSE)</f>
        <v>60s</v>
      </c>
      <c r="D36" s="37">
        <f>IF(Inputs!$B$2="Male",(HLOOKUP(C36,Tables!$B$2:$F$4,2,FALSE)*(Tables!$I$2*12)),(HLOOKUP(C36,Tables!$B$2:$F$4,3,FALSE)*(Tables!$I$3*12))) * IF(Inputs!$B$3="Unhealthy",1.5,1)</f>
        <v>531.36</v>
      </c>
    </row>
    <row r="37" spans="1:4" x14ac:dyDescent="0.3">
      <c r="A37" s="21"/>
      <c r="B37" s="21"/>
      <c r="C37" s="21"/>
      <c r="D37" s="21"/>
    </row>
    <row r="38" spans="1:4" x14ac:dyDescent="0.3">
      <c r="A38" s="21"/>
      <c r="B38" s="21"/>
      <c r="C38" s="21"/>
      <c r="D38" s="21"/>
    </row>
    <row r="39" spans="1:4" x14ac:dyDescent="0.3">
      <c r="A39" s="21"/>
      <c r="B39" s="21"/>
      <c r="C39" s="21"/>
      <c r="D39" s="21"/>
    </row>
    <row r="40" spans="1:4" x14ac:dyDescent="0.3">
      <c r="A40" s="21"/>
      <c r="B40" s="21"/>
      <c r="C40" s="21"/>
      <c r="D40" s="21"/>
    </row>
    <row r="41" spans="1:4" x14ac:dyDescent="0.3">
      <c r="A41" s="21"/>
      <c r="B41" s="21"/>
      <c r="C41" s="21"/>
      <c r="D41" s="21"/>
    </row>
    <row r="42" spans="1:4" x14ac:dyDescent="0.3">
      <c r="A42" s="21"/>
      <c r="B42" s="21"/>
      <c r="C42" s="21"/>
      <c r="D42" s="21"/>
    </row>
    <row r="43" spans="1:4" x14ac:dyDescent="0.3">
      <c r="A43" s="21"/>
      <c r="B43" s="21"/>
      <c r="C43" s="21"/>
      <c r="D43" s="21"/>
    </row>
    <row r="44" spans="1:4" x14ac:dyDescent="0.3">
      <c r="A44" s="21"/>
      <c r="B44" s="21"/>
      <c r="C44" s="21"/>
      <c r="D44" s="21"/>
    </row>
    <row r="45" spans="1:4" x14ac:dyDescent="0.3">
      <c r="A45" s="21"/>
      <c r="B45" s="21"/>
      <c r="C45" s="21"/>
      <c r="D45" s="21"/>
    </row>
    <row r="46" spans="1:4" x14ac:dyDescent="0.3">
      <c r="A46" s="21"/>
      <c r="B46" s="21"/>
      <c r="C46" s="21"/>
      <c r="D46" s="21"/>
    </row>
    <row r="47" spans="1:4" x14ac:dyDescent="0.3">
      <c r="A47" s="21"/>
      <c r="B47" s="21"/>
      <c r="C47" s="21"/>
      <c r="D47" s="21"/>
    </row>
    <row r="48" spans="1:4" x14ac:dyDescent="0.3">
      <c r="A48" s="21"/>
      <c r="B48" s="21"/>
      <c r="C48" s="21"/>
      <c r="D48" s="21"/>
    </row>
    <row r="49" spans="1:4" x14ac:dyDescent="0.3">
      <c r="A49" s="21"/>
      <c r="B49" s="21"/>
      <c r="C49" s="21"/>
      <c r="D49" s="21"/>
    </row>
    <row r="50" spans="1:4" x14ac:dyDescent="0.3">
      <c r="A50" s="21"/>
      <c r="B50" s="21"/>
      <c r="C50" s="21"/>
      <c r="D50" s="21"/>
    </row>
    <row r="51" spans="1:4" x14ac:dyDescent="0.3">
      <c r="A51" s="21"/>
      <c r="B51" s="21"/>
      <c r="C51" s="21"/>
      <c r="D51" s="21"/>
    </row>
    <row r="52" spans="1:4" x14ac:dyDescent="0.3">
      <c r="A52" s="21"/>
      <c r="B52" s="21"/>
      <c r="C52" s="21"/>
      <c r="D52" s="21"/>
    </row>
    <row r="53" spans="1:4" x14ac:dyDescent="0.3">
      <c r="A53" s="21"/>
      <c r="B53" s="21"/>
      <c r="C53" s="21"/>
      <c r="D53" s="21"/>
    </row>
    <row r="54" spans="1:4" x14ac:dyDescent="0.3">
      <c r="A54" s="21"/>
      <c r="B54" s="21"/>
      <c r="C54" s="21"/>
      <c r="D54" s="21"/>
    </row>
    <row r="55" spans="1:4" x14ac:dyDescent="0.3">
      <c r="A55" s="21"/>
      <c r="B55" s="21"/>
      <c r="C55" s="21"/>
      <c r="D55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mpleteTable">
                <anchor moveWithCells="1" sizeWithCells="1">
                  <from>
                    <xdr:col>5</xdr:col>
                    <xdr:colOff>312420</xdr:colOff>
                    <xdr:row>1</xdr:row>
                    <xdr:rowOff>15240</xdr:rowOff>
                  </from>
                  <to>
                    <xdr:col>7</xdr:col>
                    <xdr:colOff>327660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leanUp">
                <anchor moveWithCells="1" sizeWithCells="1">
                  <from>
                    <xdr:col>5</xdr:col>
                    <xdr:colOff>312420</xdr:colOff>
                    <xdr:row>4</xdr:row>
                    <xdr:rowOff>99060</xdr:rowOff>
                  </from>
                  <to>
                    <xdr:col>7</xdr:col>
                    <xdr:colOff>327660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PrintOutputs">
                <anchor moveWithCells="1" sizeWithCells="1">
                  <from>
                    <xdr:col>5</xdr:col>
                    <xdr:colOff>312420</xdr:colOff>
                    <xdr:row>8</xdr:row>
                    <xdr:rowOff>0</xdr:rowOff>
                  </from>
                  <to>
                    <xdr:col>7</xdr:col>
                    <xdr:colOff>327660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E9"/>
  <sheetViews>
    <sheetView zoomScale="150" zoomScaleNormal="150" workbookViewId="0">
      <selection activeCell="A5" sqref="A5"/>
    </sheetView>
  </sheetViews>
  <sheetFormatPr defaultRowHeight="14.4" x14ac:dyDescent="0.3"/>
  <cols>
    <col min="1" max="1" width="72.33203125" customWidth="1"/>
    <col min="2" max="2" width="10.109375" customWidth="1"/>
    <col min="3" max="3" width="4.44140625" bestFit="1" customWidth="1"/>
    <col min="4" max="4" width="10.33203125" bestFit="1" customWidth="1"/>
    <col min="5" max="5" width="15.5546875" bestFit="1" customWidth="1"/>
  </cols>
  <sheetData>
    <row r="1" spans="1:5" ht="31.2" x14ac:dyDescent="0.3">
      <c r="A1" s="5" t="s">
        <v>14</v>
      </c>
    </row>
    <row r="2" spans="1:5" ht="46.8" x14ac:dyDescent="0.3">
      <c r="A2" s="5" t="s">
        <v>15</v>
      </c>
    </row>
    <row r="3" spans="1:5" ht="31.2" x14ac:dyDescent="0.3">
      <c r="A3" s="5" t="s">
        <v>16</v>
      </c>
    </row>
    <row r="4" spans="1:5" ht="78" x14ac:dyDescent="0.3">
      <c r="A4" s="6" t="s">
        <v>17</v>
      </c>
    </row>
    <row r="5" spans="1:5" x14ac:dyDescent="0.3">
      <c r="B5" t="s">
        <v>27</v>
      </c>
      <c r="C5" t="s">
        <v>28</v>
      </c>
      <c r="D5" t="s">
        <v>29</v>
      </c>
      <c r="E5" t="s">
        <v>30</v>
      </c>
    </row>
    <row r="6" spans="1:5" x14ac:dyDescent="0.3">
      <c r="B6" t="s">
        <v>21</v>
      </c>
      <c r="C6" t="s">
        <v>1</v>
      </c>
      <c r="D6" t="s">
        <v>23</v>
      </c>
      <c r="E6" t="s">
        <v>22</v>
      </c>
    </row>
    <row r="8" spans="1:5" x14ac:dyDescent="0.3">
      <c r="A8" t="s">
        <v>31</v>
      </c>
      <c r="B8" s="24" t="s">
        <v>26</v>
      </c>
    </row>
    <row r="9" spans="1:5" x14ac:dyDescent="0.3">
      <c r="A9" t="s">
        <v>32</v>
      </c>
      <c r="B9" s="24" t="s">
        <v>25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ColWidth="9.109375" defaultRowHeight="15.6" x14ac:dyDescent="0.35"/>
  <cols>
    <col min="1" max="1" width="13.88671875" style="7" customWidth="1"/>
    <col min="2" max="6" width="10.88671875" style="7" bestFit="1" customWidth="1"/>
    <col min="7" max="7" width="8.44140625" style="7" bestFit="1" customWidth="1"/>
    <col min="8" max="8" width="10.109375" style="7" bestFit="1" customWidth="1"/>
    <col min="9" max="9" width="7.33203125" style="7" bestFit="1" customWidth="1"/>
    <col min="10" max="10" width="13.33203125" style="7" bestFit="1" customWidth="1"/>
    <col min="11" max="12" width="7.33203125" style="7" bestFit="1" customWidth="1"/>
    <col min="13" max="13" width="11.44140625" style="7" bestFit="1" customWidth="1"/>
    <col min="14" max="15" width="7.33203125" style="7" bestFit="1" customWidth="1"/>
    <col min="16" max="16384" width="9.109375" style="7"/>
  </cols>
  <sheetData>
    <row r="1" spans="1:16" ht="21" x14ac:dyDescent="0.5">
      <c r="A1" s="33" t="s">
        <v>11</v>
      </c>
      <c r="B1" s="33"/>
      <c r="C1" s="33"/>
      <c r="D1" s="33"/>
      <c r="E1" s="33"/>
      <c r="F1" s="33"/>
      <c r="H1" s="34" t="s">
        <v>12</v>
      </c>
      <c r="I1" s="34"/>
      <c r="J1" s="34"/>
    </row>
    <row r="2" spans="1:16" ht="19.8" x14ac:dyDescent="0.4">
      <c r="A2" s="3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9"/>
      <c r="H2" s="8" t="s">
        <v>2</v>
      </c>
      <c r="I2" s="26">
        <v>687</v>
      </c>
      <c r="J2" s="4" t="s">
        <v>9</v>
      </c>
      <c r="K2" s="9"/>
      <c r="L2" s="9"/>
      <c r="M2" s="9"/>
      <c r="N2" s="9"/>
      <c r="O2" s="9"/>
      <c r="P2" s="9"/>
    </row>
    <row r="3" spans="1:16" ht="19.8" x14ac:dyDescent="0.35">
      <c r="A3" s="1" t="s">
        <v>2</v>
      </c>
      <c r="B3" s="2">
        <v>0.01</v>
      </c>
      <c r="C3" s="2">
        <v>1.4999999999999999E-2</v>
      </c>
      <c r="D3" s="2">
        <v>0.03</v>
      </c>
      <c r="E3" s="2">
        <v>0.05</v>
      </c>
      <c r="F3" s="2">
        <v>0.08</v>
      </c>
      <c r="G3" s="10"/>
      <c r="H3" s="8" t="s">
        <v>3</v>
      </c>
      <c r="I3" s="27">
        <v>492</v>
      </c>
      <c r="J3" s="4" t="s">
        <v>9</v>
      </c>
      <c r="K3" s="10"/>
      <c r="L3" s="10"/>
      <c r="M3" s="10"/>
      <c r="N3" s="10"/>
      <c r="O3" s="10"/>
    </row>
    <row r="4" spans="1:16" ht="19.8" x14ac:dyDescent="0.35">
      <c r="A4" s="1" t="s">
        <v>3</v>
      </c>
      <c r="B4" s="2">
        <f>0.75*B3</f>
        <v>7.4999999999999997E-3</v>
      </c>
      <c r="C4" s="2">
        <f t="shared" ref="C4:F4" si="0">0.75*C3</f>
        <v>1.125E-2</v>
      </c>
      <c r="D4" s="2">
        <f t="shared" si="0"/>
        <v>2.2499999999999999E-2</v>
      </c>
      <c r="E4" s="2">
        <f t="shared" si="0"/>
        <v>3.7500000000000006E-2</v>
      </c>
      <c r="F4" s="2">
        <f t="shared" si="0"/>
        <v>0.06</v>
      </c>
      <c r="G4" s="11"/>
      <c r="H4" s="11"/>
      <c r="I4" s="11"/>
      <c r="J4" s="11"/>
      <c r="K4" s="11"/>
      <c r="L4" s="11"/>
      <c r="M4" s="11"/>
      <c r="N4" s="11"/>
      <c r="O4" s="11"/>
    </row>
    <row r="5" spans="1:16" x14ac:dyDescent="0.3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6" x14ac:dyDescent="0.35">
      <c r="A6" s="12" t="s">
        <v>10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6" x14ac:dyDescent="0.35">
      <c r="A7" s="12" t="s">
        <v>19</v>
      </c>
    </row>
    <row r="8" spans="1:16" x14ac:dyDescent="0.35">
      <c r="A8" s="12" t="s">
        <v>20</v>
      </c>
    </row>
    <row r="10" spans="1:16" x14ac:dyDescent="0.35">
      <c r="A10" s="16" t="s">
        <v>1</v>
      </c>
      <c r="B10" s="16" t="s">
        <v>24</v>
      </c>
      <c r="D10" s="14"/>
    </row>
    <row r="11" spans="1:16" x14ac:dyDescent="0.35">
      <c r="A11" s="15">
        <v>20</v>
      </c>
      <c r="B11" s="15" t="s">
        <v>4</v>
      </c>
    </row>
    <row r="12" spans="1:16" x14ac:dyDescent="0.35">
      <c r="A12" s="15">
        <v>21</v>
      </c>
      <c r="B12" s="15" t="s">
        <v>4</v>
      </c>
    </row>
    <row r="13" spans="1:16" x14ac:dyDescent="0.35">
      <c r="A13" s="15">
        <v>22</v>
      </c>
      <c r="B13" s="15" t="s">
        <v>4</v>
      </c>
    </row>
    <row r="14" spans="1:16" x14ac:dyDescent="0.35">
      <c r="A14" s="15">
        <v>23</v>
      </c>
      <c r="B14" s="15" t="s">
        <v>4</v>
      </c>
    </row>
    <row r="15" spans="1:16" x14ac:dyDescent="0.35">
      <c r="A15" s="15">
        <v>24</v>
      </c>
      <c r="B15" s="15" t="s">
        <v>4</v>
      </c>
    </row>
    <row r="16" spans="1:16" x14ac:dyDescent="0.35">
      <c r="A16" s="15">
        <v>25</v>
      </c>
      <c r="B16" s="15" t="s">
        <v>4</v>
      </c>
    </row>
    <row r="17" spans="1:2" x14ac:dyDescent="0.35">
      <c r="A17" s="15">
        <v>26</v>
      </c>
      <c r="B17" s="15" t="s">
        <v>4</v>
      </c>
    </row>
    <row r="18" spans="1:2" x14ac:dyDescent="0.35">
      <c r="A18" s="15">
        <v>27</v>
      </c>
      <c r="B18" s="15" t="s">
        <v>4</v>
      </c>
    </row>
    <row r="19" spans="1:2" x14ac:dyDescent="0.35">
      <c r="A19" s="15">
        <v>28</v>
      </c>
      <c r="B19" s="15" t="s">
        <v>4</v>
      </c>
    </row>
    <row r="20" spans="1:2" x14ac:dyDescent="0.35">
      <c r="A20" s="15">
        <v>29</v>
      </c>
      <c r="B20" s="15" t="s">
        <v>4</v>
      </c>
    </row>
    <row r="21" spans="1:2" x14ac:dyDescent="0.35">
      <c r="A21" s="15">
        <v>30</v>
      </c>
      <c r="B21" s="15" t="s">
        <v>5</v>
      </c>
    </row>
    <row r="22" spans="1:2" x14ac:dyDescent="0.35">
      <c r="A22" s="15">
        <v>31</v>
      </c>
      <c r="B22" s="15" t="s">
        <v>5</v>
      </c>
    </row>
    <row r="23" spans="1:2" x14ac:dyDescent="0.35">
      <c r="A23" s="15">
        <v>32</v>
      </c>
      <c r="B23" s="15" t="s">
        <v>5</v>
      </c>
    </row>
    <row r="24" spans="1:2" x14ac:dyDescent="0.35">
      <c r="A24" s="15">
        <v>33</v>
      </c>
      <c r="B24" s="15" t="s">
        <v>5</v>
      </c>
    </row>
    <row r="25" spans="1:2" x14ac:dyDescent="0.35">
      <c r="A25" s="15">
        <v>34</v>
      </c>
      <c r="B25" s="15" t="s">
        <v>5</v>
      </c>
    </row>
    <row r="26" spans="1:2" x14ac:dyDescent="0.35">
      <c r="A26" s="15">
        <v>35</v>
      </c>
      <c r="B26" s="15" t="s">
        <v>5</v>
      </c>
    </row>
    <row r="27" spans="1:2" x14ac:dyDescent="0.35">
      <c r="A27" s="15">
        <v>36</v>
      </c>
      <c r="B27" s="15" t="s">
        <v>5</v>
      </c>
    </row>
    <row r="28" spans="1:2" x14ac:dyDescent="0.35">
      <c r="A28" s="15">
        <v>37</v>
      </c>
      <c r="B28" s="15" t="s">
        <v>5</v>
      </c>
    </row>
    <row r="29" spans="1:2" x14ac:dyDescent="0.35">
      <c r="A29" s="15">
        <v>38</v>
      </c>
      <c r="B29" s="15" t="s">
        <v>5</v>
      </c>
    </row>
    <row r="30" spans="1:2" x14ac:dyDescent="0.35">
      <c r="A30" s="15">
        <v>39</v>
      </c>
      <c r="B30" s="15" t="s">
        <v>5</v>
      </c>
    </row>
    <row r="31" spans="1:2" x14ac:dyDescent="0.35">
      <c r="A31" s="15">
        <v>40</v>
      </c>
      <c r="B31" s="15" t="s">
        <v>6</v>
      </c>
    </row>
    <row r="32" spans="1:2" x14ac:dyDescent="0.35">
      <c r="A32" s="15">
        <v>41</v>
      </c>
      <c r="B32" s="15" t="s">
        <v>6</v>
      </c>
    </row>
    <row r="33" spans="1:2" x14ac:dyDescent="0.35">
      <c r="A33" s="15">
        <v>42</v>
      </c>
      <c r="B33" s="15" t="s">
        <v>6</v>
      </c>
    </row>
    <row r="34" spans="1:2" x14ac:dyDescent="0.35">
      <c r="A34" s="15">
        <v>43</v>
      </c>
      <c r="B34" s="15" t="s">
        <v>6</v>
      </c>
    </row>
    <row r="35" spans="1:2" x14ac:dyDescent="0.35">
      <c r="A35" s="15">
        <v>44</v>
      </c>
      <c r="B35" s="15" t="s">
        <v>6</v>
      </c>
    </row>
    <row r="36" spans="1:2" x14ac:dyDescent="0.35">
      <c r="A36" s="15">
        <v>45</v>
      </c>
      <c r="B36" s="15" t="s">
        <v>6</v>
      </c>
    </row>
    <row r="37" spans="1:2" x14ac:dyDescent="0.35">
      <c r="A37" s="15">
        <v>46</v>
      </c>
      <c r="B37" s="15" t="s">
        <v>6</v>
      </c>
    </row>
    <row r="38" spans="1:2" x14ac:dyDescent="0.35">
      <c r="A38" s="15">
        <v>47</v>
      </c>
      <c r="B38" s="15" t="s">
        <v>6</v>
      </c>
    </row>
    <row r="39" spans="1:2" x14ac:dyDescent="0.35">
      <c r="A39" s="15">
        <v>48</v>
      </c>
      <c r="B39" s="15" t="s">
        <v>6</v>
      </c>
    </row>
    <row r="40" spans="1:2" x14ac:dyDescent="0.35">
      <c r="A40" s="15">
        <v>49</v>
      </c>
      <c r="B40" s="15" t="s">
        <v>6</v>
      </c>
    </row>
    <row r="41" spans="1:2" x14ac:dyDescent="0.35">
      <c r="A41" s="15">
        <v>50</v>
      </c>
      <c r="B41" s="15" t="s">
        <v>7</v>
      </c>
    </row>
    <row r="42" spans="1:2" x14ac:dyDescent="0.35">
      <c r="A42" s="15">
        <v>51</v>
      </c>
      <c r="B42" s="15" t="s">
        <v>7</v>
      </c>
    </row>
    <row r="43" spans="1:2" x14ac:dyDescent="0.35">
      <c r="A43" s="15">
        <v>52</v>
      </c>
      <c r="B43" s="15" t="s">
        <v>7</v>
      </c>
    </row>
    <row r="44" spans="1:2" x14ac:dyDescent="0.35">
      <c r="A44" s="15">
        <v>53</v>
      </c>
      <c r="B44" s="15" t="s">
        <v>7</v>
      </c>
    </row>
    <row r="45" spans="1:2" x14ac:dyDescent="0.35">
      <c r="A45" s="15">
        <v>54</v>
      </c>
      <c r="B45" s="15" t="s">
        <v>7</v>
      </c>
    </row>
    <row r="46" spans="1:2" x14ac:dyDescent="0.35">
      <c r="A46" s="15">
        <v>55</v>
      </c>
      <c r="B46" s="15" t="s">
        <v>7</v>
      </c>
    </row>
    <row r="47" spans="1:2" x14ac:dyDescent="0.35">
      <c r="A47" s="15">
        <v>56</v>
      </c>
      <c r="B47" s="15" t="s">
        <v>7</v>
      </c>
    </row>
    <row r="48" spans="1:2" x14ac:dyDescent="0.35">
      <c r="A48" s="15">
        <v>57</v>
      </c>
      <c r="B48" s="15" t="s">
        <v>7</v>
      </c>
    </row>
    <row r="49" spans="1:2" x14ac:dyDescent="0.35">
      <c r="A49" s="15">
        <v>58</v>
      </c>
      <c r="B49" s="15" t="s">
        <v>7</v>
      </c>
    </row>
    <row r="50" spans="1:2" x14ac:dyDescent="0.35">
      <c r="A50" s="15">
        <v>59</v>
      </c>
      <c r="B50" s="15" t="s">
        <v>7</v>
      </c>
    </row>
    <row r="51" spans="1:2" x14ac:dyDescent="0.35">
      <c r="A51" s="15">
        <v>60</v>
      </c>
      <c r="B51" s="15" t="s">
        <v>8</v>
      </c>
    </row>
    <row r="52" spans="1:2" x14ac:dyDescent="0.35">
      <c r="A52" s="15">
        <v>61</v>
      </c>
      <c r="B52" s="15" t="s">
        <v>8</v>
      </c>
    </row>
    <row r="53" spans="1:2" x14ac:dyDescent="0.35">
      <c r="A53" s="15">
        <v>62</v>
      </c>
      <c r="B53" s="15" t="s">
        <v>8</v>
      </c>
    </row>
    <row r="54" spans="1:2" x14ac:dyDescent="0.35">
      <c r="A54" s="15">
        <v>63</v>
      </c>
      <c r="B54" s="15" t="s">
        <v>8</v>
      </c>
    </row>
    <row r="55" spans="1:2" x14ac:dyDescent="0.35">
      <c r="A55" s="15">
        <v>64</v>
      </c>
      <c r="B55" s="15" t="s">
        <v>8</v>
      </c>
    </row>
    <row r="56" spans="1:2" x14ac:dyDescent="0.35">
      <c r="A56" s="15">
        <v>65</v>
      </c>
      <c r="B56" s="15" t="s">
        <v>8</v>
      </c>
    </row>
    <row r="57" spans="1:2" x14ac:dyDescent="0.35">
      <c r="A57" s="15">
        <v>66</v>
      </c>
      <c r="B57" s="15" t="s">
        <v>8</v>
      </c>
    </row>
    <row r="58" spans="1:2" x14ac:dyDescent="0.35">
      <c r="A58" s="15">
        <v>67</v>
      </c>
      <c r="B58" s="15" t="s">
        <v>8</v>
      </c>
    </row>
    <row r="59" spans="1:2" x14ac:dyDescent="0.35">
      <c r="A59" s="15">
        <v>68</v>
      </c>
      <c r="B59" s="15" t="s">
        <v>8</v>
      </c>
    </row>
    <row r="60" spans="1:2" x14ac:dyDescent="0.35">
      <c r="A60" s="15">
        <v>69</v>
      </c>
      <c r="B60" s="15" t="s">
        <v>8</v>
      </c>
    </row>
  </sheetData>
  <sheetProtection sheet="1" objects="1" scenarios="1"/>
  <mergeCells count="2">
    <mergeCell ref="A1:F1"/>
    <mergeCell ref="H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M21"/>
  <sheetViews>
    <sheetView zoomScaleNormal="100" workbookViewId="0"/>
  </sheetViews>
  <sheetFormatPr defaultColWidth="9.109375" defaultRowHeight="15.6" x14ac:dyDescent="0.35"/>
  <cols>
    <col min="1" max="1" width="15" style="19" customWidth="1"/>
    <col min="2" max="2" width="7" style="19" customWidth="1"/>
    <col min="3" max="3" width="10.33203125" bestFit="1" customWidth="1"/>
    <col min="4" max="4" width="15.5546875" style="19" bestFit="1" customWidth="1"/>
    <col min="5" max="5" width="10" style="19" customWidth="1"/>
    <col min="6" max="16384" width="9.109375" style="18"/>
  </cols>
  <sheetData>
    <row r="1" spans="1:13" x14ac:dyDescent="0.35">
      <c r="A1" s="21" t="s">
        <v>21</v>
      </c>
      <c r="B1" s="21" t="s">
        <v>1</v>
      </c>
      <c r="C1" s="21" t="s">
        <v>23</v>
      </c>
      <c r="D1" s="21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3" x14ac:dyDescent="0.35">
      <c r="A2" s="21">
        <v>1</v>
      </c>
      <c r="B2" s="21">
        <v>28</v>
      </c>
      <c r="C2" s="21" t="str">
        <f t="shared" ref="C2:C13" si="0">VLOOKUP(B2,Age_Decade,2,FALSE)</f>
        <v>20s</v>
      </c>
      <c r="D2" s="28">
        <f>IF(Inputs!$B$2="Male",(HLOOKUP(C2,Tables!$B$2:$F$4,2,FALSE)*(Tables!$I$2*12)),(HLOOKUP(C2,Tables!$B$2:$F$4,3,FALSE)*(Tables!$I$3*12))) * IF(Inputs!$B$3="Unhealthy",1.5,1)</f>
        <v>66.42</v>
      </c>
      <c r="E2" s="31"/>
      <c r="F2" s="31" t="s">
        <v>34</v>
      </c>
      <c r="G2" s="32" t="s">
        <v>33</v>
      </c>
      <c r="H2" s="31"/>
      <c r="I2" s="31"/>
      <c r="J2" s="31"/>
      <c r="K2" s="31"/>
      <c r="L2" s="31"/>
      <c r="M2" s="31"/>
    </row>
    <row r="3" spans="1:13" x14ac:dyDescent="0.35">
      <c r="A3" s="21">
        <f>A2+1</f>
        <v>2</v>
      </c>
      <c r="B3" s="21">
        <f>B2+1</f>
        <v>29</v>
      </c>
      <c r="C3" s="21" t="str">
        <f t="shared" si="0"/>
        <v>20s</v>
      </c>
      <c r="D3" s="25">
        <f>IF(Inputs!$B$2="Male",(HLOOKUP(C3,Tables!$B$2:$F$4,2,FALSE)*(Tables!$I$2*12)),(HLOOKUP(C3,Tables!$B$2:$F$4,3,FALSE)*(Tables!$I$3*12))) * IF(Inputs!$B$3="Unhealthy",1.5,1)</f>
        <v>66.42</v>
      </c>
      <c r="E3" s="31"/>
      <c r="F3" s="31" t="s">
        <v>35</v>
      </c>
      <c r="G3" s="32" t="s">
        <v>25</v>
      </c>
      <c r="H3" s="31"/>
      <c r="I3" s="31"/>
      <c r="J3" s="31"/>
      <c r="K3" s="31"/>
      <c r="L3" s="31"/>
      <c r="M3" s="31"/>
    </row>
    <row r="4" spans="1:13" x14ac:dyDescent="0.35">
      <c r="A4" s="21">
        <f t="shared" ref="A4:A17" si="1">A3+1</f>
        <v>3</v>
      </c>
      <c r="B4" s="21">
        <f t="shared" ref="B4:B17" si="2">B3+1</f>
        <v>30</v>
      </c>
      <c r="C4" s="21" t="str">
        <f t="shared" si="0"/>
        <v>30s</v>
      </c>
      <c r="D4" s="25">
        <f>IF(Inputs!$B$2="Male",(HLOOKUP(C4,Tables!$B$2:$F$4,2,FALSE)*(Tables!$I$2*12)),(HLOOKUP(C4,Tables!$B$2:$F$4,3,FALSE)*(Tables!$I$3*12))) * IF(Inputs!$B$3="Unhealthy",1.5,1)</f>
        <v>99.63</v>
      </c>
      <c r="E4" s="31"/>
      <c r="F4" s="31"/>
      <c r="G4" s="31"/>
      <c r="H4" s="31"/>
      <c r="I4" s="31"/>
      <c r="J4" s="31"/>
      <c r="K4" s="31"/>
      <c r="L4" s="31"/>
      <c r="M4" s="31"/>
    </row>
    <row r="5" spans="1:13" x14ac:dyDescent="0.35">
      <c r="A5" s="21">
        <f t="shared" si="1"/>
        <v>4</v>
      </c>
      <c r="B5" s="21">
        <f t="shared" si="2"/>
        <v>31</v>
      </c>
      <c r="C5" s="21" t="str">
        <f t="shared" si="0"/>
        <v>30s</v>
      </c>
      <c r="D5" s="25">
        <f>IF(Inputs!$B$2="Male",(HLOOKUP(C5,Tables!$B$2:$F$4,2,FALSE)*(Tables!$I$2*12)),(HLOOKUP(C5,Tables!$B$2:$F$4,3,FALSE)*(Tables!$I$3*12))) * IF(Inputs!$B$3="Unhealthy",1.5,1)</f>
        <v>99.63</v>
      </c>
      <c r="E5" s="31"/>
      <c r="F5" s="31"/>
      <c r="G5" s="31"/>
      <c r="H5" s="31"/>
      <c r="I5" s="31"/>
      <c r="J5" s="31"/>
      <c r="K5" s="31"/>
      <c r="L5" s="31"/>
      <c r="M5" s="31"/>
    </row>
    <row r="6" spans="1:13" x14ac:dyDescent="0.35">
      <c r="A6" s="21">
        <f t="shared" si="1"/>
        <v>5</v>
      </c>
      <c r="B6" s="21">
        <f t="shared" si="2"/>
        <v>32</v>
      </c>
      <c r="C6" s="21" t="str">
        <f t="shared" si="0"/>
        <v>30s</v>
      </c>
      <c r="D6" s="25">
        <f>IF(Inputs!$B$2="Male",(HLOOKUP(C6,Tables!$B$2:$F$4,2,FALSE)*(Tables!$I$2*12)),(HLOOKUP(C6,Tables!$B$2:$F$4,3,FALSE)*(Tables!$I$3*12))) * IF(Inputs!$B$3="Unhealthy",1.5,1)</f>
        <v>99.63</v>
      </c>
      <c r="E6" s="31"/>
      <c r="F6" s="31"/>
      <c r="G6" s="31"/>
      <c r="H6" s="31"/>
      <c r="I6" s="31"/>
      <c r="J6" s="31"/>
      <c r="K6" s="31"/>
      <c r="L6" s="31"/>
      <c r="M6" s="31"/>
    </row>
    <row r="7" spans="1:13" x14ac:dyDescent="0.35">
      <c r="A7" s="21">
        <f t="shared" si="1"/>
        <v>6</v>
      </c>
      <c r="B7" s="21">
        <f t="shared" si="2"/>
        <v>33</v>
      </c>
      <c r="C7" s="21" t="str">
        <f t="shared" si="0"/>
        <v>30s</v>
      </c>
      <c r="D7" s="21">
        <f>IF(Inputs!$B$2="Male",(HLOOKUP(C7,Tables!$B$2:$F$4,2,FALSE)*(Tables!$I$2*12)),(HLOOKUP(C7,Tables!$B$2:$F$4,3,FALSE)*(Tables!$I$3*12))) * IF(Inputs!$B$3="Unhealthy",1.5,1)</f>
        <v>99.63</v>
      </c>
      <c r="E7" s="31"/>
      <c r="F7" s="31"/>
      <c r="G7" s="31"/>
      <c r="H7" s="31"/>
      <c r="I7" s="31"/>
      <c r="J7" s="31"/>
      <c r="K7" s="31"/>
      <c r="L7" s="31"/>
      <c r="M7" s="31"/>
    </row>
    <row r="8" spans="1:13" x14ac:dyDescent="0.35">
      <c r="A8" s="21">
        <f t="shared" si="1"/>
        <v>7</v>
      </c>
      <c r="B8" s="21">
        <f t="shared" si="2"/>
        <v>34</v>
      </c>
      <c r="C8" s="21" t="str">
        <f t="shared" si="0"/>
        <v>30s</v>
      </c>
      <c r="D8" s="21">
        <f>IF(Inputs!$B$2="Male",(HLOOKUP(C8,Tables!$B$2:$F$4,2,FALSE)*(Tables!$I$2*12)),(HLOOKUP(C8,Tables!$B$2:$F$4,3,FALSE)*(Tables!$I$3*12))) * IF(Inputs!$B$3="Unhealthy",1.5,1)</f>
        <v>99.63</v>
      </c>
      <c r="E8" s="31"/>
      <c r="F8" s="31"/>
      <c r="G8" s="31"/>
      <c r="H8" s="31"/>
      <c r="I8" s="31"/>
      <c r="J8" s="31"/>
      <c r="K8" s="31"/>
      <c r="L8" s="31"/>
      <c r="M8" s="31"/>
    </row>
    <row r="9" spans="1:13" x14ac:dyDescent="0.35">
      <c r="A9" s="21">
        <f t="shared" si="1"/>
        <v>8</v>
      </c>
      <c r="B9" s="21">
        <f t="shared" si="2"/>
        <v>35</v>
      </c>
      <c r="C9" s="21" t="str">
        <f t="shared" si="0"/>
        <v>30s</v>
      </c>
      <c r="D9" s="21">
        <f>IF(Inputs!$B$2="Male",(HLOOKUP(C9,Tables!$B$2:$F$4,2,FALSE)*(Tables!$I$2*12)),(HLOOKUP(C9,Tables!$B$2:$F$4,3,FALSE)*(Tables!$I$3*12))) * IF(Inputs!$B$3="Unhealthy",1.5,1)</f>
        <v>99.63</v>
      </c>
      <c r="E9" s="31"/>
      <c r="F9" s="31"/>
      <c r="G9" s="31"/>
      <c r="H9" s="31"/>
      <c r="I9" s="31"/>
      <c r="J9" s="31"/>
      <c r="K9" s="31"/>
      <c r="L9" s="31"/>
      <c r="M9" s="31"/>
    </row>
    <row r="10" spans="1:13" x14ac:dyDescent="0.35">
      <c r="A10" s="21">
        <f t="shared" si="1"/>
        <v>9</v>
      </c>
      <c r="B10" s="21">
        <f t="shared" si="2"/>
        <v>36</v>
      </c>
      <c r="C10" s="21" t="str">
        <f t="shared" si="0"/>
        <v>30s</v>
      </c>
      <c r="D10" s="21">
        <f>IF(Inputs!$B$2="Male",(HLOOKUP(C10,Tables!$B$2:$F$4,2,FALSE)*(Tables!$I$2*12)),(HLOOKUP(C10,Tables!$B$2:$F$4,3,FALSE)*(Tables!$I$3*12))) * IF(Inputs!$B$3="Unhealthy",1.5,1)</f>
        <v>99.63</v>
      </c>
      <c r="E10" s="31"/>
      <c r="F10" s="31"/>
      <c r="G10" s="31"/>
      <c r="H10" s="31"/>
      <c r="I10" s="31"/>
      <c r="J10" s="31"/>
      <c r="K10" s="31"/>
      <c r="L10" s="31"/>
      <c r="M10" s="31"/>
    </row>
    <row r="11" spans="1:13" x14ac:dyDescent="0.35">
      <c r="A11" s="21">
        <f t="shared" si="1"/>
        <v>10</v>
      </c>
      <c r="B11" s="21">
        <f t="shared" si="2"/>
        <v>37</v>
      </c>
      <c r="C11" s="21" t="str">
        <f t="shared" si="0"/>
        <v>30s</v>
      </c>
      <c r="D11" s="21">
        <f>IF(Inputs!$B$2="Male",(HLOOKUP(C11,Tables!$B$2:$F$4,2,FALSE)*(Tables!$I$2*12)),(HLOOKUP(C11,Tables!$B$2:$F$4,3,FALSE)*(Tables!$I$3*12))) * IF(Inputs!$B$3="Unhealthy",1.5,1)</f>
        <v>99.63</v>
      </c>
      <c r="E11" s="31"/>
      <c r="H11" s="31"/>
      <c r="I11" s="31"/>
      <c r="J11" s="31"/>
      <c r="K11" s="31"/>
      <c r="L11" s="31"/>
      <c r="M11" s="31"/>
    </row>
    <row r="12" spans="1:13" x14ac:dyDescent="0.35">
      <c r="A12" s="21">
        <f t="shared" si="1"/>
        <v>11</v>
      </c>
      <c r="B12" s="21">
        <f t="shared" si="2"/>
        <v>38</v>
      </c>
      <c r="C12" s="21" t="str">
        <f t="shared" si="0"/>
        <v>30s</v>
      </c>
      <c r="D12" s="21">
        <f>IF(Inputs!$B$2="Male",(HLOOKUP(C12,Tables!$B$2:$F$4,2,FALSE)*(Tables!$I$2*12)),(HLOOKUP(C12,Tables!$B$2:$F$4,3,FALSE)*(Tables!$I$3*12))) * IF(Inputs!$B$3="Unhealthy",1.5,1)</f>
        <v>99.63</v>
      </c>
      <c r="E12" s="31"/>
      <c r="H12" s="31"/>
      <c r="I12" s="31"/>
      <c r="J12" s="31"/>
      <c r="K12" s="31"/>
      <c r="L12" s="31"/>
      <c r="M12" s="31"/>
    </row>
    <row r="13" spans="1:13" x14ac:dyDescent="0.35">
      <c r="A13" s="21">
        <f t="shared" si="1"/>
        <v>12</v>
      </c>
      <c r="B13" s="21">
        <f t="shared" si="2"/>
        <v>39</v>
      </c>
      <c r="C13" s="21" t="str">
        <f t="shared" si="0"/>
        <v>30s</v>
      </c>
      <c r="D13" s="21">
        <f>IF(Inputs!$B$2="Male",(HLOOKUP(C13,Tables!$B$2:$F$4,2,FALSE)*(Tables!$I$2*12)),(HLOOKUP(C13,Tables!$B$2:$F$4,3,FALSE)*(Tables!$I$3*12))) * IF(Inputs!$B$3="Unhealthy",1.5,1)</f>
        <v>99.63</v>
      </c>
      <c r="E13" s="31"/>
      <c r="F13" s="31"/>
      <c r="G13" s="31"/>
      <c r="H13" s="31"/>
      <c r="I13" s="31"/>
      <c r="J13" s="31"/>
      <c r="K13" s="31"/>
      <c r="L13" s="31"/>
      <c r="M13" s="31"/>
    </row>
    <row r="14" spans="1:13" x14ac:dyDescent="0.35">
      <c r="A14" s="21">
        <f t="shared" si="1"/>
        <v>13</v>
      </c>
      <c r="B14" s="21">
        <f t="shared" si="2"/>
        <v>40</v>
      </c>
      <c r="C14" s="21" t="str">
        <f t="shared" ref="C14:C16" si="3">VLOOKUP(B14,Age_Decade,2,FALSE)</f>
        <v>40s</v>
      </c>
      <c r="D14" s="21">
        <f>IF(Inputs!$B$2="Male",(HLOOKUP(C14,Tables!$B$2:$F$4,2,FALSE)*(Tables!$I$2*12)),(HLOOKUP(C14,Tables!$B$2:$F$4,3,FALSE)*(Tables!$I$3*12))) * IF(Inputs!$B$3="Unhealthy",1.5,1)</f>
        <v>199.26</v>
      </c>
      <c r="E14" s="22"/>
    </row>
    <row r="15" spans="1:13" x14ac:dyDescent="0.35">
      <c r="A15" s="21">
        <f t="shared" si="1"/>
        <v>14</v>
      </c>
      <c r="B15" s="21">
        <f t="shared" si="2"/>
        <v>41</v>
      </c>
      <c r="C15" s="21" t="str">
        <f t="shared" si="3"/>
        <v>40s</v>
      </c>
      <c r="D15" s="21">
        <f>IF(Inputs!$B$2="Male",(HLOOKUP(C15,Tables!$B$2:$F$4,2,FALSE)*(Tables!$I$2*12)),(HLOOKUP(C15,Tables!$B$2:$F$4,3,FALSE)*(Tables!$I$3*12))) * IF(Inputs!$B$3="Unhealthy",1.5,1)</f>
        <v>199.26</v>
      </c>
      <c r="E15" s="22"/>
    </row>
    <row r="16" spans="1:13" x14ac:dyDescent="0.35">
      <c r="A16" s="21">
        <f t="shared" si="1"/>
        <v>15</v>
      </c>
      <c r="B16" s="21">
        <f t="shared" si="2"/>
        <v>42</v>
      </c>
      <c r="C16" s="21" t="str">
        <f t="shared" si="3"/>
        <v>40s</v>
      </c>
      <c r="D16" s="21">
        <f>IF(Inputs!$B$2="Male",(HLOOKUP(C16,Tables!$B$2:$F$4,2,FALSE)*(Tables!$I$2*12)),(HLOOKUP(C16,Tables!$B$2:$F$4,3,FALSE)*(Tables!$I$3*12))) * IF(Inputs!$B$3="Unhealthy",1.5,1)</f>
        <v>199.26</v>
      </c>
      <c r="E16" s="22"/>
    </row>
    <row r="17" spans="1:5" x14ac:dyDescent="0.35">
      <c r="A17" s="21">
        <f t="shared" si="1"/>
        <v>16</v>
      </c>
      <c r="B17" s="21">
        <f t="shared" si="2"/>
        <v>43</v>
      </c>
      <c r="C17" s="21" t="str">
        <f t="shared" ref="C17" si="4">VLOOKUP(B17,Age_Decade,2,FALSE)</f>
        <v>40s</v>
      </c>
      <c r="D17" s="21">
        <f>IF(Inputs!$B$2="Male",(HLOOKUP(C17,Tables!$B$2:$F$4,2,FALSE)*(Tables!$I$2*12)),(HLOOKUP(C17,Tables!$B$2:$F$4,3,FALSE)*(Tables!$I$3*12))) * IF(Inputs!$B$3="Unhealthy",1.5,1)</f>
        <v>199.26</v>
      </c>
      <c r="E17" s="22"/>
    </row>
    <row r="18" spans="1:5" x14ac:dyDescent="0.35">
      <c r="A18" s="20"/>
      <c r="B18" s="20"/>
      <c r="D18" s="20"/>
      <c r="E18" s="22"/>
    </row>
    <row r="19" spans="1:5" x14ac:dyDescent="0.35">
      <c r="E19" s="23"/>
    </row>
    <row r="20" spans="1:5" x14ac:dyDescent="0.35">
      <c r="E20" s="23"/>
    </row>
    <row r="21" spans="1:5" x14ac:dyDescent="0.35">
      <c r="E21" s="23"/>
    </row>
  </sheetData>
  <sheetProtection sheet="1" objects="1" scenarios="1"/>
  <pageMargins left="0.7" right="0.7" top="0.75" bottom="0.75" header="0.3" footer="0.3"/>
  <ignoredErrors>
    <ignoredError sqref="D2" unlockedFormula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Inputs</vt:lpstr>
      <vt:lpstr>Outputs</vt:lpstr>
      <vt:lpstr>Instructions</vt:lpstr>
      <vt:lpstr>Tables</vt:lpstr>
      <vt:lpstr>Formulas</vt:lpstr>
      <vt:lpstr>Age_Decade</vt:lpstr>
      <vt:lpstr>Probability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2021-05-10T04:13:11Z</dcterms:modified>
</cp:coreProperties>
</file>