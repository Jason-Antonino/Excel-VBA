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pivotTables/pivotTable1.xml" ContentType="application/vnd.openxmlformats-officedocument.spreadsheetml.pivotTable+xml"/>
  <Override PartName="/xl/drawings/drawing2.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docs.live.net/088f3e76e1014375/DOCUMENTS/EDUCATION/LEARN TO CODE/Excel VBA/Assorted Spreadsheet Files/"/>
    </mc:Choice>
  </mc:AlternateContent>
  <xr:revisionPtr revIDLastSave="1444" documentId="8_{6C952BA2-91F6-4461-A162-16097A6C8C0C}" xr6:coauthVersionLast="47" xr6:coauthVersionMax="47" xr10:uidLastSave="{C342982C-9996-41F8-89ED-DF6582AE5FB0}"/>
  <bookViews>
    <workbookView xWindow="28680" yWindow="-120" windowWidth="29040" windowHeight="15840" activeTab="2" xr2:uid="{1420A0B1-0547-4ABB-B710-CBFEBFD44461}"/>
  </bookViews>
  <sheets>
    <sheet name="Instructions" sheetId="1" r:id="rId1"/>
    <sheet name="Pivot Table" sheetId="2" r:id="rId2"/>
    <sheet name="Word Count" sheetId="3" r:id="rId3"/>
  </sheets>
  <calcPr calcId="191029"/>
  <pivotCaches>
    <pivotCache cacheId="22"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O8" i="2" l="1"/>
  <c r="O7" i="2"/>
  <c r="O2" i="2"/>
  <c r="C21" i="2"/>
  <c r="C15" i="2"/>
  <c r="C13" i="2"/>
  <c r="C12" i="2"/>
  <c r="C11" i="2"/>
  <c r="C10" i="2"/>
  <c r="C9" i="2"/>
  <c r="C8" i="2"/>
  <c r="C7" i="2"/>
  <c r="C6" i="2"/>
  <c r="C5" i="2"/>
  <c r="C4" i="2"/>
  <c r="C3" i="2"/>
  <c r="C2" i="2"/>
  <c r="C1" i="2"/>
</calcChain>
</file>

<file path=xl/sharedStrings.xml><?xml version="1.0" encoding="utf-8"?>
<sst xmlns="http://schemas.openxmlformats.org/spreadsheetml/2006/main" count="296" uniqueCount="99">
  <si>
    <t>Row Labels</t>
  </si>
  <si>
    <t>Sum of count</t>
  </si>
  <si>
    <t>Total Word Count</t>
  </si>
  <si>
    <t>Top Words</t>
  </si>
  <si>
    <t>Permutations / Combinations of</t>
  </si>
  <si>
    <t>Analyst</t>
  </si>
  <si>
    <t>of total</t>
  </si>
  <si>
    <t>Top 50%</t>
  </si>
  <si>
    <t>Data</t>
  </si>
  <si>
    <t>things taken</t>
  </si>
  <si>
    <t>Entry</t>
  </si>
  <si>
    <t>Specialist</t>
  </si>
  <si>
    <t>at a time</t>
  </si>
  <si>
    <t>Business</t>
  </si>
  <si>
    <t>equals</t>
  </si>
  <si>
    <t>Associate</t>
  </si>
  <si>
    <t>combinations</t>
  </si>
  <si>
    <t>Fraud</t>
  </si>
  <si>
    <t>permutations</t>
  </si>
  <si>
    <t>Coordinator</t>
  </si>
  <si>
    <t>Actuarial</t>
  </si>
  <si>
    <t>max allowed with Byte format</t>
  </si>
  <si>
    <t>Management</t>
  </si>
  <si>
    <t>Research</t>
  </si>
  <si>
    <t>Insurance</t>
  </si>
  <si>
    <t>BI</t>
  </si>
  <si>
    <t>Reporting</t>
  </si>
  <si>
    <t>(in lieu of Entry)</t>
  </si>
  <si>
    <t>Project</t>
  </si>
  <si>
    <t>Commercial</t>
  </si>
  <si>
    <t>Clerk</t>
  </si>
  <si>
    <t>Analytics</t>
  </si>
  <si>
    <t>Product</t>
  </si>
  <si>
    <t>Financial</t>
  </si>
  <si>
    <t>(in lieu of Coordinator)</t>
  </si>
  <si>
    <t>remote</t>
  </si>
  <si>
    <t>Science</t>
  </si>
  <si>
    <t>Claims</t>
  </si>
  <si>
    <t>Underwriting</t>
  </si>
  <si>
    <t>Level</t>
  </si>
  <si>
    <t>Underwriter</t>
  </si>
  <si>
    <t>Pricing</t>
  </si>
  <si>
    <t>Systems</t>
  </si>
  <si>
    <t>Risk</t>
  </si>
  <si>
    <t>Digital</t>
  </si>
  <si>
    <t>Policy</t>
  </si>
  <si>
    <t>Document</t>
  </si>
  <si>
    <t>Contact</t>
  </si>
  <si>
    <t>Engineer</t>
  </si>
  <si>
    <t>Services</t>
  </si>
  <si>
    <t>Catastrophe</t>
  </si>
  <si>
    <t>Money</t>
  </si>
  <si>
    <t>Excel</t>
  </si>
  <si>
    <t>Expert</t>
  </si>
  <si>
    <t>Cash</t>
  </si>
  <si>
    <t>Facilities</t>
  </si>
  <si>
    <t>Representative</t>
  </si>
  <si>
    <t>Center</t>
  </si>
  <si>
    <t>AnalystRisk</t>
  </si>
  <si>
    <t>Firm</t>
  </si>
  <si>
    <t>Software</t>
  </si>
  <si>
    <t>Anti</t>
  </si>
  <si>
    <t>Trainee</t>
  </si>
  <si>
    <t>Grants</t>
  </si>
  <si>
    <t>PMO</t>
  </si>
  <si>
    <t>Info</t>
  </si>
  <si>
    <t>Portfolio</t>
  </si>
  <si>
    <t>VBA</t>
  </si>
  <si>
    <t>Predictive</t>
  </si>
  <si>
    <t>Inside</t>
  </si>
  <si>
    <t>Clinical</t>
  </si>
  <si>
    <t>Quality</t>
  </si>
  <si>
    <t>Treasury</t>
  </si>
  <si>
    <t>Contracts</t>
  </si>
  <si>
    <t>AnalystData</t>
  </si>
  <si>
    <t>Junior</t>
  </si>
  <si>
    <t>Sales</t>
  </si>
  <si>
    <t>Laundering</t>
  </si>
  <si>
    <t>Senior</t>
  </si>
  <si>
    <t>Actuary</t>
  </si>
  <si>
    <t>Small</t>
  </si>
  <si>
    <t>Lines</t>
  </si>
  <si>
    <t>Assistant</t>
  </si>
  <si>
    <t>Local</t>
  </si>
  <si>
    <t>Technology</t>
  </si>
  <si>
    <t>Client</t>
  </si>
  <si>
    <t>Decision</t>
  </si>
  <si>
    <t>Medical</t>
  </si>
  <si>
    <t>Intelligence</t>
  </si>
  <si>
    <t>Admin</t>
  </si>
  <si>
    <t>IT</t>
  </si>
  <si>
    <t>Information</t>
  </si>
  <si>
    <t>Grand Total</t>
  </si>
  <si>
    <t>Word</t>
  </si>
  <si>
    <t>count</t>
  </si>
  <si>
    <t>Catastrophe Risk Associate Actuarial Analyst Insurance Analyst Actuarial Analyst Actuarial Associate Research Data Analyst Commercial Underwriter Document Services Specialist- 2nd shift Entry Level Data Analyst Data Analyst (Remote!) Warehouse associate - 2nd shift Data Analyst Financial Data Analyst (remote) Insurance Underwriting Product Specialist Actuarial Analyst II Facilities Admin Assistant Associate Analyst I Research Analyst Data Entry Clerk Anti Money Laundering Specialist Junior BI Data Analyst Grants/Contracts Specialist Fraud Analyst II Underwriter Trainee Quality Data Analyst I Policy and Project Management Coordinator Business Analyst I Financial Analyst Excel Expert (Multifamily experience needed) Remote Inside Sales Representative Data Entry Clerk (6 month contract) Data Analyst Data Coordinator Claims Data Entry Specialist Decision Science Analyst I Business Analyst Sr. Fraud Analyst Project Coordinator Jr. Insurance Product Analyst Digital Portfolio BI Analyst II, Technology PMO - REMOTE Contact Center Reporting Analyst (Work From Home) Pricing Actuary (Commercial Lines) Fraud Analyst Entry Level Software Engineer Chubb Associate, Small Business Underwriting Local Research Analyst IT VBA Analyst Data Analyst Fraud Analyst Sr. PP&amp;C Analyst Client Reporting Analyst (Clinical/ Medical Claims) Analyst-Data Science Senior Data Analyst - Firm Analytics Business Information Analyst Analyst-Risk &amp; Info Management Treasury Analyst - Cash Management Data Analyst - Predictive Analytics Systems Coordinator Analyst Business Intelligence Analyst I</t>
  </si>
  <si>
    <t>associate</t>
  </si>
  <si>
    <t>Remote</t>
  </si>
  <si>
    <t>Programmer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</si>
</sst>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4" x14ac:knownFonts="1">
    <font>
      <sz val="11"/>
      <color theme="1"/>
      <name val="Calibri"/>
      <family val="2"/>
      <scheme val="minor"/>
    </font>
    <font>
      <sz val="11"/>
      <color theme="1"/>
      <name val="Calibri"/>
      <family val="2"/>
      <scheme val="minor"/>
    </font>
    <font>
      <b/>
      <sz val="11"/>
      <color theme="1"/>
      <name val="Calibri"/>
      <family val="2"/>
      <scheme val="minor"/>
    </font>
    <font>
      <sz val="11"/>
      <color rgb="FFFF0000"/>
      <name val="Calibri"/>
      <family val="2"/>
      <scheme val="minor"/>
    </font>
  </fonts>
  <fills count="3">
    <fill>
      <patternFill patternType="none"/>
    </fill>
    <fill>
      <patternFill patternType="gray125"/>
    </fill>
    <fill>
      <patternFill patternType="solid">
        <fgColor theme="2"/>
        <bgColor indexed="64"/>
      </patternFill>
    </fill>
  </fills>
  <borders count="4">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s>
  <cellStyleXfs count="2">
    <xf numFmtId="0" fontId="0" fillId="0" borderId="0"/>
    <xf numFmtId="9" fontId="1" fillId="0" borderId="0" applyFont="0" applyFill="0" applyBorder="0" applyAlignment="0" applyProtection="0"/>
  </cellStyleXfs>
  <cellXfs count="16">
    <xf numFmtId="0" fontId="0" fillId="0" borderId="0" xfId="0"/>
    <xf numFmtId="0" fontId="0" fillId="0" borderId="0" xfId="0" quotePrefix="1"/>
    <xf numFmtId="0" fontId="2" fillId="0" borderId="0" xfId="0" applyFont="1"/>
    <xf numFmtId="0" fontId="0" fillId="0" borderId="0" xfId="0" applyAlignment="1">
      <alignment horizontal="left"/>
    </xf>
    <xf numFmtId="164" fontId="0" fillId="0" borderId="0" xfId="1" applyNumberFormat="1" applyFont="1"/>
    <xf numFmtId="0" fontId="0" fillId="0" borderId="0" xfId="0" applyAlignment="1">
      <alignment horizontal="center"/>
    </xf>
    <xf numFmtId="0" fontId="0" fillId="0" borderId="0" xfId="0" applyAlignment="1">
      <alignment vertical="center" textRotation="255"/>
    </xf>
    <xf numFmtId="0" fontId="0" fillId="2" borderId="0" xfId="0" applyFill="1" applyAlignment="1">
      <alignment horizontal="center" vertical="center" textRotation="255"/>
    </xf>
    <xf numFmtId="0" fontId="0" fillId="0" borderId="0" xfId="0" pivotButton="1"/>
    <xf numFmtId="0" fontId="0" fillId="0" borderId="0" xfId="0" applyNumberFormat="1"/>
    <xf numFmtId="0" fontId="0" fillId="0" borderId="1" xfId="0" applyBorder="1" applyAlignment="1">
      <alignment horizontal="left"/>
    </xf>
    <xf numFmtId="0" fontId="0" fillId="0" borderId="2" xfId="0" applyBorder="1" applyAlignment="1">
      <alignment horizontal="left"/>
    </xf>
    <xf numFmtId="0" fontId="0" fillId="0" borderId="3" xfId="0" applyBorder="1" applyAlignment="1">
      <alignment horizontal="left"/>
    </xf>
    <xf numFmtId="0" fontId="3" fillId="0" borderId="2" xfId="0" applyFont="1" applyFill="1" applyBorder="1" applyAlignment="1">
      <alignment horizontal="left"/>
    </xf>
    <xf numFmtId="0" fontId="3" fillId="0" borderId="2" xfId="0" applyFont="1" applyBorder="1" applyAlignment="1">
      <alignment horizontal="left"/>
    </xf>
    <xf numFmtId="0" fontId="0" fillId="0" borderId="0" xfId="0" applyAlignment="1">
      <alignment horizontal="center"/>
    </xf>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3" Type="http://schemas.openxmlformats.org/officeDocument/2006/relationships/image" Target="../media/image2.svg"/><Relationship Id="rId2" Type="http://schemas.openxmlformats.org/officeDocument/2006/relationships/image" Target="../media/image1.png"/><Relationship Id="rId1" Type="http://schemas.openxmlformats.org/officeDocument/2006/relationships/hyperlink" Target="#'Pivot Table'!A1"/></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25</xdr:col>
      <xdr:colOff>600075</xdr:colOff>
      <xdr:row>10</xdr:row>
      <xdr:rowOff>9524</xdr:rowOff>
    </xdr:to>
    <xdr:sp macro="" textlink="">
      <xdr:nvSpPr>
        <xdr:cNvPr id="2" name="TextBox 1">
          <a:extLst>
            <a:ext uri="{FF2B5EF4-FFF2-40B4-BE49-F238E27FC236}">
              <a16:creationId xmlns:a16="http://schemas.microsoft.com/office/drawing/2014/main" id="{68B77766-B72B-4291-BB58-29DC6EB395D8}"/>
            </a:ext>
          </a:extLst>
        </xdr:cNvPr>
        <xdr:cNvSpPr txBox="1"/>
      </xdr:nvSpPr>
      <xdr:spPr>
        <a:xfrm>
          <a:off x="0" y="0"/>
          <a:ext cx="15840075" cy="19145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latin typeface="Arial Black" panose="020B0A04020102020204" pitchFamily="34" charset="0"/>
            </a:rPr>
            <a:t>1. The Word Count tab lists each of a plurality of job search keywords with a 1 in the second column. </a:t>
          </a:r>
        </a:p>
        <a:p>
          <a:r>
            <a:rPr lang="en-US" sz="1600">
              <a:latin typeface="Arial Black" panose="020B0A04020102020204" pitchFamily="34" charset="0"/>
            </a:rPr>
            <a:t>2. The Pivot Table tab is a</a:t>
          </a:r>
          <a:r>
            <a:rPr lang="en-US" sz="1600" baseline="0">
              <a:latin typeface="Arial Black" panose="020B0A04020102020204" pitchFamily="34" charset="0"/>
            </a:rPr>
            <a:t> pivot table calculated from the Word Count tab so don't try to change it.</a:t>
          </a:r>
        </a:p>
        <a:p>
          <a:r>
            <a:rPr lang="en-US" sz="1600" baseline="0">
              <a:latin typeface="Arial Black" panose="020B0A04020102020204" pitchFamily="34" charset="0"/>
            </a:rPr>
            <a:t>3. Switch to the Pivot Table tab (click triangle below).</a:t>
          </a:r>
        </a:p>
        <a:p>
          <a:r>
            <a:rPr lang="en-US" sz="1600" baseline="0">
              <a:latin typeface="Arial Black" panose="020B0A04020102020204" pitchFamily="34" charset="0"/>
            </a:rPr>
            <a:t>4. Click the "Click Me" right-pointing triangle to run the script that generates a list of suggested job titles in a new worksheet.</a:t>
          </a:r>
        </a:p>
        <a:p>
          <a:r>
            <a:rPr lang="en-US" sz="1600" baseline="0">
              <a:latin typeface="Arial Black" panose="020B0A04020102020204" pitchFamily="34" charset="0"/>
            </a:rPr>
            <a:t>5. If you wish to modify this workbook for your evil purposes, unprotect the Word Count worksheet (no password) and feel free to change some of the keywords, but leave the count column alone. And don't alter the Pivot Table - that depends on the Word Count tab.</a:t>
          </a:r>
          <a:endParaRPr lang="en-US" sz="1600">
            <a:latin typeface="Arial Black" panose="020B0A04020102020204" pitchFamily="34" charset="0"/>
          </a:endParaRPr>
        </a:p>
      </xdr:txBody>
    </xdr:sp>
    <xdr:clientData/>
  </xdr:twoCellAnchor>
  <xdr:twoCellAnchor editAs="oneCell">
    <xdr:from>
      <xdr:col>0</xdr:col>
      <xdr:colOff>114300</xdr:colOff>
      <xdr:row>10</xdr:row>
      <xdr:rowOff>47625</xdr:rowOff>
    </xdr:from>
    <xdr:to>
      <xdr:col>2</xdr:col>
      <xdr:colOff>266700</xdr:colOff>
      <xdr:row>17</xdr:row>
      <xdr:rowOff>85725</xdr:rowOff>
    </xdr:to>
    <xdr:pic>
      <xdr:nvPicPr>
        <xdr:cNvPr id="3" name="Graphic 2" descr="Play outline">
          <a:hlinkClick xmlns:r="http://schemas.openxmlformats.org/officeDocument/2006/relationships" r:id="rId1"/>
          <a:extLst>
            <a:ext uri="{FF2B5EF4-FFF2-40B4-BE49-F238E27FC236}">
              <a16:creationId xmlns:a16="http://schemas.microsoft.com/office/drawing/2014/main" id="{6BBEB7E1-FC40-40E4-8444-6C148410B79A}"/>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14300" y="1952625"/>
          <a:ext cx="1371600" cy="13716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9</xdr:col>
      <xdr:colOff>21907</xdr:colOff>
      <xdr:row>0</xdr:row>
      <xdr:rowOff>180975</xdr:rowOff>
    </xdr:from>
    <xdr:to>
      <xdr:col>11</xdr:col>
      <xdr:colOff>257175</xdr:colOff>
      <xdr:row>10</xdr:row>
      <xdr:rowOff>141551</xdr:rowOff>
    </xdr:to>
    <xdr:sp macro="[0]!JobTitleMaker" textlink="">
      <xdr:nvSpPr>
        <xdr:cNvPr id="2" name="Graphic 2" descr="Play with solid fill">
          <a:extLst>
            <a:ext uri="{FF2B5EF4-FFF2-40B4-BE49-F238E27FC236}">
              <a16:creationId xmlns:a16="http://schemas.microsoft.com/office/drawing/2014/main" id="{D4ECCF56-46AC-44BE-B6F8-D0D7E5333CF9}"/>
            </a:ext>
          </a:extLst>
        </xdr:cNvPr>
        <xdr:cNvSpPr/>
      </xdr:nvSpPr>
      <xdr:spPr>
        <a:xfrm>
          <a:off x="6975157" y="180975"/>
          <a:ext cx="1454468" cy="1875101"/>
        </a:xfrm>
        <a:custGeom>
          <a:avLst/>
          <a:gdLst>
            <a:gd name="connsiteX0" fmla="*/ 0 w 546734"/>
            <a:gd name="connsiteY0" fmla="*/ 0 h 704850"/>
            <a:gd name="connsiteX1" fmla="*/ 546735 w 546734"/>
            <a:gd name="connsiteY1" fmla="*/ 352425 h 704850"/>
            <a:gd name="connsiteX2" fmla="*/ 0 w 546734"/>
            <a:gd name="connsiteY2" fmla="*/ 704850 h 704850"/>
          </a:gdLst>
          <a:ahLst/>
          <a:cxnLst>
            <a:cxn ang="0">
              <a:pos x="connsiteX0" y="connsiteY0"/>
            </a:cxn>
            <a:cxn ang="0">
              <a:pos x="connsiteX1" y="connsiteY1"/>
            </a:cxn>
            <a:cxn ang="0">
              <a:pos x="connsiteX2" y="connsiteY2"/>
            </a:cxn>
          </a:cxnLst>
          <a:rect l="l" t="t" r="r" b="b"/>
          <a:pathLst>
            <a:path w="546734" h="704850">
              <a:moveTo>
                <a:pt x="0" y="0"/>
              </a:moveTo>
              <a:lnTo>
                <a:pt x="546735" y="352425"/>
              </a:lnTo>
              <a:lnTo>
                <a:pt x="0" y="704850"/>
              </a:lnTo>
              <a:close/>
            </a:path>
          </a:pathLst>
        </a:custGeom>
        <a:solidFill>
          <a:srgbClr val="000000"/>
        </a:solidFill>
        <a:ln w="9525" cap="flat">
          <a:noFill/>
          <a:prstDash val="solid"/>
          <a:miter/>
        </a:ln>
      </xdr:spPr>
      <xdr:txBody>
        <a:bodyPr rtlCol="0" anchor="ctr"/>
        <a:lstStyle/>
        <a:p>
          <a:r>
            <a:rPr lang="en-US" sz="2000" b="1">
              <a:solidFill>
                <a:schemeClr val="bg1"/>
              </a:solidFill>
            </a:rPr>
            <a:t>CLICK ME</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Jason Antonino" refreshedDate="44347.779264004632" createdVersion="7" refreshedVersion="7" minRefreshableVersion="3" recordCount="172" xr:uid="{97E671BF-8348-4B8E-9489-3F21A79C50A9}">
  <cacheSource type="worksheet">
    <worksheetSource ref="A1:B173" sheet="Word Count"/>
  </cacheSource>
  <cacheFields count="2">
    <cacheField name="Word" numFmtId="0">
      <sharedItems count="78">
        <s v="Catastrophe"/>
        <s v="Risk"/>
        <s v="Associate"/>
        <s v="Actuarial"/>
        <s v="Analyst"/>
        <s v="Insurance"/>
        <s v="Research"/>
        <s v="Data"/>
        <s v="Commercial"/>
        <s v="Underwriter"/>
        <s v="Document"/>
        <s v="Services"/>
        <s v="Specialist"/>
        <s v="Entry"/>
        <s v="Level"/>
        <s v="Financial"/>
        <s v="remote"/>
        <s v="Underwriting"/>
        <s v="Product"/>
        <s v="Facilities"/>
        <s v="Admin"/>
        <s v="Assistant"/>
        <s v="Clerk"/>
        <s v="Anti"/>
        <s v="Money"/>
        <s v="Laundering"/>
        <s v="Junior"/>
        <s v="BI"/>
        <s v="Grants"/>
        <s v="Contracts"/>
        <s v="Fraud"/>
        <s v="Trainee"/>
        <s v="Quality"/>
        <s v="Policy"/>
        <s v="Project"/>
        <s v="Management"/>
        <s v="Coordinator"/>
        <s v="Business"/>
        <s v="Excel"/>
        <s v="Expert"/>
        <s v="Inside"/>
        <s v="Sales"/>
        <s v="Representative"/>
        <s v="Claims"/>
        <s v="Decision"/>
        <s v="Science"/>
        <s v="Digital"/>
        <s v="Portfolio"/>
        <s v="Technology"/>
        <s v="PMO"/>
        <s v="Contact"/>
        <s v="Center"/>
        <s v="Reporting"/>
        <s v="Pricing"/>
        <s v="Actuary"/>
        <s v="Lines"/>
        <s v="Software"/>
        <s v="Engineer"/>
        <s v="Small"/>
        <s v="Local"/>
        <s v="IT"/>
        <s v="VBA"/>
        <s v="Programmer"/>
        <s v="Client"/>
        <s v="Clinical"/>
        <s v="Medical"/>
        <s v="AnalystData"/>
        <s v="Senior"/>
        <s v="Firm"/>
        <s v="Analytics"/>
        <s v="Information"/>
        <s v="AnalystRisk"/>
        <s v="Info"/>
        <s v="Treasury"/>
        <s v="Cash"/>
        <s v="Predictive"/>
        <s v="Systems"/>
        <s v="Intelligence"/>
      </sharedItems>
    </cacheField>
    <cacheField name="count" numFmtId="0">
      <sharedItems containsSemiMixedTypes="0" containsString="0" containsNumber="1" containsInteger="1" minValue="1" maxValue="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2">
  <r>
    <x v="0"/>
    <n v="1"/>
  </r>
  <r>
    <x v="1"/>
    <n v="1"/>
  </r>
  <r>
    <x v="2"/>
    <n v="1"/>
  </r>
  <r>
    <x v="3"/>
    <n v="1"/>
  </r>
  <r>
    <x v="4"/>
    <n v="1"/>
  </r>
  <r>
    <x v="5"/>
    <n v="1"/>
  </r>
  <r>
    <x v="4"/>
    <n v="1"/>
  </r>
  <r>
    <x v="3"/>
    <n v="1"/>
  </r>
  <r>
    <x v="4"/>
    <n v="1"/>
  </r>
  <r>
    <x v="3"/>
    <n v="1"/>
  </r>
  <r>
    <x v="2"/>
    <n v="1"/>
  </r>
  <r>
    <x v="6"/>
    <n v="1"/>
  </r>
  <r>
    <x v="7"/>
    <n v="1"/>
  </r>
  <r>
    <x v="4"/>
    <n v="1"/>
  </r>
  <r>
    <x v="8"/>
    <n v="1"/>
  </r>
  <r>
    <x v="9"/>
    <n v="1"/>
  </r>
  <r>
    <x v="10"/>
    <n v="1"/>
  </r>
  <r>
    <x v="11"/>
    <n v="1"/>
  </r>
  <r>
    <x v="12"/>
    <n v="1"/>
  </r>
  <r>
    <x v="13"/>
    <n v="1"/>
  </r>
  <r>
    <x v="14"/>
    <n v="1"/>
  </r>
  <r>
    <x v="7"/>
    <n v="1"/>
  </r>
  <r>
    <x v="4"/>
    <n v="1"/>
  </r>
  <r>
    <x v="7"/>
    <n v="1"/>
  </r>
  <r>
    <x v="4"/>
    <n v="1"/>
  </r>
  <r>
    <x v="2"/>
    <n v="1"/>
  </r>
  <r>
    <x v="7"/>
    <n v="1"/>
  </r>
  <r>
    <x v="4"/>
    <n v="1"/>
  </r>
  <r>
    <x v="15"/>
    <n v="1"/>
  </r>
  <r>
    <x v="7"/>
    <n v="1"/>
  </r>
  <r>
    <x v="4"/>
    <n v="1"/>
  </r>
  <r>
    <x v="16"/>
    <n v="1"/>
  </r>
  <r>
    <x v="5"/>
    <n v="1"/>
  </r>
  <r>
    <x v="17"/>
    <n v="1"/>
  </r>
  <r>
    <x v="18"/>
    <n v="1"/>
  </r>
  <r>
    <x v="12"/>
    <n v="1"/>
  </r>
  <r>
    <x v="3"/>
    <n v="1"/>
  </r>
  <r>
    <x v="4"/>
    <n v="1"/>
  </r>
  <r>
    <x v="19"/>
    <n v="1"/>
  </r>
  <r>
    <x v="20"/>
    <n v="1"/>
  </r>
  <r>
    <x v="21"/>
    <n v="1"/>
  </r>
  <r>
    <x v="2"/>
    <n v="1"/>
  </r>
  <r>
    <x v="4"/>
    <n v="1"/>
  </r>
  <r>
    <x v="6"/>
    <n v="1"/>
  </r>
  <r>
    <x v="4"/>
    <n v="1"/>
  </r>
  <r>
    <x v="7"/>
    <n v="1"/>
  </r>
  <r>
    <x v="13"/>
    <n v="1"/>
  </r>
  <r>
    <x v="22"/>
    <n v="1"/>
  </r>
  <r>
    <x v="23"/>
    <n v="1"/>
  </r>
  <r>
    <x v="24"/>
    <n v="1"/>
  </r>
  <r>
    <x v="25"/>
    <n v="1"/>
  </r>
  <r>
    <x v="12"/>
    <n v="1"/>
  </r>
  <r>
    <x v="26"/>
    <n v="1"/>
  </r>
  <r>
    <x v="27"/>
    <n v="1"/>
  </r>
  <r>
    <x v="7"/>
    <n v="1"/>
  </r>
  <r>
    <x v="4"/>
    <n v="1"/>
  </r>
  <r>
    <x v="28"/>
    <n v="1"/>
  </r>
  <r>
    <x v="29"/>
    <n v="1"/>
  </r>
  <r>
    <x v="12"/>
    <n v="1"/>
  </r>
  <r>
    <x v="30"/>
    <n v="1"/>
  </r>
  <r>
    <x v="4"/>
    <n v="1"/>
  </r>
  <r>
    <x v="9"/>
    <n v="1"/>
  </r>
  <r>
    <x v="31"/>
    <n v="1"/>
  </r>
  <r>
    <x v="32"/>
    <n v="1"/>
  </r>
  <r>
    <x v="7"/>
    <n v="1"/>
  </r>
  <r>
    <x v="4"/>
    <n v="1"/>
  </r>
  <r>
    <x v="33"/>
    <n v="1"/>
  </r>
  <r>
    <x v="34"/>
    <n v="1"/>
  </r>
  <r>
    <x v="35"/>
    <n v="1"/>
  </r>
  <r>
    <x v="36"/>
    <n v="1"/>
  </r>
  <r>
    <x v="37"/>
    <n v="1"/>
  </r>
  <r>
    <x v="4"/>
    <n v="1"/>
  </r>
  <r>
    <x v="15"/>
    <n v="1"/>
  </r>
  <r>
    <x v="4"/>
    <n v="1"/>
  </r>
  <r>
    <x v="38"/>
    <n v="1"/>
  </r>
  <r>
    <x v="39"/>
    <n v="1"/>
  </r>
  <r>
    <x v="16"/>
    <n v="1"/>
  </r>
  <r>
    <x v="40"/>
    <n v="1"/>
  </r>
  <r>
    <x v="41"/>
    <n v="1"/>
  </r>
  <r>
    <x v="42"/>
    <n v="1"/>
  </r>
  <r>
    <x v="7"/>
    <n v="1"/>
  </r>
  <r>
    <x v="13"/>
    <n v="1"/>
  </r>
  <r>
    <x v="22"/>
    <n v="1"/>
  </r>
  <r>
    <x v="7"/>
    <n v="1"/>
  </r>
  <r>
    <x v="4"/>
    <n v="1"/>
  </r>
  <r>
    <x v="7"/>
    <n v="1"/>
  </r>
  <r>
    <x v="36"/>
    <n v="1"/>
  </r>
  <r>
    <x v="43"/>
    <n v="1"/>
  </r>
  <r>
    <x v="7"/>
    <n v="1"/>
  </r>
  <r>
    <x v="13"/>
    <n v="1"/>
  </r>
  <r>
    <x v="12"/>
    <n v="1"/>
  </r>
  <r>
    <x v="44"/>
    <n v="1"/>
  </r>
  <r>
    <x v="45"/>
    <n v="1"/>
  </r>
  <r>
    <x v="4"/>
    <n v="1"/>
  </r>
  <r>
    <x v="37"/>
    <n v="1"/>
  </r>
  <r>
    <x v="4"/>
    <n v="1"/>
  </r>
  <r>
    <x v="30"/>
    <n v="1"/>
  </r>
  <r>
    <x v="4"/>
    <n v="1"/>
  </r>
  <r>
    <x v="34"/>
    <n v="1"/>
  </r>
  <r>
    <x v="36"/>
    <n v="1"/>
  </r>
  <r>
    <x v="5"/>
    <n v="1"/>
  </r>
  <r>
    <x v="18"/>
    <n v="1"/>
  </r>
  <r>
    <x v="4"/>
    <n v="1"/>
  </r>
  <r>
    <x v="46"/>
    <n v="1"/>
  </r>
  <r>
    <x v="47"/>
    <n v="1"/>
  </r>
  <r>
    <x v="27"/>
    <n v="1"/>
  </r>
  <r>
    <x v="4"/>
    <n v="1"/>
  </r>
  <r>
    <x v="48"/>
    <n v="1"/>
  </r>
  <r>
    <x v="49"/>
    <n v="1"/>
  </r>
  <r>
    <x v="50"/>
    <n v="1"/>
  </r>
  <r>
    <x v="51"/>
    <n v="1"/>
  </r>
  <r>
    <x v="52"/>
    <n v="1"/>
  </r>
  <r>
    <x v="4"/>
    <n v="1"/>
  </r>
  <r>
    <x v="53"/>
    <n v="1"/>
  </r>
  <r>
    <x v="54"/>
    <n v="1"/>
  </r>
  <r>
    <x v="8"/>
    <n v="1"/>
  </r>
  <r>
    <x v="55"/>
    <n v="1"/>
  </r>
  <r>
    <x v="30"/>
    <n v="1"/>
  </r>
  <r>
    <x v="4"/>
    <n v="1"/>
  </r>
  <r>
    <x v="13"/>
    <n v="1"/>
  </r>
  <r>
    <x v="14"/>
    <n v="1"/>
  </r>
  <r>
    <x v="56"/>
    <n v="1"/>
  </r>
  <r>
    <x v="57"/>
    <n v="1"/>
  </r>
  <r>
    <x v="2"/>
    <n v="1"/>
  </r>
  <r>
    <x v="58"/>
    <n v="1"/>
  </r>
  <r>
    <x v="37"/>
    <n v="1"/>
  </r>
  <r>
    <x v="17"/>
    <n v="1"/>
  </r>
  <r>
    <x v="59"/>
    <n v="1"/>
  </r>
  <r>
    <x v="6"/>
    <n v="1"/>
  </r>
  <r>
    <x v="4"/>
    <n v="1"/>
  </r>
  <r>
    <x v="60"/>
    <n v="1"/>
  </r>
  <r>
    <x v="61"/>
    <n v="1"/>
  </r>
  <r>
    <x v="4"/>
    <n v="1"/>
  </r>
  <r>
    <x v="7"/>
    <n v="1"/>
  </r>
  <r>
    <x v="4"/>
    <n v="1"/>
  </r>
  <r>
    <x v="30"/>
    <n v="1"/>
  </r>
  <r>
    <x v="4"/>
    <n v="1"/>
  </r>
  <r>
    <x v="62"/>
    <n v="1"/>
  </r>
  <r>
    <x v="4"/>
    <n v="1"/>
  </r>
  <r>
    <x v="63"/>
    <n v="1"/>
  </r>
  <r>
    <x v="52"/>
    <n v="1"/>
  </r>
  <r>
    <x v="4"/>
    <n v="1"/>
  </r>
  <r>
    <x v="64"/>
    <n v="1"/>
  </r>
  <r>
    <x v="65"/>
    <n v="1"/>
  </r>
  <r>
    <x v="43"/>
    <n v="1"/>
  </r>
  <r>
    <x v="66"/>
    <n v="1"/>
  </r>
  <r>
    <x v="45"/>
    <n v="1"/>
  </r>
  <r>
    <x v="67"/>
    <n v="1"/>
  </r>
  <r>
    <x v="7"/>
    <n v="1"/>
  </r>
  <r>
    <x v="4"/>
    <n v="1"/>
  </r>
  <r>
    <x v="68"/>
    <n v="1"/>
  </r>
  <r>
    <x v="69"/>
    <n v="1"/>
  </r>
  <r>
    <x v="37"/>
    <n v="1"/>
  </r>
  <r>
    <x v="70"/>
    <n v="1"/>
  </r>
  <r>
    <x v="4"/>
    <n v="1"/>
  </r>
  <r>
    <x v="71"/>
    <n v="1"/>
  </r>
  <r>
    <x v="72"/>
    <n v="1"/>
  </r>
  <r>
    <x v="35"/>
    <n v="1"/>
  </r>
  <r>
    <x v="73"/>
    <n v="1"/>
  </r>
  <r>
    <x v="4"/>
    <n v="1"/>
  </r>
  <r>
    <x v="74"/>
    <n v="1"/>
  </r>
  <r>
    <x v="35"/>
    <n v="1"/>
  </r>
  <r>
    <x v="7"/>
    <n v="1"/>
  </r>
  <r>
    <x v="4"/>
    <n v="1"/>
  </r>
  <r>
    <x v="75"/>
    <n v="1"/>
  </r>
  <r>
    <x v="69"/>
    <n v="1"/>
  </r>
  <r>
    <x v="76"/>
    <n v="1"/>
  </r>
  <r>
    <x v="36"/>
    <n v="1"/>
  </r>
  <r>
    <x v="4"/>
    <n v="1"/>
  </r>
  <r>
    <x v="37"/>
    <n v="1"/>
  </r>
  <r>
    <x v="77"/>
    <n v="1"/>
  </r>
  <r>
    <x v="4"/>
    <n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BACE899-26F6-4E23-8A3E-50880EACDD53}" name="PivotTable9" cacheId="22"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location ref="A1:B80" firstHeaderRow="1" firstDataRow="1" firstDataCol="1"/>
  <pivotFields count="2">
    <pivotField axis="axisRow" showAll="0" sortType="descending">
      <items count="79">
        <item x="3"/>
        <item x="54"/>
        <item x="20"/>
        <item x="4"/>
        <item x="66"/>
        <item x="71"/>
        <item x="69"/>
        <item x="23"/>
        <item x="21"/>
        <item x="2"/>
        <item x="27"/>
        <item x="37"/>
        <item x="74"/>
        <item x="0"/>
        <item x="51"/>
        <item x="43"/>
        <item x="22"/>
        <item x="63"/>
        <item x="64"/>
        <item x="8"/>
        <item x="50"/>
        <item x="29"/>
        <item x="36"/>
        <item x="7"/>
        <item x="44"/>
        <item x="46"/>
        <item x="10"/>
        <item x="57"/>
        <item x="13"/>
        <item x="38"/>
        <item x="39"/>
        <item x="19"/>
        <item x="15"/>
        <item x="68"/>
        <item x="30"/>
        <item x="28"/>
        <item x="72"/>
        <item x="70"/>
        <item x="40"/>
        <item x="5"/>
        <item x="77"/>
        <item x="60"/>
        <item x="26"/>
        <item x="25"/>
        <item x="14"/>
        <item x="55"/>
        <item x="59"/>
        <item x="35"/>
        <item x="65"/>
        <item x="24"/>
        <item x="49"/>
        <item x="33"/>
        <item x="47"/>
        <item x="75"/>
        <item x="53"/>
        <item x="18"/>
        <item x="62"/>
        <item x="34"/>
        <item x="32"/>
        <item x="16"/>
        <item x="52"/>
        <item x="42"/>
        <item x="6"/>
        <item x="1"/>
        <item x="41"/>
        <item x="45"/>
        <item x="67"/>
        <item x="11"/>
        <item x="58"/>
        <item x="56"/>
        <item x="12"/>
        <item x="76"/>
        <item x="48"/>
        <item x="31"/>
        <item x="73"/>
        <item x="9"/>
        <item x="17"/>
        <item x="61"/>
        <item t="default"/>
      </items>
      <autoSortScope>
        <pivotArea dataOnly="0" outline="0" fieldPosition="0">
          <references count="1">
            <reference field="4294967294" count="1" selected="0">
              <x v="0"/>
            </reference>
          </references>
        </pivotArea>
      </autoSortScope>
    </pivotField>
    <pivotField dataField="1" showAll="0"/>
  </pivotFields>
  <rowFields count="1">
    <field x="0"/>
  </rowFields>
  <rowItems count="79">
    <i>
      <x v="3"/>
    </i>
    <i>
      <x v="23"/>
    </i>
    <i>
      <x v="70"/>
    </i>
    <i>
      <x v="28"/>
    </i>
    <i>
      <x v="9"/>
    </i>
    <i>
      <x v="11"/>
    </i>
    <i>
      <x v="34"/>
    </i>
    <i>
      <x v="22"/>
    </i>
    <i>
      <x/>
    </i>
    <i>
      <x v="47"/>
    </i>
    <i>
      <x v="62"/>
    </i>
    <i>
      <x v="39"/>
    </i>
    <i>
      <x v="10"/>
    </i>
    <i>
      <x v="60"/>
    </i>
    <i>
      <x v="57"/>
    </i>
    <i>
      <x v="19"/>
    </i>
    <i>
      <x v="16"/>
    </i>
    <i>
      <x v="6"/>
    </i>
    <i>
      <x v="55"/>
    </i>
    <i>
      <x v="32"/>
    </i>
    <i>
      <x v="59"/>
    </i>
    <i>
      <x v="65"/>
    </i>
    <i>
      <x v="15"/>
    </i>
    <i>
      <x v="76"/>
    </i>
    <i>
      <x v="44"/>
    </i>
    <i>
      <x v="75"/>
    </i>
    <i>
      <x v="21"/>
    </i>
    <i>
      <x v="73"/>
    </i>
    <i>
      <x v="25"/>
    </i>
    <i>
      <x v="27"/>
    </i>
    <i>
      <x v="53"/>
    </i>
    <i>
      <x v="14"/>
    </i>
    <i>
      <x v="61"/>
    </i>
    <i>
      <x v="29"/>
    </i>
    <i>
      <x v="69"/>
    </i>
    <i>
      <x v="30"/>
    </i>
    <i>
      <x v="51"/>
    </i>
    <i>
      <x v="31"/>
    </i>
    <i>
      <x v="20"/>
    </i>
    <i>
      <x v="1"/>
    </i>
    <i>
      <x v="4"/>
    </i>
    <i>
      <x v="33"/>
    </i>
    <i>
      <x v="63"/>
    </i>
    <i>
      <x v="7"/>
    </i>
    <i>
      <x v="67"/>
    </i>
    <i>
      <x v="35"/>
    </i>
    <i>
      <x v="71"/>
    </i>
    <i>
      <x v="36"/>
    </i>
    <i>
      <x v="50"/>
    </i>
    <i>
      <x v="37"/>
    </i>
    <i>
      <x v="52"/>
    </i>
    <i>
      <x v="77"/>
    </i>
    <i>
      <x v="54"/>
    </i>
    <i>
      <x v="12"/>
    </i>
    <i>
      <x v="56"/>
    </i>
    <i>
      <x v="40"/>
    </i>
    <i>
      <x v="58"/>
    </i>
    <i>
      <x v="74"/>
    </i>
    <i>
      <x v="5"/>
    </i>
    <i>
      <x v="17"/>
    </i>
    <i>
      <x v="24"/>
    </i>
    <i>
      <x v="43"/>
    </i>
    <i>
      <x v="64"/>
    </i>
    <i>
      <x v="18"/>
    </i>
    <i>
      <x v="66"/>
    </i>
    <i>
      <x v="45"/>
    </i>
    <i>
      <x v="68"/>
    </i>
    <i>
      <x v="46"/>
    </i>
    <i>
      <x v="8"/>
    </i>
    <i>
      <x v="13"/>
    </i>
    <i>
      <x v="72"/>
    </i>
    <i>
      <x v="48"/>
    </i>
    <i>
      <x v="26"/>
    </i>
    <i>
      <x v="49"/>
    </i>
    <i>
      <x v="41"/>
    </i>
    <i>
      <x v="2"/>
    </i>
    <i>
      <x v="42"/>
    </i>
    <i>
      <x v="38"/>
    </i>
    <i t="grand">
      <x/>
    </i>
  </rowItems>
  <colItems count="1">
    <i/>
  </colItems>
  <dataFields count="1">
    <dataField name="Sum of count" fld="1"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C9051F-2D30-4B54-B481-8AE3471D2416}">
  <sheetPr codeName="Sheet11"/>
  <dimension ref="A3"/>
  <sheetViews>
    <sheetView workbookViewId="0"/>
  </sheetViews>
  <sheetFormatPr defaultRowHeight="15" x14ac:dyDescent="0.25"/>
  <sheetData>
    <row r="3" spans="1:1" x14ac:dyDescent="0.25">
      <c r="A3" s="1"/>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6F3C0-DF7F-4415-847E-576C4F261C43}">
  <sheetPr codeName="Sheet19"/>
  <dimension ref="A1:P80"/>
  <sheetViews>
    <sheetView zoomScale="120" zoomScaleNormal="120" workbookViewId="0"/>
  </sheetViews>
  <sheetFormatPr defaultRowHeight="15" x14ac:dyDescent="0.25"/>
  <cols>
    <col min="1" max="1" width="14.7109375" bestFit="1" customWidth="1"/>
    <col min="2" max="2" width="13.28515625" bestFit="1" customWidth="1"/>
    <col min="7" max="7" width="13.42578125" bestFit="1" customWidth="1"/>
    <col min="8" max="8" width="21.7109375" bestFit="1" customWidth="1"/>
    <col min="9" max="9" width="4.7109375" customWidth="1"/>
    <col min="15" max="15" width="11.85546875" customWidth="1"/>
    <col min="16" max="16" width="28.140625" bestFit="1" customWidth="1"/>
  </cols>
  <sheetData>
    <row r="1" spans="1:16" x14ac:dyDescent="0.25">
      <c r="A1" s="8" t="s">
        <v>0</v>
      </c>
      <c r="B1" t="s">
        <v>1</v>
      </c>
      <c r="C1" s="2">
        <f>GETPIVOTDATA("count",$A$1)</f>
        <v>172</v>
      </c>
      <c r="D1" t="s">
        <v>2</v>
      </c>
      <c r="G1" s="2" t="s">
        <v>3</v>
      </c>
      <c r="O1" s="15" t="s">
        <v>4</v>
      </c>
      <c r="P1" s="15"/>
    </row>
    <row r="2" spans="1:16" ht="15" customHeight="1" x14ac:dyDescent="0.25">
      <c r="A2" s="3" t="s">
        <v>5</v>
      </c>
      <c r="B2" s="9">
        <v>36</v>
      </c>
      <c r="C2" s="4">
        <f>GETPIVOTDATA("count",$A$1,"Word","Analyst")/$C$1</f>
        <v>0.20930232558139536</v>
      </c>
      <c r="D2" t="s">
        <v>6</v>
      </c>
      <c r="E2" s="7" t="s">
        <v>7</v>
      </c>
      <c r="G2" s="10" t="s">
        <v>5</v>
      </c>
      <c r="O2" s="5">
        <f>COUNTA(G2:G13)</f>
        <v>12</v>
      </c>
    </row>
    <row r="3" spans="1:16" x14ac:dyDescent="0.25">
      <c r="A3" s="3" t="s">
        <v>8</v>
      </c>
      <c r="B3" s="9">
        <v>15</v>
      </c>
      <c r="C3" s="4">
        <f>GETPIVOTDATA("count",$A$1,"Word","Data")/$C$1</f>
        <v>8.7209302325581398E-2</v>
      </c>
      <c r="D3" t="s">
        <v>6</v>
      </c>
      <c r="E3" s="7"/>
      <c r="G3" s="11" t="s">
        <v>8</v>
      </c>
      <c r="O3" t="s">
        <v>9</v>
      </c>
    </row>
    <row r="4" spans="1:16" x14ac:dyDescent="0.25">
      <c r="A4" s="3" t="s">
        <v>11</v>
      </c>
      <c r="B4" s="9">
        <v>5</v>
      </c>
      <c r="C4" s="4">
        <f>GETPIVOTDATA("count",$A$1,"Word","Specialist")/$C$1</f>
        <v>2.9069767441860465E-2</v>
      </c>
      <c r="D4" t="s">
        <v>6</v>
      </c>
      <c r="E4" s="7"/>
      <c r="G4" s="11" t="s">
        <v>11</v>
      </c>
      <c r="O4" s="5">
        <v>3</v>
      </c>
    </row>
    <row r="5" spans="1:16" x14ac:dyDescent="0.25">
      <c r="A5" s="3" t="s">
        <v>10</v>
      </c>
      <c r="B5" s="9">
        <v>5</v>
      </c>
      <c r="C5" s="4">
        <f>GETPIVOTDATA("count",$A$1,"Word","Entry")/$C$1</f>
        <v>2.9069767441860465E-2</v>
      </c>
      <c r="D5" t="s">
        <v>6</v>
      </c>
      <c r="E5" s="7"/>
      <c r="G5" s="13" t="s">
        <v>10</v>
      </c>
      <c r="O5" t="s">
        <v>12</v>
      </c>
    </row>
    <row r="6" spans="1:16" x14ac:dyDescent="0.25">
      <c r="A6" s="3" t="s">
        <v>15</v>
      </c>
      <c r="B6" s="9">
        <v>5</v>
      </c>
      <c r="C6" s="4">
        <f>GETPIVOTDATA("count",$A$1,"Word","Associate")/$C$1</f>
        <v>2.9069767441860465E-2</v>
      </c>
      <c r="D6" t="s">
        <v>6</v>
      </c>
      <c r="E6" s="7"/>
      <c r="G6" s="11" t="s">
        <v>15</v>
      </c>
      <c r="O6" t="s">
        <v>14</v>
      </c>
    </row>
    <row r="7" spans="1:16" x14ac:dyDescent="0.25">
      <c r="A7" s="3" t="s">
        <v>13</v>
      </c>
      <c r="B7" s="9">
        <v>5</v>
      </c>
      <c r="C7" s="4">
        <f>GETPIVOTDATA("count",$A$1,"Word","Business")/$C$1</f>
        <v>2.9069767441860465E-2</v>
      </c>
      <c r="D7" t="s">
        <v>6</v>
      </c>
      <c r="E7" s="7"/>
      <c r="G7" s="11" t="s">
        <v>13</v>
      </c>
      <c r="O7">
        <f>COMBIN(12,3)</f>
        <v>220</v>
      </c>
      <c r="P7" t="s">
        <v>16</v>
      </c>
    </row>
    <row r="8" spans="1:16" x14ac:dyDescent="0.25">
      <c r="A8" s="3" t="s">
        <v>17</v>
      </c>
      <c r="B8" s="9">
        <v>4</v>
      </c>
      <c r="C8" s="4">
        <f>GETPIVOTDATA("count",$A$1,"Word","Fraud")/$C$1</f>
        <v>2.3255813953488372E-2</v>
      </c>
      <c r="D8" t="s">
        <v>6</v>
      </c>
      <c r="E8" s="7"/>
      <c r="G8" s="11" t="s">
        <v>17</v>
      </c>
      <c r="O8">
        <f>PERMUT(12,3)</f>
        <v>1320</v>
      </c>
      <c r="P8" t="s">
        <v>18</v>
      </c>
    </row>
    <row r="9" spans="1:16" x14ac:dyDescent="0.25">
      <c r="A9" s="3" t="s">
        <v>19</v>
      </c>
      <c r="B9" s="9">
        <v>4</v>
      </c>
      <c r="C9" s="4">
        <f>GETPIVOTDATA("count",$A$1,"Word","Coordinator")/$C$1</f>
        <v>2.3255813953488372E-2</v>
      </c>
      <c r="D9" t="s">
        <v>6</v>
      </c>
      <c r="E9" s="7"/>
      <c r="G9" s="14" t="s">
        <v>19</v>
      </c>
    </row>
    <row r="10" spans="1:16" x14ac:dyDescent="0.25">
      <c r="A10" s="3" t="s">
        <v>20</v>
      </c>
      <c r="B10" s="9">
        <v>4</v>
      </c>
      <c r="C10" s="4">
        <f>GETPIVOTDATA("count",$A$1,"Word","Actuarial")/$C$1</f>
        <v>2.3255813953488372E-2</v>
      </c>
      <c r="D10" t="s">
        <v>6</v>
      </c>
      <c r="E10" s="7"/>
      <c r="G10" s="11" t="s">
        <v>20</v>
      </c>
      <c r="O10">
        <v>254</v>
      </c>
      <c r="P10" t="s">
        <v>21</v>
      </c>
    </row>
    <row r="11" spans="1:16" x14ac:dyDescent="0.25">
      <c r="A11" s="3" t="s">
        <v>22</v>
      </c>
      <c r="B11" s="9">
        <v>3</v>
      </c>
      <c r="C11" s="4">
        <f>GETPIVOTDATA("count",$A$1,"Word","Management")/$C$1</f>
        <v>1.7441860465116279E-2</v>
      </c>
      <c r="D11" t="s">
        <v>6</v>
      </c>
      <c r="E11" s="7"/>
      <c r="G11" s="11" t="s">
        <v>22</v>
      </c>
    </row>
    <row r="12" spans="1:16" x14ac:dyDescent="0.25">
      <c r="A12" s="3" t="s">
        <v>23</v>
      </c>
      <c r="B12" s="9">
        <v>3</v>
      </c>
      <c r="C12" s="4">
        <f>GETPIVOTDATA("count",$A$1,"Word","Research")/$C$1</f>
        <v>1.7441860465116279E-2</v>
      </c>
      <c r="D12" t="s">
        <v>6</v>
      </c>
      <c r="E12" s="6"/>
      <c r="G12" s="11" t="s">
        <v>23</v>
      </c>
    </row>
    <row r="13" spans="1:16" x14ac:dyDescent="0.25">
      <c r="A13" s="3" t="s">
        <v>24</v>
      </c>
      <c r="B13" s="9">
        <v>3</v>
      </c>
      <c r="C13" s="4">
        <f>GETPIVOTDATA("count",$A$1,"Word","Insurance")/$C$1</f>
        <v>1.7441860465116279E-2</v>
      </c>
      <c r="D13" t="s">
        <v>6</v>
      </c>
      <c r="E13" s="6"/>
      <c r="G13" s="12" t="s">
        <v>24</v>
      </c>
    </row>
    <row r="14" spans="1:16" x14ac:dyDescent="0.25">
      <c r="A14" s="3" t="s">
        <v>25</v>
      </c>
      <c r="B14" s="9">
        <v>2</v>
      </c>
      <c r="C14" s="4"/>
    </row>
    <row r="15" spans="1:16" x14ac:dyDescent="0.25">
      <c r="A15" s="3" t="s">
        <v>26</v>
      </c>
      <c r="B15" s="9">
        <v>2</v>
      </c>
      <c r="C15" s="4">
        <f>GETPIVOTDATA("count",$A$1,"Word","Reporting")/$C$1</f>
        <v>1.1627906976744186E-2</v>
      </c>
      <c r="D15" t="s">
        <v>6</v>
      </c>
      <c r="G15" s="3" t="s">
        <v>26</v>
      </c>
      <c r="H15" t="s">
        <v>27</v>
      </c>
    </row>
    <row r="16" spans="1:16" x14ac:dyDescent="0.25">
      <c r="A16" s="3" t="s">
        <v>28</v>
      </c>
      <c r="B16" s="9">
        <v>2</v>
      </c>
      <c r="C16" s="4"/>
    </row>
    <row r="17" spans="1:8" x14ac:dyDescent="0.25">
      <c r="A17" s="3" t="s">
        <v>29</v>
      </c>
      <c r="B17" s="9">
        <v>2</v>
      </c>
      <c r="C17" s="4"/>
    </row>
    <row r="18" spans="1:8" x14ac:dyDescent="0.25">
      <c r="A18" s="3" t="s">
        <v>30</v>
      </c>
      <c r="B18" s="9">
        <v>2</v>
      </c>
      <c r="C18" s="4"/>
    </row>
    <row r="19" spans="1:8" x14ac:dyDescent="0.25">
      <c r="A19" s="3" t="s">
        <v>31</v>
      </c>
      <c r="B19" s="9">
        <v>2</v>
      </c>
      <c r="C19" s="4"/>
    </row>
    <row r="20" spans="1:8" x14ac:dyDescent="0.25">
      <c r="A20" s="3" t="s">
        <v>32</v>
      </c>
      <c r="B20" s="9">
        <v>2</v>
      </c>
      <c r="C20" s="4"/>
    </row>
    <row r="21" spans="1:8" x14ac:dyDescent="0.25">
      <c r="A21" s="3" t="s">
        <v>33</v>
      </c>
      <c r="B21" s="9">
        <v>2</v>
      </c>
      <c r="C21" s="4">
        <f>GETPIVOTDATA("count",$A$1,"Word","Financial")/$C$1</f>
        <v>1.1627906976744186E-2</v>
      </c>
      <c r="D21" t="s">
        <v>6</v>
      </c>
      <c r="G21" s="3" t="s">
        <v>33</v>
      </c>
      <c r="H21" t="s">
        <v>34</v>
      </c>
    </row>
    <row r="22" spans="1:8" x14ac:dyDescent="0.25">
      <c r="A22" s="3" t="s">
        <v>35</v>
      </c>
      <c r="B22" s="9">
        <v>2</v>
      </c>
    </row>
    <row r="23" spans="1:8" x14ac:dyDescent="0.25">
      <c r="A23" s="3" t="s">
        <v>36</v>
      </c>
      <c r="B23" s="9">
        <v>2</v>
      </c>
    </row>
    <row r="24" spans="1:8" x14ac:dyDescent="0.25">
      <c r="A24" s="3" t="s">
        <v>37</v>
      </c>
      <c r="B24" s="9">
        <v>2</v>
      </c>
    </row>
    <row r="25" spans="1:8" x14ac:dyDescent="0.25">
      <c r="A25" s="3" t="s">
        <v>38</v>
      </c>
      <c r="B25" s="9">
        <v>2</v>
      </c>
    </row>
    <row r="26" spans="1:8" x14ac:dyDescent="0.25">
      <c r="A26" s="3" t="s">
        <v>39</v>
      </c>
      <c r="B26" s="9">
        <v>2</v>
      </c>
    </row>
    <row r="27" spans="1:8" x14ac:dyDescent="0.25">
      <c r="A27" s="3" t="s">
        <v>40</v>
      </c>
      <c r="B27" s="9">
        <v>2</v>
      </c>
    </row>
    <row r="28" spans="1:8" x14ac:dyDescent="0.25">
      <c r="A28" s="3" t="s">
        <v>73</v>
      </c>
      <c r="B28" s="9">
        <v>1</v>
      </c>
    </row>
    <row r="29" spans="1:8" x14ac:dyDescent="0.25">
      <c r="A29" s="3" t="s">
        <v>62</v>
      </c>
      <c r="B29" s="9">
        <v>1</v>
      </c>
    </row>
    <row r="30" spans="1:8" x14ac:dyDescent="0.25">
      <c r="A30" s="3" t="s">
        <v>44</v>
      </c>
      <c r="B30" s="9">
        <v>1</v>
      </c>
    </row>
    <row r="31" spans="1:8" x14ac:dyDescent="0.25">
      <c r="A31" s="3" t="s">
        <v>48</v>
      </c>
      <c r="B31" s="9">
        <v>1</v>
      </c>
    </row>
    <row r="32" spans="1:8" x14ac:dyDescent="0.25">
      <c r="A32" s="3" t="s">
        <v>68</v>
      </c>
      <c r="B32" s="9">
        <v>1</v>
      </c>
    </row>
    <row r="33" spans="1:2" x14ac:dyDescent="0.25">
      <c r="A33" s="3" t="s">
        <v>57</v>
      </c>
      <c r="B33" s="9">
        <v>1</v>
      </c>
    </row>
    <row r="34" spans="1:2" x14ac:dyDescent="0.25">
      <c r="A34" s="3" t="s">
        <v>56</v>
      </c>
      <c r="B34" s="9">
        <v>1</v>
      </c>
    </row>
    <row r="35" spans="1:2" x14ac:dyDescent="0.25">
      <c r="A35" s="3" t="s">
        <v>52</v>
      </c>
      <c r="B35" s="9">
        <v>1</v>
      </c>
    </row>
    <row r="36" spans="1:2" x14ac:dyDescent="0.25">
      <c r="A36" s="3" t="s">
        <v>60</v>
      </c>
      <c r="B36" s="9">
        <v>1</v>
      </c>
    </row>
    <row r="37" spans="1:2" x14ac:dyDescent="0.25">
      <c r="A37" s="3" t="s">
        <v>53</v>
      </c>
      <c r="B37" s="9">
        <v>1</v>
      </c>
    </row>
    <row r="38" spans="1:2" x14ac:dyDescent="0.25">
      <c r="A38" s="3" t="s">
        <v>45</v>
      </c>
      <c r="B38" s="9">
        <v>1</v>
      </c>
    </row>
    <row r="39" spans="1:2" x14ac:dyDescent="0.25">
      <c r="A39" s="3" t="s">
        <v>55</v>
      </c>
      <c r="B39" s="9">
        <v>1</v>
      </c>
    </row>
    <row r="40" spans="1:2" x14ac:dyDescent="0.25">
      <c r="A40" s="3" t="s">
        <v>47</v>
      </c>
      <c r="B40" s="9">
        <v>1</v>
      </c>
    </row>
    <row r="41" spans="1:2" x14ac:dyDescent="0.25">
      <c r="A41" s="3" t="s">
        <v>79</v>
      </c>
      <c r="B41" s="9">
        <v>1</v>
      </c>
    </row>
    <row r="42" spans="1:2" x14ac:dyDescent="0.25">
      <c r="A42" s="3" t="s">
        <v>74</v>
      </c>
      <c r="B42" s="9">
        <v>1</v>
      </c>
    </row>
    <row r="43" spans="1:2" x14ac:dyDescent="0.25">
      <c r="A43" s="3" t="s">
        <v>59</v>
      </c>
      <c r="B43" s="9">
        <v>1</v>
      </c>
    </row>
    <row r="44" spans="1:2" x14ac:dyDescent="0.25">
      <c r="A44" s="3" t="s">
        <v>43</v>
      </c>
      <c r="B44" s="9">
        <v>1</v>
      </c>
    </row>
    <row r="45" spans="1:2" x14ac:dyDescent="0.25">
      <c r="A45" s="3" t="s">
        <v>61</v>
      </c>
      <c r="B45" s="9">
        <v>1</v>
      </c>
    </row>
    <row r="46" spans="1:2" x14ac:dyDescent="0.25">
      <c r="A46" s="3" t="s">
        <v>49</v>
      </c>
      <c r="B46" s="9">
        <v>1</v>
      </c>
    </row>
    <row r="47" spans="1:2" x14ac:dyDescent="0.25">
      <c r="A47" s="3" t="s">
        <v>63</v>
      </c>
      <c r="B47" s="9">
        <v>1</v>
      </c>
    </row>
    <row r="48" spans="1:2" x14ac:dyDescent="0.25">
      <c r="A48" s="3" t="s">
        <v>42</v>
      </c>
      <c r="B48" s="9">
        <v>1</v>
      </c>
    </row>
    <row r="49" spans="1:2" x14ac:dyDescent="0.25">
      <c r="A49" s="3" t="s">
        <v>65</v>
      </c>
      <c r="B49" s="9">
        <v>1</v>
      </c>
    </row>
    <row r="50" spans="1:2" x14ac:dyDescent="0.25">
      <c r="A50" s="3" t="s">
        <v>64</v>
      </c>
      <c r="B50" s="9">
        <v>1</v>
      </c>
    </row>
    <row r="51" spans="1:2" x14ac:dyDescent="0.25">
      <c r="A51" s="3" t="s">
        <v>91</v>
      </c>
      <c r="B51" s="9">
        <v>1</v>
      </c>
    </row>
    <row r="52" spans="1:2" x14ac:dyDescent="0.25">
      <c r="A52" s="3" t="s">
        <v>66</v>
      </c>
      <c r="B52" s="9">
        <v>1</v>
      </c>
    </row>
    <row r="53" spans="1:2" x14ac:dyDescent="0.25">
      <c r="A53" s="3" t="s">
        <v>67</v>
      </c>
      <c r="B53" s="9">
        <v>1</v>
      </c>
    </row>
    <row r="54" spans="1:2" x14ac:dyDescent="0.25">
      <c r="A54" s="3" t="s">
        <v>41</v>
      </c>
      <c r="B54" s="9">
        <v>1</v>
      </c>
    </row>
    <row r="55" spans="1:2" x14ac:dyDescent="0.25">
      <c r="A55" s="3" t="s">
        <v>54</v>
      </c>
      <c r="B55" s="9">
        <v>1</v>
      </c>
    </row>
    <row r="56" spans="1:2" x14ac:dyDescent="0.25">
      <c r="A56" s="3" t="s">
        <v>98</v>
      </c>
      <c r="B56" s="9">
        <v>1</v>
      </c>
    </row>
    <row r="57" spans="1:2" x14ac:dyDescent="0.25">
      <c r="A57" s="3" t="s">
        <v>88</v>
      </c>
      <c r="B57" s="9">
        <v>1</v>
      </c>
    </row>
    <row r="58" spans="1:2" x14ac:dyDescent="0.25">
      <c r="A58" s="3" t="s">
        <v>71</v>
      </c>
      <c r="B58" s="9">
        <v>1</v>
      </c>
    </row>
    <row r="59" spans="1:2" x14ac:dyDescent="0.25">
      <c r="A59" s="3" t="s">
        <v>72</v>
      </c>
      <c r="B59" s="9">
        <v>1</v>
      </c>
    </row>
    <row r="60" spans="1:2" x14ac:dyDescent="0.25">
      <c r="A60" s="3" t="s">
        <v>58</v>
      </c>
      <c r="B60" s="9">
        <v>1</v>
      </c>
    </row>
    <row r="61" spans="1:2" x14ac:dyDescent="0.25">
      <c r="A61" s="3" t="s">
        <v>85</v>
      </c>
      <c r="B61" s="9">
        <v>1</v>
      </c>
    </row>
    <row r="62" spans="1:2" x14ac:dyDescent="0.25">
      <c r="A62" s="3" t="s">
        <v>86</v>
      </c>
      <c r="B62" s="9">
        <v>1</v>
      </c>
    </row>
    <row r="63" spans="1:2" x14ac:dyDescent="0.25">
      <c r="A63" s="3" t="s">
        <v>77</v>
      </c>
      <c r="B63" s="9">
        <v>1</v>
      </c>
    </row>
    <row r="64" spans="1:2" x14ac:dyDescent="0.25">
      <c r="A64" s="3" t="s">
        <v>76</v>
      </c>
      <c r="B64" s="9">
        <v>1</v>
      </c>
    </row>
    <row r="65" spans="1:2" x14ac:dyDescent="0.25">
      <c r="A65" s="3" t="s">
        <v>70</v>
      </c>
      <c r="B65" s="9">
        <v>1</v>
      </c>
    </row>
    <row r="66" spans="1:2" x14ac:dyDescent="0.25">
      <c r="A66" s="3" t="s">
        <v>78</v>
      </c>
      <c r="B66" s="9">
        <v>1</v>
      </c>
    </row>
    <row r="67" spans="1:2" x14ac:dyDescent="0.25">
      <c r="A67" s="3" t="s">
        <v>81</v>
      </c>
      <c r="B67" s="9">
        <v>1</v>
      </c>
    </row>
    <row r="68" spans="1:2" x14ac:dyDescent="0.25">
      <c r="A68" s="3" t="s">
        <v>80</v>
      </c>
      <c r="B68" s="9">
        <v>1</v>
      </c>
    </row>
    <row r="69" spans="1:2" x14ac:dyDescent="0.25">
      <c r="A69" s="3" t="s">
        <v>83</v>
      </c>
      <c r="B69" s="9">
        <v>1</v>
      </c>
    </row>
    <row r="70" spans="1:2" x14ac:dyDescent="0.25">
      <c r="A70" s="3" t="s">
        <v>82</v>
      </c>
      <c r="B70" s="9">
        <v>1</v>
      </c>
    </row>
    <row r="71" spans="1:2" x14ac:dyDescent="0.25">
      <c r="A71" s="3" t="s">
        <v>50</v>
      </c>
      <c r="B71" s="9">
        <v>1</v>
      </c>
    </row>
    <row r="72" spans="1:2" x14ac:dyDescent="0.25">
      <c r="A72" s="3" t="s">
        <v>84</v>
      </c>
      <c r="B72" s="9">
        <v>1</v>
      </c>
    </row>
    <row r="73" spans="1:2" x14ac:dyDescent="0.25">
      <c r="A73" s="3" t="s">
        <v>87</v>
      </c>
      <c r="B73" s="9">
        <v>1</v>
      </c>
    </row>
    <row r="74" spans="1:2" x14ac:dyDescent="0.25">
      <c r="A74" s="3" t="s">
        <v>46</v>
      </c>
      <c r="B74" s="9">
        <v>1</v>
      </c>
    </row>
    <row r="75" spans="1:2" x14ac:dyDescent="0.25">
      <c r="A75" s="3" t="s">
        <v>51</v>
      </c>
      <c r="B75" s="9">
        <v>1</v>
      </c>
    </row>
    <row r="76" spans="1:2" x14ac:dyDescent="0.25">
      <c r="A76" s="3" t="s">
        <v>90</v>
      </c>
      <c r="B76" s="9">
        <v>1</v>
      </c>
    </row>
    <row r="77" spans="1:2" x14ac:dyDescent="0.25">
      <c r="A77" s="3" t="s">
        <v>89</v>
      </c>
      <c r="B77" s="9">
        <v>1</v>
      </c>
    </row>
    <row r="78" spans="1:2" x14ac:dyDescent="0.25">
      <c r="A78" s="3" t="s">
        <v>75</v>
      </c>
      <c r="B78" s="9">
        <v>1</v>
      </c>
    </row>
    <row r="79" spans="1:2" x14ac:dyDescent="0.25">
      <c r="A79" s="3" t="s">
        <v>69</v>
      </c>
      <c r="B79" s="9">
        <v>1</v>
      </c>
    </row>
    <row r="80" spans="1:2" x14ac:dyDescent="0.25">
      <c r="A80" s="3" t="s">
        <v>92</v>
      </c>
      <c r="B80" s="9">
        <v>172</v>
      </c>
    </row>
  </sheetData>
  <sheetProtection sheet="1" scenarios="1" pivotTables="0"/>
  <mergeCells count="2">
    <mergeCell ref="E2:E11"/>
    <mergeCell ref="O1:P1"/>
  </mergeCell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6AB4BE-BFD1-44D6-82A4-4F66A51B2296}">
  <sheetPr codeName="Sheet7"/>
  <dimension ref="A1:E173"/>
  <sheetViews>
    <sheetView tabSelected="1" workbookViewId="0"/>
  </sheetViews>
  <sheetFormatPr defaultRowHeight="15" x14ac:dyDescent="0.25"/>
  <cols>
    <col min="1" max="1" width="16" bestFit="1" customWidth="1"/>
    <col min="2" max="2" width="6" bestFit="1" customWidth="1"/>
  </cols>
  <sheetData>
    <row r="1" spans="1:5" x14ac:dyDescent="0.25">
      <c r="A1" s="2" t="s">
        <v>93</v>
      </c>
      <c r="B1" s="2" t="s">
        <v>94</v>
      </c>
      <c r="E1" t="s">
        <v>95</v>
      </c>
    </row>
    <row r="2" spans="1:5" x14ac:dyDescent="0.25">
      <c r="A2" t="s">
        <v>50</v>
      </c>
      <c r="B2">
        <v>1</v>
      </c>
    </row>
    <row r="3" spans="1:5" x14ac:dyDescent="0.25">
      <c r="A3" t="s">
        <v>43</v>
      </c>
      <c r="B3">
        <v>1</v>
      </c>
    </row>
    <row r="4" spans="1:5" x14ac:dyDescent="0.25">
      <c r="A4" t="s">
        <v>15</v>
      </c>
      <c r="B4">
        <v>1</v>
      </c>
    </row>
    <row r="5" spans="1:5" x14ac:dyDescent="0.25">
      <c r="A5" t="s">
        <v>20</v>
      </c>
      <c r="B5">
        <v>1</v>
      </c>
    </row>
    <row r="6" spans="1:5" x14ac:dyDescent="0.25">
      <c r="A6" t="s">
        <v>5</v>
      </c>
      <c r="B6">
        <v>1</v>
      </c>
    </row>
    <row r="7" spans="1:5" x14ac:dyDescent="0.25">
      <c r="A7" t="s">
        <v>24</v>
      </c>
      <c r="B7">
        <v>1</v>
      </c>
    </row>
    <row r="8" spans="1:5" x14ac:dyDescent="0.25">
      <c r="A8" t="s">
        <v>5</v>
      </c>
      <c r="B8">
        <v>1</v>
      </c>
    </row>
    <row r="9" spans="1:5" x14ac:dyDescent="0.25">
      <c r="A9" t="s">
        <v>20</v>
      </c>
      <c r="B9">
        <v>1</v>
      </c>
    </row>
    <row r="10" spans="1:5" x14ac:dyDescent="0.25">
      <c r="A10" t="s">
        <v>5</v>
      </c>
      <c r="B10">
        <v>1</v>
      </c>
    </row>
    <row r="11" spans="1:5" x14ac:dyDescent="0.25">
      <c r="A11" t="s">
        <v>20</v>
      </c>
      <c r="B11">
        <v>1</v>
      </c>
    </row>
    <row r="12" spans="1:5" x14ac:dyDescent="0.25">
      <c r="A12" t="s">
        <v>15</v>
      </c>
      <c r="B12">
        <v>1</v>
      </c>
    </row>
    <row r="13" spans="1:5" x14ac:dyDescent="0.25">
      <c r="A13" t="s">
        <v>23</v>
      </c>
      <c r="B13">
        <v>1</v>
      </c>
    </row>
    <row r="14" spans="1:5" x14ac:dyDescent="0.25">
      <c r="A14" t="s">
        <v>8</v>
      </c>
      <c r="B14">
        <v>1</v>
      </c>
    </row>
    <row r="15" spans="1:5" x14ac:dyDescent="0.25">
      <c r="A15" t="s">
        <v>5</v>
      </c>
      <c r="B15">
        <v>1</v>
      </c>
    </row>
    <row r="16" spans="1:5" x14ac:dyDescent="0.25">
      <c r="A16" t="s">
        <v>29</v>
      </c>
      <c r="B16">
        <v>1</v>
      </c>
    </row>
    <row r="17" spans="1:2" x14ac:dyDescent="0.25">
      <c r="A17" t="s">
        <v>40</v>
      </c>
      <c r="B17">
        <v>1</v>
      </c>
    </row>
    <row r="18" spans="1:2" x14ac:dyDescent="0.25">
      <c r="A18" t="s">
        <v>46</v>
      </c>
      <c r="B18">
        <v>1</v>
      </c>
    </row>
    <row r="19" spans="1:2" x14ac:dyDescent="0.25">
      <c r="A19" t="s">
        <v>49</v>
      </c>
      <c r="B19">
        <v>1</v>
      </c>
    </row>
    <row r="20" spans="1:2" x14ac:dyDescent="0.25">
      <c r="A20" t="s">
        <v>11</v>
      </c>
      <c r="B20">
        <v>1</v>
      </c>
    </row>
    <row r="21" spans="1:2" x14ac:dyDescent="0.25">
      <c r="A21" t="s">
        <v>10</v>
      </c>
      <c r="B21">
        <v>1</v>
      </c>
    </row>
    <row r="22" spans="1:2" x14ac:dyDescent="0.25">
      <c r="A22" t="s">
        <v>39</v>
      </c>
      <c r="B22">
        <v>1</v>
      </c>
    </row>
    <row r="23" spans="1:2" x14ac:dyDescent="0.25">
      <c r="A23" t="s">
        <v>8</v>
      </c>
      <c r="B23">
        <v>1</v>
      </c>
    </row>
    <row r="24" spans="1:2" x14ac:dyDescent="0.25">
      <c r="A24" t="s">
        <v>5</v>
      </c>
      <c r="B24">
        <v>1</v>
      </c>
    </row>
    <row r="25" spans="1:2" x14ac:dyDescent="0.25">
      <c r="A25" t="s">
        <v>8</v>
      </c>
      <c r="B25">
        <v>1</v>
      </c>
    </row>
    <row r="26" spans="1:2" x14ac:dyDescent="0.25">
      <c r="A26" t="s">
        <v>5</v>
      </c>
      <c r="B26">
        <v>1</v>
      </c>
    </row>
    <row r="27" spans="1:2" x14ac:dyDescent="0.25">
      <c r="A27" t="s">
        <v>96</v>
      </c>
      <c r="B27">
        <v>1</v>
      </c>
    </row>
    <row r="28" spans="1:2" x14ac:dyDescent="0.25">
      <c r="A28" t="s">
        <v>8</v>
      </c>
      <c r="B28">
        <v>1</v>
      </c>
    </row>
    <row r="29" spans="1:2" x14ac:dyDescent="0.25">
      <c r="A29" t="s">
        <v>5</v>
      </c>
      <c r="B29">
        <v>1</v>
      </c>
    </row>
    <row r="30" spans="1:2" x14ac:dyDescent="0.25">
      <c r="A30" t="s">
        <v>33</v>
      </c>
      <c r="B30">
        <v>1</v>
      </c>
    </row>
    <row r="31" spans="1:2" x14ac:dyDescent="0.25">
      <c r="A31" t="s">
        <v>8</v>
      </c>
      <c r="B31">
        <v>1</v>
      </c>
    </row>
    <row r="32" spans="1:2" x14ac:dyDescent="0.25">
      <c r="A32" t="s">
        <v>5</v>
      </c>
      <c r="B32">
        <v>1</v>
      </c>
    </row>
    <row r="33" spans="1:2" x14ac:dyDescent="0.25">
      <c r="A33" t="s">
        <v>35</v>
      </c>
      <c r="B33">
        <v>1</v>
      </c>
    </row>
    <row r="34" spans="1:2" x14ac:dyDescent="0.25">
      <c r="A34" t="s">
        <v>24</v>
      </c>
      <c r="B34">
        <v>1</v>
      </c>
    </row>
    <row r="35" spans="1:2" x14ac:dyDescent="0.25">
      <c r="A35" t="s">
        <v>38</v>
      </c>
      <c r="B35">
        <v>1</v>
      </c>
    </row>
    <row r="36" spans="1:2" x14ac:dyDescent="0.25">
      <c r="A36" t="s">
        <v>32</v>
      </c>
      <c r="B36">
        <v>1</v>
      </c>
    </row>
    <row r="37" spans="1:2" x14ac:dyDescent="0.25">
      <c r="A37" t="s">
        <v>11</v>
      </c>
      <c r="B37">
        <v>1</v>
      </c>
    </row>
    <row r="38" spans="1:2" x14ac:dyDescent="0.25">
      <c r="A38" t="s">
        <v>20</v>
      </c>
      <c r="B38">
        <v>1</v>
      </c>
    </row>
    <row r="39" spans="1:2" x14ac:dyDescent="0.25">
      <c r="A39" t="s">
        <v>5</v>
      </c>
      <c r="B39">
        <v>1</v>
      </c>
    </row>
    <row r="40" spans="1:2" x14ac:dyDescent="0.25">
      <c r="A40" t="s">
        <v>55</v>
      </c>
      <c r="B40">
        <v>1</v>
      </c>
    </row>
    <row r="41" spans="1:2" x14ac:dyDescent="0.25">
      <c r="A41" t="s">
        <v>89</v>
      </c>
      <c r="B41">
        <v>1</v>
      </c>
    </row>
    <row r="42" spans="1:2" x14ac:dyDescent="0.25">
      <c r="A42" t="s">
        <v>82</v>
      </c>
      <c r="B42">
        <v>1</v>
      </c>
    </row>
    <row r="43" spans="1:2" x14ac:dyDescent="0.25">
      <c r="A43" t="s">
        <v>15</v>
      </c>
      <c r="B43">
        <v>1</v>
      </c>
    </row>
    <row r="44" spans="1:2" x14ac:dyDescent="0.25">
      <c r="A44" t="s">
        <v>5</v>
      </c>
      <c r="B44">
        <v>1</v>
      </c>
    </row>
    <row r="45" spans="1:2" x14ac:dyDescent="0.25">
      <c r="A45" t="s">
        <v>23</v>
      </c>
      <c r="B45">
        <v>1</v>
      </c>
    </row>
    <row r="46" spans="1:2" x14ac:dyDescent="0.25">
      <c r="A46" t="s">
        <v>5</v>
      </c>
      <c r="B46">
        <v>1</v>
      </c>
    </row>
    <row r="47" spans="1:2" x14ac:dyDescent="0.25">
      <c r="A47" t="s">
        <v>8</v>
      </c>
      <c r="B47">
        <v>1</v>
      </c>
    </row>
    <row r="48" spans="1:2" x14ac:dyDescent="0.25">
      <c r="A48" t="s">
        <v>10</v>
      </c>
      <c r="B48">
        <v>1</v>
      </c>
    </row>
    <row r="49" spans="1:2" x14ac:dyDescent="0.25">
      <c r="A49" t="s">
        <v>30</v>
      </c>
      <c r="B49">
        <v>1</v>
      </c>
    </row>
    <row r="50" spans="1:2" x14ac:dyDescent="0.25">
      <c r="A50" t="s">
        <v>61</v>
      </c>
      <c r="B50">
        <v>1</v>
      </c>
    </row>
    <row r="51" spans="1:2" x14ac:dyDescent="0.25">
      <c r="A51" t="s">
        <v>51</v>
      </c>
      <c r="B51">
        <v>1</v>
      </c>
    </row>
    <row r="52" spans="1:2" x14ac:dyDescent="0.25">
      <c r="A52" t="s">
        <v>77</v>
      </c>
      <c r="B52">
        <v>1</v>
      </c>
    </row>
    <row r="53" spans="1:2" x14ac:dyDescent="0.25">
      <c r="A53" t="s">
        <v>11</v>
      </c>
      <c r="B53">
        <v>1</v>
      </c>
    </row>
    <row r="54" spans="1:2" x14ac:dyDescent="0.25">
      <c r="A54" t="s">
        <v>75</v>
      </c>
      <c r="B54">
        <v>1</v>
      </c>
    </row>
    <row r="55" spans="1:2" x14ac:dyDescent="0.25">
      <c r="A55" t="s">
        <v>25</v>
      </c>
      <c r="B55">
        <v>1</v>
      </c>
    </row>
    <row r="56" spans="1:2" x14ac:dyDescent="0.25">
      <c r="A56" t="s">
        <v>8</v>
      </c>
      <c r="B56">
        <v>1</v>
      </c>
    </row>
    <row r="57" spans="1:2" x14ac:dyDescent="0.25">
      <c r="A57" t="s">
        <v>5</v>
      </c>
      <c r="B57">
        <v>1</v>
      </c>
    </row>
    <row r="58" spans="1:2" x14ac:dyDescent="0.25">
      <c r="A58" t="s">
        <v>63</v>
      </c>
      <c r="B58">
        <v>1</v>
      </c>
    </row>
    <row r="59" spans="1:2" x14ac:dyDescent="0.25">
      <c r="A59" t="s">
        <v>73</v>
      </c>
      <c r="B59">
        <v>1</v>
      </c>
    </row>
    <row r="60" spans="1:2" x14ac:dyDescent="0.25">
      <c r="A60" t="s">
        <v>11</v>
      </c>
      <c r="B60">
        <v>1</v>
      </c>
    </row>
    <row r="61" spans="1:2" x14ac:dyDescent="0.25">
      <c r="A61" t="s">
        <v>17</v>
      </c>
      <c r="B61">
        <v>1</v>
      </c>
    </row>
    <row r="62" spans="1:2" x14ac:dyDescent="0.25">
      <c r="A62" t="s">
        <v>5</v>
      </c>
      <c r="B62">
        <v>1</v>
      </c>
    </row>
    <row r="63" spans="1:2" x14ac:dyDescent="0.25">
      <c r="A63" t="s">
        <v>40</v>
      </c>
      <c r="B63">
        <v>1</v>
      </c>
    </row>
    <row r="64" spans="1:2" x14ac:dyDescent="0.25">
      <c r="A64" t="s">
        <v>62</v>
      </c>
      <c r="B64">
        <v>1</v>
      </c>
    </row>
    <row r="65" spans="1:2" x14ac:dyDescent="0.25">
      <c r="A65" t="s">
        <v>71</v>
      </c>
      <c r="B65">
        <v>1</v>
      </c>
    </row>
    <row r="66" spans="1:2" x14ac:dyDescent="0.25">
      <c r="A66" t="s">
        <v>8</v>
      </c>
      <c r="B66">
        <v>1</v>
      </c>
    </row>
    <row r="67" spans="1:2" x14ac:dyDescent="0.25">
      <c r="A67" t="s">
        <v>5</v>
      </c>
      <c r="B67">
        <v>1</v>
      </c>
    </row>
    <row r="68" spans="1:2" x14ac:dyDescent="0.25">
      <c r="A68" t="s">
        <v>45</v>
      </c>
      <c r="B68">
        <v>1</v>
      </c>
    </row>
    <row r="69" spans="1:2" x14ac:dyDescent="0.25">
      <c r="A69" t="s">
        <v>28</v>
      </c>
      <c r="B69">
        <v>1</v>
      </c>
    </row>
    <row r="70" spans="1:2" x14ac:dyDescent="0.25">
      <c r="A70" t="s">
        <v>22</v>
      </c>
      <c r="B70">
        <v>1</v>
      </c>
    </row>
    <row r="71" spans="1:2" x14ac:dyDescent="0.25">
      <c r="A71" t="s">
        <v>19</v>
      </c>
      <c r="B71">
        <v>1</v>
      </c>
    </row>
    <row r="72" spans="1:2" x14ac:dyDescent="0.25">
      <c r="A72" t="s">
        <v>13</v>
      </c>
      <c r="B72">
        <v>1</v>
      </c>
    </row>
    <row r="73" spans="1:2" x14ac:dyDescent="0.25">
      <c r="A73" t="s">
        <v>5</v>
      </c>
      <c r="B73">
        <v>1</v>
      </c>
    </row>
    <row r="74" spans="1:2" x14ac:dyDescent="0.25">
      <c r="A74" t="s">
        <v>33</v>
      </c>
      <c r="B74">
        <v>1</v>
      </c>
    </row>
    <row r="75" spans="1:2" x14ac:dyDescent="0.25">
      <c r="A75" t="s">
        <v>5</v>
      </c>
      <c r="B75">
        <v>1</v>
      </c>
    </row>
    <row r="76" spans="1:2" x14ac:dyDescent="0.25">
      <c r="A76" t="s">
        <v>52</v>
      </c>
      <c r="B76">
        <v>1</v>
      </c>
    </row>
    <row r="77" spans="1:2" x14ac:dyDescent="0.25">
      <c r="A77" t="s">
        <v>53</v>
      </c>
      <c r="B77">
        <v>1</v>
      </c>
    </row>
    <row r="78" spans="1:2" x14ac:dyDescent="0.25">
      <c r="A78" t="s">
        <v>97</v>
      </c>
      <c r="B78">
        <v>1</v>
      </c>
    </row>
    <row r="79" spans="1:2" x14ac:dyDescent="0.25">
      <c r="A79" t="s">
        <v>69</v>
      </c>
      <c r="B79">
        <v>1</v>
      </c>
    </row>
    <row r="80" spans="1:2" x14ac:dyDescent="0.25">
      <c r="A80" t="s">
        <v>76</v>
      </c>
      <c r="B80">
        <v>1</v>
      </c>
    </row>
    <row r="81" spans="1:2" x14ac:dyDescent="0.25">
      <c r="A81" t="s">
        <v>56</v>
      </c>
      <c r="B81">
        <v>1</v>
      </c>
    </row>
    <row r="82" spans="1:2" x14ac:dyDescent="0.25">
      <c r="A82" t="s">
        <v>8</v>
      </c>
      <c r="B82">
        <v>1</v>
      </c>
    </row>
    <row r="83" spans="1:2" x14ac:dyDescent="0.25">
      <c r="A83" t="s">
        <v>10</v>
      </c>
      <c r="B83">
        <v>1</v>
      </c>
    </row>
    <row r="84" spans="1:2" x14ac:dyDescent="0.25">
      <c r="A84" t="s">
        <v>30</v>
      </c>
      <c r="B84">
        <v>1</v>
      </c>
    </row>
    <row r="85" spans="1:2" x14ac:dyDescent="0.25">
      <c r="A85" t="s">
        <v>8</v>
      </c>
      <c r="B85">
        <v>1</v>
      </c>
    </row>
    <row r="86" spans="1:2" x14ac:dyDescent="0.25">
      <c r="A86" t="s">
        <v>5</v>
      </c>
      <c r="B86">
        <v>1</v>
      </c>
    </row>
    <row r="87" spans="1:2" x14ac:dyDescent="0.25">
      <c r="A87" t="s">
        <v>8</v>
      </c>
      <c r="B87">
        <v>1</v>
      </c>
    </row>
    <row r="88" spans="1:2" x14ac:dyDescent="0.25">
      <c r="A88" t="s">
        <v>19</v>
      </c>
      <c r="B88">
        <v>1</v>
      </c>
    </row>
    <row r="89" spans="1:2" x14ac:dyDescent="0.25">
      <c r="A89" t="s">
        <v>37</v>
      </c>
      <c r="B89">
        <v>1</v>
      </c>
    </row>
    <row r="90" spans="1:2" x14ac:dyDescent="0.25">
      <c r="A90" t="s">
        <v>8</v>
      </c>
      <c r="B90">
        <v>1</v>
      </c>
    </row>
    <row r="91" spans="1:2" x14ac:dyDescent="0.25">
      <c r="A91" t="s">
        <v>10</v>
      </c>
      <c r="B91">
        <v>1</v>
      </c>
    </row>
    <row r="92" spans="1:2" x14ac:dyDescent="0.25">
      <c r="A92" t="s">
        <v>11</v>
      </c>
      <c r="B92">
        <v>1</v>
      </c>
    </row>
    <row r="93" spans="1:2" x14ac:dyDescent="0.25">
      <c r="A93" t="s">
        <v>86</v>
      </c>
      <c r="B93">
        <v>1</v>
      </c>
    </row>
    <row r="94" spans="1:2" x14ac:dyDescent="0.25">
      <c r="A94" t="s">
        <v>36</v>
      </c>
      <c r="B94">
        <v>1</v>
      </c>
    </row>
    <row r="95" spans="1:2" x14ac:dyDescent="0.25">
      <c r="A95" t="s">
        <v>5</v>
      </c>
      <c r="B95">
        <v>1</v>
      </c>
    </row>
    <row r="96" spans="1:2" x14ac:dyDescent="0.25">
      <c r="A96" t="s">
        <v>13</v>
      </c>
      <c r="B96">
        <v>1</v>
      </c>
    </row>
    <row r="97" spans="1:2" x14ac:dyDescent="0.25">
      <c r="A97" t="s">
        <v>5</v>
      </c>
      <c r="B97">
        <v>1</v>
      </c>
    </row>
    <row r="98" spans="1:2" x14ac:dyDescent="0.25">
      <c r="A98" t="s">
        <v>17</v>
      </c>
      <c r="B98">
        <v>1</v>
      </c>
    </row>
    <row r="99" spans="1:2" x14ac:dyDescent="0.25">
      <c r="A99" t="s">
        <v>5</v>
      </c>
      <c r="B99">
        <v>1</v>
      </c>
    </row>
    <row r="100" spans="1:2" x14ac:dyDescent="0.25">
      <c r="A100" t="s">
        <v>28</v>
      </c>
      <c r="B100">
        <v>1</v>
      </c>
    </row>
    <row r="101" spans="1:2" x14ac:dyDescent="0.25">
      <c r="A101" t="s">
        <v>19</v>
      </c>
      <c r="B101">
        <v>1</v>
      </c>
    </row>
    <row r="102" spans="1:2" x14ac:dyDescent="0.25">
      <c r="A102" t="s">
        <v>24</v>
      </c>
      <c r="B102">
        <v>1</v>
      </c>
    </row>
    <row r="103" spans="1:2" x14ac:dyDescent="0.25">
      <c r="A103" t="s">
        <v>32</v>
      </c>
      <c r="B103">
        <v>1</v>
      </c>
    </row>
    <row r="104" spans="1:2" x14ac:dyDescent="0.25">
      <c r="A104" t="s">
        <v>5</v>
      </c>
      <c r="B104">
        <v>1</v>
      </c>
    </row>
    <row r="105" spans="1:2" x14ac:dyDescent="0.25">
      <c r="A105" t="s">
        <v>44</v>
      </c>
      <c r="B105">
        <v>1</v>
      </c>
    </row>
    <row r="106" spans="1:2" x14ac:dyDescent="0.25">
      <c r="A106" t="s">
        <v>66</v>
      </c>
      <c r="B106">
        <v>1</v>
      </c>
    </row>
    <row r="107" spans="1:2" x14ac:dyDescent="0.25">
      <c r="A107" t="s">
        <v>25</v>
      </c>
      <c r="B107">
        <v>1</v>
      </c>
    </row>
    <row r="108" spans="1:2" x14ac:dyDescent="0.25">
      <c r="A108" t="s">
        <v>5</v>
      </c>
      <c r="B108">
        <v>1</v>
      </c>
    </row>
    <row r="109" spans="1:2" x14ac:dyDescent="0.25">
      <c r="A109" t="s">
        <v>84</v>
      </c>
      <c r="B109">
        <v>1</v>
      </c>
    </row>
    <row r="110" spans="1:2" x14ac:dyDescent="0.25">
      <c r="A110" t="s">
        <v>64</v>
      </c>
      <c r="B110">
        <v>1</v>
      </c>
    </row>
    <row r="111" spans="1:2" x14ac:dyDescent="0.25">
      <c r="A111" t="s">
        <v>47</v>
      </c>
      <c r="B111">
        <v>1</v>
      </c>
    </row>
    <row r="112" spans="1:2" x14ac:dyDescent="0.25">
      <c r="A112" t="s">
        <v>57</v>
      </c>
      <c r="B112">
        <v>1</v>
      </c>
    </row>
    <row r="113" spans="1:2" x14ac:dyDescent="0.25">
      <c r="A113" t="s">
        <v>26</v>
      </c>
      <c r="B113">
        <v>1</v>
      </c>
    </row>
    <row r="114" spans="1:2" x14ac:dyDescent="0.25">
      <c r="A114" t="s">
        <v>5</v>
      </c>
      <c r="B114">
        <v>1</v>
      </c>
    </row>
    <row r="115" spans="1:2" x14ac:dyDescent="0.25">
      <c r="A115" t="s">
        <v>41</v>
      </c>
      <c r="B115">
        <v>1</v>
      </c>
    </row>
    <row r="116" spans="1:2" x14ac:dyDescent="0.25">
      <c r="A116" t="s">
        <v>79</v>
      </c>
      <c r="B116">
        <v>1</v>
      </c>
    </row>
    <row r="117" spans="1:2" x14ac:dyDescent="0.25">
      <c r="A117" t="s">
        <v>29</v>
      </c>
      <c r="B117">
        <v>1</v>
      </c>
    </row>
    <row r="118" spans="1:2" x14ac:dyDescent="0.25">
      <c r="A118" t="s">
        <v>81</v>
      </c>
      <c r="B118">
        <v>1</v>
      </c>
    </row>
    <row r="119" spans="1:2" x14ac:dyDescent="0.25">
      <c r="A119" t="s">
        <v>17</v>
      </c>
      <c r="B119">
        <v>1</v>
      </c>
    </row>
    <row r="120" spans="1:2" x14ac:dyDescent="0.25">
      <c r="A120" t="s">
        <v>5</v>
      </c>
      <c r="B120">
        <v>1</v>
      </c>
    </row>
    <row r="121" spans="1:2" x14ac:dyDescent="0.25">
      <c r="A121" t="s">
        <v>10</v>
      </c>
      <c r="B121">
        <v>1</v>
      </c>
    </row>
    <row r="122" spans="1:2" x14ac:dyDescent="0.25">
      <c r="A122" t="s">
        <v>39</v>
      </c>
      <c r="B122">
        <v>1</v>
      </c>
    </row>
    <row r="123" spans="1:2" x14ac:dyDescent="0.25">
      <c r="A123" t="s">
        <v>60</v>
      </c>
      <c r="B123">
        <v>1</v>
      </c>
    </row>
    <row r="124" spans="1:2" x14ac:dyDescent="0.25">
      <c r="A124" t="s">
        <v>48</v>
      </c>
      <c r="B124">
        <v>1</v>
      </c>
    </row>
    <row r="125" spans="1:2" x14ac:dyDescent="0.25">
      <c r="A125" t="s">
        <v>15</v>
      </c>
      <c r="B125">
        <v>1</v>
      </c>
    </row>
    <row r="126" spans="1:2" x14ac:dyDescent="0.25">
      <c r="A126" t="s">
        <v>80</v>
      </c>
      <c r="B126">
        <v>1</v>
      </c>
    </row>
    <row r="127" spans="1:2" x14ac:dyDescent="0.25">
      <c r="A127" t="s">
        <v>13</v>
      </c>
      <c r="B127">
        <v>1</v>
      </c>
    </row>
    <row r="128" spans="1:2" x14ac:dyDescent="0.25">
      <c r="A128" t="s">
        <v>38</v>
      </c>
      <c r="B128">
        <v>1</v>
      </c>
    </row>
    <row r="129" spans="1:2" x14ac:dyDescent="0.25">
      <c r="A129" t="s">
        <v>83</v>
      </c>
      <c r="B129">
        <v>1</v>
      </c>
    </row>
    <row r="130" spans="1:2" x14ac:dyDescent="0.25">
      <c r="A130" t="s">
        <v>23</v>
      </c>
      <c r="B130">
        <v>1</v>
      </c>
    </row>
    <row r="131" spans="1:2" x14ac:dyDescent="0.25">
      <c r="A131" t="s">
        <v>5</v>
      </c>
      <c r="B131">
        <v>1</v>
      </c>
    </row>
    <row r="132" spans="1:2" x14ac:dyDescent="0.25">
      <c r="A132" t="s">
        <v>90</v>
      </c>
      <c r="B132">
        <v>1</v>
      </c>
    </row>
    <row r="133" spans="1:2" x14ac:dyDescent="0.25">
      <c r="A133" t="s">
        <v>67</v>
      </c>
      <c r="B133">
        <v>1</v>
      </c>
    </row>
    <row r="134" spans="1:2" x14ac:dyDescent="0.25">
      <c r="A134" t="s">
        <v>5</v>
      </c>
      <c r="B134">
        <v>1</v>
      </c>
    </row>
    <row r="135" spans="1:2" x14ac:dyDescent="0.25">
      <c r="A135" t="s">
        <v>8</v>
      </c>
      <c r="B135">
        <v>1</v>
      </c>
    </row>
    <row r="136" spans="1:2" x14ac:dyDescent="0.25">
      <c r="A136" t="s">
        <v>5</v>
      </c>
      <c r="B136">
        <v>1</v>
      </c>
    </row>
    <row r="137" spans="1:2" x14ac:dyDescent="0.25">
      <c r="A137" t="s">
        <v>17</v>
      </c>
      <c r="B137">
        <v>1</v>
      </c>
    </row>
    <row r="138" spans="1:2" x14ac:dyDescent="0.25">
      <c r="A138" t="s">
        <v>5</v>
      </c>
      <c r="B138">
        <v>1</v>
      </c>
    </row>
    <row r="139" spans="1:2" x14ac:dyDescent="0.25">
      <c r="A139" t="s">
        <v>98</v>
      </c>
      <c r="B139">
        <v>1</v>
      </c>
    </row>
    <row r="140" spans="1:2" x14ac:dyDescent="0.25">
      <c r="A140" t="s">
        <v>5</v>
      </c>
      <c r="B140">
        <v>1</v>
      </c>
    </row>
    <row r="141" spans="1:2" x14ac:dyDescent="0.25">
      <c r="A141" t="s">
        <v>85</v>
      </c>
      <c r="B141">
        <v>1</v>
      </c>
    </row>
    <row r="142" spans="1:2" x14ac:dyDescent="0.25">
      <c r="A142" t="s">
        <v>26</v>
      </c>
      <c r="B142">
        <v>1</v>
      </c>
    </row>
    <row r="143" spans="1:2" x14ac:dyDescent="0.25">
      <c r="A143" t="s">
        <v>5</v>
      </c>
      <c r="B143">
        <v>1</v>
      </c>
    </row>
    <row r="144" spans="1:2" x14ac:dyDescent="0.25">
      <c r="A144" t="s">
        <v>70</v>
      </c>
      <c r="B144">
        <v>1</v>
      </c>
    </row>
    <row r="145" spans="1:2" x14ac:dyDescent="0.25">
      <c r="A145" t="s">
        <v>87</v>
      </c>
      <c r="B145">
        <v>1</v>
      </c>
    </row>
    <row r="146" spans="1:2" x14ac:dyDescent="0.25">
      <c r="A146" t="s">
        <v>37</v>
      </c>
      <c r="B146">
        <v>1</v>
      </c>
    </row>
    <row r="147" spans="1:2" x14ac:dyDescent="0.25">
      <c r="A147" t="s">
        <v>74</v>
      </c>
      <c r="B147">
        <v>1</v>
      </c>
    </row>
    <row r="148" spans="1:2" x14ac:dyDescent="0.25">
      <c r="A148" t="s">
        <v>36</v>
      </c>
      <c r="B148">
        <v>1</v>
      </c>
    </row>
    <row r="149" spans="1:2" x14ac:dyDescent="0.25">
      <c r="A149" t="s">
        <v>78</v>
      </c>
      <c r="B149">
        <v>1</v>
      </c>
    </row>
    <row r="150" spans="1:2" x14ac:dyDescent="0.25">
      <c r="A150" t="s">
        <v>8</v>
      </c>
      <c r="B150">
        <v>1</v>
      </c>
    </row>
    <row r="151" spans="1:2" x14ac:dyDescent="0.25">
      <c r="A151" t="s">
        <v>5</v>
      </c>
      <c r="B151">
        <v>1</v>
      </c>
    </row>
    <row r="152" spans="1:2" x14ac:dyDescent="0.25">
      <c r="A152" t="s">
        <v>59</v>
      </c>
      <c r="B152">
        <v>1</v>
      </c>
    </row>
    <row r="153" spans="1:2" x14ac:dyDescent="0.25">
      <c r="A153" t="s">
        <v>31</v>
      </c>
      <c r="B153">
        <v>1</v>
      </c>
    </row>
    <row r="154" spans="1:2" x14ac:dyDescent="0.25">
      <c r="A154" t="s">
        <v>13</v>
      </c>
      <c r="B154">
        <v>1</v>
      </c>
    </row>
    <row r="155" spans="1:2" x14ac:dyDescent="0.25">
      <c r="A155" t="s">
        <v>91</v>
      </c>
      <c r="B155">
        <v>1</v>
      </c>
    </row>
    <row r="156" spans="1:2" x14ac:dyDescent="0.25">
      <c r="A156" t="s">
        <v>5</v>
      </c>
      <c r="B156">
        <v>1</v>
      </c>
    </row>
    <row r="157" spans="1:2" x14ac:dyDescent="0.25">
      <c r="A157" t="s">
        <v>58</v>
      </c>
      <c r="B157">
        <v>1</v>
      </c>
    </row>
    <row r="158" spans="1:2" x14ac:dyDescent="0.25">
      <c r="A158" t="s">
        <v>65</v>
      </c>
      <c r="B158">
        <v>1</v>
      </c>
    </row>
    <row r="159" spans="1:2" x14ac:dyDescent="0.25">
      <c r="A159" t="s">
        <v>22</v>
      </c>
      <c r="B159">
        <v>1</v>
      </c>
    </row>
    <row r="160" spans="1:2" x14ac:dyDescent="0.25">
      <c r="A160" t="s">
        <v>72</v>
      </c>
      <c r="B160">
        <v>1</v>
      </c>
    </row>
    <row r="161" spans="1:2" x14ac:dyDescent="0.25">
      <c r="A161" t="s">
        <v>5</v>
      </c>
      <c r="B161">
        <v>1</v>
      </c>
    </row>
    <row r="162" spans="1:2" x14ac:dyDescent="0.25">
      <c r="A162" t="s">
        <v>54</v>
      </c>
      <c r="B162">
        <v>1</v>
      </c>
    </row>
    <row r="163" spans="1:2" x14ac:dyDescent="0.25">
      <c r="A163" t="s">
        <v>22</v>
      </c>
      <c r="B163">
        <v>1</v>
      </c>
    </row>
    <row r="164" spans="1:2" x14ac:dyDescent="0.25">
      <c r="A164" t="s">
        <v>8</v>
      </c>
      <c r="B164">
        <v>1</v>
      </c>
    </row>
    <row r="165" spans="1:2" x14ac:dyDescent="0.25">
      <c r="A165" t="s">
        <v>5</v>
      </c>
      <c r="B165">
        <v>1</v>
      </c>
    </row>
    <row r="166" spans="1:2" x14ac:dyDescent="0.25">
      <c r="A166" t="s">
        <v>68</v>
      </c>
      <c r="B166">
        <v>1</v>
      </c>
    </row>
    <row r="167" spans="1:2" x14ac:dyDescent="0.25">
      <c r="A167" t="s">
        <v>31</v>
      </c>
      <c r="B167">
        <v>1</v>
      </c>
    </row>
    <row r="168" spans="1:2" x14ac:dyDescent="0.25">
      <c r="A168" t="s">
        <v>42</v>
      </c>
      <c r="B168">
        <v>1</v>
      </c>
    </row>
    <row r="169" spans="1:2" x14ac:dyDescent="0.25">
      <c r="A169" t="s">
        <v>19</v>
      </c>
      <c r="B169">
        <v>1</v>
      </c>
    </row>
    <row r="170" spans="1:2" x14ac:dyDescent="0.25">
      <c r="A170" t="s">
        <v>5</v>
      </c>
      <c r="B170">
        <v>1</v>
      </c>
    </row>
    <row r="171" spans="1:2" x14ac:dyDescent="0.25">
      <c r="A171" t="s">
        <v>13</v>
      </c>
      <c r="B171">
        <v>1</v>
      </c>
    </row>
    <row r="172" spans="1:2" x14ac:dyDescent="0.25">
      <c r="A172" t="s">
        <v>88</v>
      </c>
      <c r="B172">
        <v>1</v>
      </c>
    </row>
    <row r="173" spans="1:2" x14ac:dyDescent="0.25">
      <c r="A173" t="s">
        <v>5</v>
      </c>
      <c r="B173">
        <v>1</v>
      </c>
    </row>
  </sheetData>
  <sheetProtection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Instructions</vt:lpstr>
      <vt:lpstr>Pivot Table</vt:lpstr>
      <vt:lpstr>Word Count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Antonino</dc:creator>
  <cp:lastModifiedBy>Jason Antonino</cp:lastModifiedBy>
  <dcterms:created xsi:type="dcterms:W3CDTF">2021-06-01T01:13:12Z</dcterms:created>
  <dcterms:modified xsi:type="dcterms:W3CDTF">2021-06-01T03:14:17Z</dcterms:modified>
</cp:coreProperties>
</file>