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Assorted Spreadsheet Files/Excel Project Files/"/>
    </mc:Choice>
  </mc:AlternateContent>
  <xr:revisionPtr revIDLastSave="6657" documentId="8_{0A24D818-1F85-4B68-8738-C24831DF928F}" xr6:coauthVersionLast="47" xr6:coauthVersionMax="47" xr10:uidLastSave="{83A1CCA3-28B1-4552-AF9F-B4933BB9656C}"/>
  <bookViews>
    <workbookView minimized="1" xWindow="1095" yWindow="1080" windowWidth="15330" windowHeight="10890" tabRatio="397" xr2:uid="{55B5DC45-2EF9-4652-B78D-7E136374EA58}"/>
  </bookViews>
  <sheets>
    <sheet name="Data" sheetId="3" r:id="rId1"/>
    <sheet name="Borrowers Helped" sheetId="4" r:id="rId2"/>
    <sheet name="US Trustee Office" sheetId="8" r:id="rId3"/>
    <sheet name="Definitions" sheetId="2" r:id="rId4"/>
    <sheet name="Borrowers Helped (3)" sheetId="13" state="hidden" r:id="rId5"/>
    <sheet name="FY2021 Median Incomes" sheetId="6" state="hidden" r:id="rId6"/>
    <sheet name="Borrowers Helped (2)" sheetId="7" state="hidden" r:id="rId7"/>
    <sheet name="Old Calculations" sheetId="1" state="hidden" r:id="rId8"/>
  </sheets>
  <functionGroups builtInGroupCount="19"/>
  <definedNames>
    <definedName name="_xlnm._FilterDatabase" localSheetId="1" hidden="1">'Borrowers Helped'!$A$1:$M$51</definedName>
    <definedName name="_xlnm._FilterDatabase" localSheetId="6" hidden="1">'Borrowers Helped (2)'!$A$1:$K$21</definedName>
    <definedName name="_xlnm._FilterDatabase" localSheetId="4" hidden="1">'Borrowers Helped (3)'!$A$1:$M$51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3" l="1"/>
  <c r="B28" i="3"/>
  <c r="B29" i="3" s="1"/>
  <c r="B26" i="3"/>
  <c r="B30" i="3" s="1"/>
  <c r="J55" i="13"/>
  <c r="M53" i="13"/>
  <c r="J53" i="13"/>
  <c r="I53" i="13"/>
  <c r="G53" i="13"/>
  <c r="F53" i="13"/>
  <c r="E53" i="13"/>
  <c r="B53" i="13"/>
  <c r="A53" i="13"/>
  <c r="H3" i="3"/>
  <c r="F57" i="8"/>
  <c r="G57" i="8" s="1"/>
  <c r="H57" i="8" s="1"/>
  <c r="I57" i="8" s="1"/>
  <c r="F58" i="8"/>
  <c r="G58" i="8" s="1"/>
  <c r="H58" i="8" s="1"/>
  <c r="I58" i="8" s="1"/>
  <c r="F59" i="8"/>
  <c r="G59" i="8" s="1"/>
  <c r="H59" i="8" s="1"/>
  <c r="I59" i="8" s="1"/>
  <c r="F56" i="8"/>
  <c r="G56" i="8" s="1"/>
  <c r="H56" i="8" s="1"/>
  <c r="I56" i="8" s="1"/>
  <c r="F6" i="8"/>
  <c r="G6" i="8" s="1"/>
  <c r="H6" i="8" s="1"/>
  <c r="I6" i="8" s="1"/>
  <c r="F7" i="8"/>
  <c r="G7" i="8" s="1"/>
  <c r="H7" i="8" s="1"/>
  <c r="I7" i="8" s="1"/>
  <c r="F8" i="8"/>
  <c r="G8" i="8" s="1"/>
  <c r="H8" i="8" s="1"/>
  <c r="I8" i="8" s="1"/>
  <c r="F9" i="8"/>
  <c r="G9" i="8" s="1"/>
  <c r="H9" i="8" s="1"/>
  <c r="I9" i="8" s="1"/>
  <c r="F10" i="8"/>
  <c r="G10" i="8" s="1"/>
  <c r="H10" i="8" s="1"/>
  <c r="I10" i="8" s="1"/>
  <c r="F11" i="8"/>
  <c r="G11" i="8" s="1"/>
  <c r="H11" i="8" s="1"/>
  <c r="I11" i="8" s="1"/>
  <c r="F12" i="8"/>
  <c r="G12" i="8" s="1"/>
  <c r="H12" i="8" s="1"/>
  <c r="I12" i="8" s="1"/>
  <c r="F13" i="8"/>
  <c r="G13" i="8" s="1"/>
  <c r="H13" i="8" s="1"/>
  <c r="I13" i="8" s="1"/>
  <c r="F14" i="8"/>
  <c r="G14" i="8" s="1"/>
  <c r="H14" i="8" s="1"/>
  <c r="I14" i="8" s="1"/>
  <c r="F15" i="8"/>
  <c r="G15" i="8" s="1"/>
  <c r="H15" i="8" s="1"/>
  <c r="I15" i="8" s="1"/>
  <c r="F16" i="8"/>
  <c r="G16" i="8" s="1"/>
  <c r="H16" i="8" s="1"/>
  <c r="I16" i="8" s="1"/>
  <c r="F17" i="8"/>
  <c r="G17" i="8" s="1"/>
  <c r="H17" i="8" s="1"/>
  <c r="I17" i="8" s="1"/>
  <c r="F18" i="8"/>
  <c r="G18" i="8" s="1"/>
  <c r="H18" i="8" s="1"/>
  <c r="I18" i="8" s="1"/>
  <c r="F19" i="8"/>
  <c r="G19" i="8" s="1"/>
  <c r="H19" i="8" s="1"/>
  <c r="I19" i="8" s="1"/>
  <c r="F20" i="8"/>
  <c r="G20" i="8" s="1"/>
  <c r="H20" i="8" s="1"/>
  <c r="I20" i="8" s="1"/>
  <c r="F21" i="8"/>
  <c r="G21" i="8" s="1"/>
  <c r="H21" i="8" s="1"/>
  <c r="I21" i="8" s="1"/>
  <c r="F22" i="8"/>
  <c r="G22" i="8" s="1"/>
  <c r="H22" i="8" s="1"/>
  <c r="I22" i="8" s="1"/>
  <c r="F23" i="8"/>
  <c r="G23" i="8" s="1"/>
  <c r="H23" i="8" s="1"/>
  <c r="I23" i="8" s="1"/>
  <c r="F24" i="8"/>
  <c r="G24" i="8" s="1"/>
  <c r="H24" i="8" s="1"/>
  <c r="I24" i="8" s="1"/>
  <c r="F25" i="8"/>
  <c r="G25" i="8" s="1"/>
  <c r="H25" i="8" s="1"/>
  <c r="I25" i="8" s="1"/>
  <c r="F26" i="8"/>
  <c r="G26" i="8" s="1"/>
  <c r="H26" i="8" s="1"/>
  <c r="I26" i="8" s="1"/>
  <c r="F27" i="8"/>
  <c r="G27" i="8" s="1"/>
  <c r="H27" i="8" s="1"/>
  <c r="I27" i="8" s="1"/>
  <c r="F28" i="8"/>
  <c r="G28" i="8" s="1"/>
  <c r="H28" i="8" s="1"/>
  <c r="I28" i="8" s="1"/>
  <c r="F29" i="8"/>
  <c r="G29" i="8" s="1"/>
  <c r="H29" i="8" s="1"/>
  <c r="I29" i="8" s="1"/>
  <c r="F30" i="8"/>
  <c r="G30" i="8" s="1"/>
  <c r="H30" i="8" s="1"/>
  <c r="I30" i="8" s="1"/>
  <c r="F31" i="8"/>
  <c r="G31" i="8" s="1"/>
  <c r="H31" i="8" s="1"/>
  <c r="I31" i="8" s="1"/>
  <c r="F32" i="8"/>
  <c r="G32" i="8" s="1"/>
  <c r="H32" i="8" s="1"/>
  <c r="I32" i="8" s="1"/>
  <c r="F33" i="8"/>
  <c r="G33" i="8" s="1"/>
  <c r="H33" i="8" s="1"/>
  <c r="I33" i="8" s="1"/>
  <c r="F34" i="8"/>
  <c r="G34" i="8" s="1"/>
  <c r="H34" i="8" s="1"/>
  <c r="I34" i="8" s="1"/>
  <c r="F35" i="8"/>
  <c r="G35" i="8" s="1"/>
  <c r="H35" i="8" s="1"/>
  <c r="I35" i="8" s="1"/>
  <c r="F36" i="8"/>
  <c r="G36" i="8" s="1"/>
  <c r="H36" i="8" s="1"/>
  <c r="I36" i="8" s="1"/>
  <c r="F37" i="8"/>
  <c r="G37" i="8" s="1"/>
  <c r="H37" i="8" s="1"/>
  <c r="I37" i="8" s="1"/>
  <c r="F38" i="8"/>
  <c r="G38" i="8" s="1"/>
  <c r="H38" i="8" s="1"/>
  <c r="I38" i="8" s="1"/>
  <c r="F39" i="8"/>
  <c r="G39" i="8" s="1"/>
  <c r="H39" i="8" s="1"/>
  <c r="I39" i="8" s="1"/>
  <c r="F40" i="8"/>
  <c r="G40" i="8" s="1"/>
  <c r="H40" i="8" s="1"/>
  <c r="I40" i="8" s="1"/>
  <c r="F41" i="8"/>
  <c r="G41" i="8" s="1"/>
  <c r="H41" i="8" s="1"/>
  <c r="I41" i="8" s="1"/>
  <c r="F42" i="8"/>
  <c r="G42" i="8" s="1"/>
  <c r="H42" i="8" s="1"/>
  <c r="I42" i="8" s="1"/>
  <c r="F43" i="8"/>
  <c r="G43" i="8" s="1"/>
  <c r="H43" i="8" s="1"/>
  <c r="I43" i="8" s="1"/>
  <c r="F44" i="8"/>
  <c r="G44" i="8" s="1"/>
  <c r="H44" i="8" s="1"/>
  <c r="I44" i="8" s="1"/>
  <c r="F45" i="8"/>
  <c r="G45" i="8" s="1"/>
  <c r="H45" i="8" s="1"/>
  <c r="I45" i="8" s="1"/>
  <c r="F46" i="8"/>
  <c r="G46" i="8" s="1"/>
  <c r="H46" i="8" s="1"/>
  <c r="I46" i="8" s="1"/>
  <c r="F47" i="8"/>
  <c r="G47" i="8" s="1"/>
  <c r="H47" i="8" s="1"/>
  <c r="I47" i="8" s="1"/>
  <c r="F48" i="8"/>
  <c r="G48" i="8" s="1"/>
  <c r="H48" i="8" s="1"/>
  <c r="I48" i="8" s="1"/>
  <c r="F49" i="8"/>
  <c r="G49" i="8" s="1"/>
  <c r="H49" i="8" s="1"/>
  <c r="I49" i="8" s="1"/>
  <c r="F50" i="8"/>
  <c r="G50" i="8" s="1"/>
  <c r="H50" i="8" s="1"/>
  <c r="I50" i="8" s="1"/>
  <c r="F51" i="8"/>
  <c r="G51" i="8" s="1"/>
  <c r="H51" i="8" s="1"/>
  <c r="I51" i="8" s="1"/>
  <c r="F52" i="8"/>
  <c r="G52" i="8" s="1"/>
  <c r="H52" i="8" s="1"/>
  <c r="I52" i="8" s="1"/>
  <c r="F53" i="8"/>
  <c r="G53" i="8" s="1"/>
  <c r="H53" i="8" s="1"/>
  <c r="I53" i="8" s="1"/>
  <c r="F54" i="8"/>
  <c r="G54" i="8" s="1"/>
  <c r="H54" i="8" s="1"/>
  <c r="I54" i="8" s="1"/>
  <c r="F55" i="8"/>
  <c r="G55" i="8" s="1"/>
  <c r="H55" i="8" s="1"/>
  <c r="I55" i="8" s="1"/>
  <c r="F5" i="8"/>
  <c r="G5" i="8" s="1"/>
  <c r="H5" i="8" s="1"/>
  <c r="I5" i="8" s="1"/>
  <c r="B11" i="3"/>
  <c r="A57" i="13" l="1"/>
  <c r="A56" i="13"/>
  <c r="L39" i="7"/>
  <c r="L38" i="7"/>
  <c r="K38" i="7"/>
  <c r="L37" i="7"/>
  <c r="L36" i="7"/>
  <c r="L35" i="7"/>
  <c r="K35" i="7"/>
  <c r="L34" i="7"/>
  <c r="L33" i="7"/>
  <c r="K33" i="7"/>
  <c r="L32" i="7"/>
  <c r="L31" i="7"/>
  <c r="L30" i="7"/>
  <c r="K30" i="7"/>
  <c r="L29" i="7"/>
  <c r="K29" i="7"/>
  <c r="L28" i="7"/>
  <c r="L27" i="7"/>
  <c r="K27" i="7"/>
  <c r="L26" i="7"/>
  <c r="K26" i="7"/>
  <c r="L25" i="7"/>
  <c r="L24" i="7"/>
  <c r="K24" i="7"/>
  <c r="L23" i="7"/>
  <c r="K23" i="7"/>
  <c r="L22" i="7"/>
  <c r="L21" i="7"/>
  <c r="K21" i="7"/>
  <c r="L20" i="7"/>
  <c r="L19" i="7"/>
  <c r="K19" i="7"/>
  <c r="L18" i="7"/>
  <c r="K18" i="7"/>
  <c r="L17" i="7"/>
  <c r="K17" i="7"/>
  <c r="L16" i="7"/>
  <c r="K16" i="7"/>
  <c r="L15" i="7"/>
  <c r="L14" i="7"/>
  <c r="K14" i="7"/>
  <c r="L13" i="7"/>
  <c r="K13" i="7"/>
  <c r="L12" i="7"/>
  <c r="L11" i="7"/>
  <c r="K11" i="7"/>
  <c r="L10" i="7"/>
  <c r="L9" i="7"/>
  <c r="L8" i="7"/>
  <c r="K8" i="7"/>
  <c r="L7" i="7"/>
  <c r="K7" i="7"/>
  <c r="L6" i="7"/>
  <c r="L5" i="7"/>
  <c r="K5" i="7"/>
  <c r="L4" i="7"/>
  <c r="K4" i="7"/>
  <c r="L3" i="7"/>
  <c r="K3" i="7"/>
  <c r="L2" i="7"/>
  <c r="H5" i="3" l="1"/>
  <c r="H6" i="3"/>
  <c r="H7" i="3"/>
  <c r="H2" i="3"/>
  <c r="B14" i="3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" i="1"/>
  <c r="P6" i="1"/>
  <c r="P8" i="1"/>
  <c r="P13" i="1"/>
  <c r="P19" i="1"/>
  <c r="P21" i="1"/>
  <c r="H8" i="3"/>
  <c r="K22" i="1"/>
  <c r="I22" i="1"/>
  <c r="G22" i="1"/>
  <c r="C22" i="1"/>
  <c r="K17" i="1"/>
  <c r="I17" i="1"/>
  <c r="G17" i="1"/>
  <c r="C17" i="1"/>
  <c r="K2" i="1"/>
  <c r="I2" i="1"/>
  <c r="G2" i="1"/>
  <c r="C2" i="1"/>
  <c r="K8" i="1"/>
  <c r="I8" i="1"/>
  <c r="G8" i="1"/>
  <c r="C8" i="1"/>
  <c r="K11" i="1"/>
  <c r="I11" i="1"/>
  <c r="G11" i="1"/>
  <c r="C11" i="1"/>
  <c r="K14" i="1"/>
  <c r="I14" i="1"/>
  <c r="G14" i="1"/>
  <c r="C14" i="1"/>
  <c r="K18" i="1"/>
  <c r="I18" i="1"/>
  <c r="G18" i="1"/>
  <c r="C18" i="1"/>
  <c r="K12" i="1"/>
  <c r="I12" i="1"/>
  <c r="G12" i="1"/>
  <c r="C12" i="1"/>
  <c r="K16" i="1"/>
  <c r="I16" i="1"/>
  <c r="G16" i="1"/>
  <c r="C16" i="1"/>
  <c r="K21" i="1"/>
  <c r="I21" i="1"/>
  <c r="G21" i="1"/>
  <c r="C21" i="1"/>
  <c r="K5" i="1"/>
  <c r="I5" i="1"/>
  <c r="G5" i="1"/>
  <c r="C5" i="1"/>
  <c r="K9" i="1"/>
  <c r="I9" i="1"/>
  <c r="G9" i="1"/>
  <c r="C9" i="1"/>
  <c r="I10" i="1"/>
  <c r="I7" i="1"/>
  <c r="I19" i="1"/>
  <c r="I23" i="1"/>
  <c r="K23" i="1"/>
  <c r="G23" i="1"/>
  <c r="C23" i="1"/>
  <c r="M23" i="1"/>
  <c r="K19" i="1"/>
  <c r="K7" i="1"/>
  <c r="K10" i="1"/>
  <c r="G19" i="1"/>
  <c r="G7" i="1"/>
  <c r="G10" i="1"/>
  <c r="C19" i="1"/>
  <c r="C7" i="1"/>
  <c r="C10" i="1"/>
  <c r="H3" i="1"/>
  <c r="I3" i="1"/>
  <c r="G20" i="1"/>
  <c r="G6" i="1"/>
  <c r="G3" i="1"/>
  <c r="G13" i="1"/>
  <c r="G4" i="1"/>
  <c r="G15" i="1"/>
  <c r="K20" i="1"/>
  <c r="K6" i="1"/>
  <c r="K3" i="1"/>
  <c r="K13" i="1"/>
  <c r="K4" i="1"/>
  <c r="K15" i="1"/>
  <c r="H4" i="1"/>
  <c r="I4" i="1"/>
  <c r="H13" i="1"/>
  <c r="I13" i="1"/>
  <c r="H6" i="1"/>
  <c r="I6" i="1"/>
  <c r="H20" i="1"/>
  <c r="I20" i="1"/>
  <c r="I15" i="1"/>
  <c r="C13" i="1"/>
  <c r="C20" i="1"/>
  <c r="C6" i="1"/>
  <c r="C3" i="1"/>
  <c r="C4" i="1"/>
  <c r="C15" i="1"/>
  <c r="M11" i="1"/>
  <c r="O11" i="1"/>
  <c r="P11" i="1"/>
  <c r="M6" i="1"/>
  <c r="O6" i="1"/>
  <c r="M17" i="1"/>
  <c r="N17" i="1"/>
  <c r="M2" i="1"/>
  <c r="M8" i="1"/>
  <c r="N8" i="1"/>
  <c r="M22" i="1"/>
  <c r="O22" i="1"/>
  <c r="P22" i="1"/>
  <c r="M14" i="1"/>
  <c r="N14" i="1"/>
  <c r="M12" i="1"/>
  <c r="R21" i="1"/>
  <c r="M18" i="1"/>
  <c r="O18" i="1"/>
  <c r="P18" i="1"/>
  <c r="M5" i="1"/>
  <c r="O5" i="1"/>
  <c r="P5" i="1"/>
  <c r="M21" i="1"/>
  <c r="O21" i="1"/>
  <c r="M9" i="1"/>
  <c r="O9" i="1"/>
  <c r="P9" i="1"/>
  <c r="M20" i="1"/>
  <c r="O20" i="1"/>
  <c r="P20" i="1"/>
  <c r="M13" i="1"/>
  <c r="N13" i="1"/>
  <c r="M16" i="1"/>
  <c r="O16" i="1"/>
  <c r="P16" i="1"/>
  <c r="R9" i="1"/>
  <c r="M15" i="1"/>
  <c r="N15" i="1"/>
  <c r="M7" i="1"/>
  <c r="N7" i="1"/>
  <c r="M19" i="1"/>
  <c r="N19" i="1"/>
  <c r="M10" i="1"/>
  <c r="N10" i="1"/>
  <c r="M4" i="1"/>
  <c r="O4" i="1"/>
  <c r="P4" i="1"/>
  <c r="M3" i="1"/>
  <c r="N3" i="1"/>
  <c r="N23" i="1"/>
  <c r="O8" i="1"/>
  <c r="O14" i="1"/>
  <c r="S9" i="1"/>
  <c r="T9" i="1"/>
  <c r="O2" i="1"/>
  <c r="N2" i="1"/>
  <c r="N11" i="1"/>
  <c r="N22" i="1"/>
  <c r="S21" i="1"/>
  <c r="T21" i="1"/>
  <c r="N9" i="1"/>
  <c r="N5" i="1"/>
  <c r="O17" i="1"/>
  <c r="R22" i="1"/>
  <c r="S22" i="1"/>
  <c r="T22" i="1"/>
  <c r="O12" i="1"/>
  <c r="N12" i="1"/>
  <c r="R8" i="1"/>
  <c r="S8" i="1"/>
  <c r="T8" i="1"/>
  <c r="R11" i="1"/>
  <c r="S11" i="1"/>
  <c r="T11" i="1"/>
  <c r="N18" i="1"/>
  <c r="N16" i="1"/>
  <c r="S18" i="1"/>
  <c r="T18" i="1"/>
  <c r="R18" i="1"/>
  <c r="N20" i="1"/>
  <c r="R16" i="1"/>
  <c r="S16" i="1"/>
  <c r="T16" i="1"/>
  <c r="N21" i="1"/>
  <c r="R5" i="1"/>
  <c r="S5" i="1"/>
  <c r="T5" i="1"/>
  <c r="N4" i="1"/>
  <c r="O10" i="1"/>
  <c r="P10" i="1"/>
  <c r="O13" i="1"/>
  <c r="O19" i="1"/>
  <c r="O15" i="1"/>
  <c r="P15" i="1"/>
  <c r="O3" i="1"/>
  <c r="P3" i="1"/>
  <c r="O23" i="1"/>
  <c r="P23" i="1"/>
  <c r="N6" i="1"/>
  <c r="O7" i="1"/>
  <c r="P7" i="1"/>
  <c r="R6" i="1"/>
  <c r="S6" i="1"/>
  <c r="T6" i="1"/>
  <c r="R4" i="1"/>
  <c r="S4" i="1"/>
  <c r="T4" i="1"/>
  <c r="R20" i="1"/>
  <c r="S20" i="1"/>
  <c r="T20" i="1"/>
  <c r="R13" i="1"/>
  <c r="S13" i="1"/>
  <c r="T13" i="1"/>
  <c r="P17" i="1"/>
  <c r="S17" i="1"/>
  <c r="T17" i="1"/>
  <c r="P12" i="1"/>
  <c r="R12" i="1"/>
  <c r="P14" i="1"/>
  <c r="R14" i="1"/>
  <c r="P2" i="1"/>
  <c r="R2" i="1"/>
  <c r="R19" i="1"/>
  <c r="S10" i="1"/>
  <c r="T10" i="1"/>
  <c r="S15" i="1"/>
  <c r="T15" i="1"/>
  <c r="R23" i="1"/>
  <c r="S7" i="1"/>
  <c r="T7" i="1"/>
  <c r="R3" i="1"/>
  <c r="S12" i="1"/>
  <c r="T12" i="1"/>
  <c r="R17" i="1"/>
  <c r="S14" i="1"/>
  <c r="T14" i="1"/>
  <c r="S2" i="1"/>
  <c r="T2" i="1"/>
  <c r="S19" i="1"/>
  <c r="T19" i="1"/>
  <c r="R10" i="1"/>
  <c r="R15" i="1"/>
  <c r="S23" i="1"/>
  <c r="T23" i="1"/>
  <c r="R7" i="1"/>
  <c r="S3" i="1"/>
  <c r="T3" i="1"/>
  <c r="H11" i="3" l="1"/>
  <c r="H10" i="3"/>
  <c r="H4" i="3"/>
  <c r="B17" i="3" s="1"/>
  <c r="H9" i="3"/>
  <c r="H12" i="3" s="1"/>
  <c r="H13" i="3" l="1"/>
  <c r="B12" i="3" s="1"/>
  <c r="B13" i="3" s="1"/>
  <c r="B15" i="3" l="1"/>
  <c r="B19" i="3" s="1"/>
  <c r="B33" i="3" s="1"/>
  <c r="B34" i="3" l="1"/>
  <c r="B35" i="3" s="1"/>
  <c r="C33" i="3"/>
  <c r="B20" i="3"/>
  <c r="A22" i="3" l="1"/>
  <c r="B36" i="3"/>
  <c r="B37" i="3" s="1"/>
  <c r="C37" i="3" s="1"/>
  <c r="H14" i="3"/>
  <c r="B22" i="3"/>
  <c r="B2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tc={4E515114-EDCB-41CF-AE28-738ADFAFC6B1}</author>
    <author>tc={22C16A68-9575-49E8-A3B4-F4DCAC77479A}</author>
  </authors>
  <commentList>
    <comment ref="G3" authorId="0" shapeId="0" xr:uid="{4E515114-EDCB-41CF-AE28-738ADFAFC6B1}">
      <text>
        <t>[Threaded comment]
Your version of Excel allows you to read this threaded comment; however, any edits to it will get removed if the file is opened in a newer version of Excel. Learn more: https://go.microsoft.com/fwlink/?linkid=870924
Comment:
    Retirement Age is 62</t>
      </text>
    </comment>
    <comment ref="B22" authorId="1" shapeId="0" xr:uid="{22C16A68-9575-49E8-A3B4-F4DCAC77479A}">
      <text>
        <t>[Threaded comment]
Your version of Excel allows you to read this threaded comment; however, any edits to it will get removed if the file is opened in a newer version of Excel. Learn more: https://go.microsoft.com/fwlink/?linkid=870924
Comment:
    Zero interest, no prepayment penalty, forbearance and extension available if hardship, no adverse tax consequences, debt is discharged in the event of long-term or permanent disability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tc={E4969FAA-33C3-4E61-8188-222A6989D30D}</author>
  </authors>
  <commentList>
    <comment ref="L1" authorId="0" shapeId="0" xr:uid="{E4969FAA-33C3-4E61-8188-222A6989D30D}">
      <text>
        <t>[Threaded comment]
Your version of Excel allows you to read this threaded comment; however, any edits to it will get removed if the file is opened in a newer version of Excel. Learn more: https://go.microsoft.com/fwlink/?linkid=870924
Comment:
    Zero interest, no prepayment penalty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tc={4A2E585E-E494-4205-8BA2-13BA38871108}</author>
  </authors>
  <commentList>
    <comment ref="A30" authorId="0" shapeId="0" xr:uid="{4A2E585E-E494-4205-8BA2-13BA38871108}">
      <text>
        <t>[Threaded comment]
Your version of Excel allows you to read this threaded comment; however, any edits to it will get removed if the file is opened in a newer version of Excel. Learn more: https://go.microsoft.com/fwlink/?linkid=870924
Comment:
    Factors that increase amount of loans forgiven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tc={9841B092-285C-4796-A748-48420106432D}</author>
  </authors>
  <commentList>
    <comment ref="L1" authorId="0" shapeId="0" xr:uid="{9841B092-285C-4796-A748-48420106432D}">
      <text>
        <t>[Threaded comment]
Your version of Excel allows you to read this threaded comment; however, any edits to it will get removed if the file is opened in a newer version of Excel. Learn more: https://go.microsoft.com/fwlink/?linkid=870924
Comment:
    Zero interest, no prepayment penalty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tc={3CC5075A-9064-45A3-90AA-93F213D60355}</author>
    <author>tc={EB80024F-B207-43D0-92DD-A0F6549319E9}</author>
    <author>tc={769DDF77-791B-4310-9A04-84D04CB87C51}</author>
    <author>tc={9C16F0DD-3549-4904-8B76-CB7E074B512D}</author>
    <author>tc={E7BA4945-5661-4648-9962-0A6A20574F48}</author>
    <author>tc={6BD9F1EB-0496-42D2-ADF9-C15EF79E38A8}</author>
  </authors>
  <commentList>
    <comment ref="G1" authorId="0" shapeId="0" xr:uid="{3CC5075A-9064-45A3-90AA-93F213D60355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Interest only (nothing towards principal)</t>
      </text>
    </comment>
    <comment ref="I1" authorId="1" shapeId="0" xr:uid="{EB80024F-B207-43D0-92DD-A0F6549319E9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current balance and amount originally borrowed</t>
      </text>
    </comment>
    <comment ref="J1" authorId="2" shapeId="0" xr:uid="{769DDF77-791B-4310-9A04-84D04CB87C51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last two years</t>
      </text>
    </comment>
    <comment ref="O1" authorId="3" shapeId="0" xr:uid="{9C16F0DD-3549-4904-8B76-CB7E074B512D}">
      <text>
        <t>[Threaded comment]
Your version of Excel allows you to read this threaded comment; however, any edits to it will get removed if the file is opened in a newer version of Excel. Learn more: https://go.microsoft.com/fwlink/?linkid=870924
Comment:
    Paid in a lump-sum</t>
      </text>
    </comment>
    <comment ref="P1" authorId="4" shapeId="0" xr:uid="{E7BA4945-5661-4648-9962-0A6A20574F48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a 300 months (25 year) term</t>
      </text>
    </comment>
    <comment ref="Q1" authorId="5" shapeId="0" xr:uid="{6BD9F1EB-0496-42D2-ADF9-C15EF79E38A8}">
      <text>
        <t>[Threaded comment]
Your version of Excel allows you to read this threaded comment; however, any edits to it will get removed if the file is opened in a newer version of Excel. Learn more: https://go.microsoft.com/fwlink/?linkid=870924
Comment:
    Capped at 7 years unless age 60+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954393-66C2-449F-A584-AA1BB1A404F5}" keepAlive="1" name="Query - Page005" description="Connection to the 'Page005' query in the workbook." type="5" refreshedVersion="0" background="1" saveData="1">
    <dbPr connection="Provider=Microsoft.Mashup.OleDb.1;Data Source=$Workbook$;Location=Page005;Extended Properties=&quot;&quot;" command="SELECT * FROM [Page005]"/>
  </connection>
</connections>
</file>

<file path=xl/sharedStrings.xml><?xml version="1.0" encoding="utf-8"?>
<sst xmlns="http://schemas.openxmlformats.org/spreadsheetml/2006/main" count="562" uniqueCount="292">
  <si>
    <t>Borrower</t>
  </si>
  <si>
    <t>Age</t>
  </si>
  <si>
    <t>Years 'till retirement</t>
  </si>
  <si>
    <t>Total loan balance</t>
  </si>
  <si>
    <t>Original amount borrowed</t>
  </si>
  <si>
    <t>Gross Annual Income</t>
  </si>
  <si>
    <t>Filing Status</t>
  </si>
  <si>
    <t>Single</t>
  </si>
  <si>
    <t>Married filing jointly</t>
  </si>
  <si>
    <t>Head of Household</t>
  </si>
  <si>
    <t>Score</t>
  </si>
  <si>
    <t>Remaining Balance</t>
  </si>
  <si>
    <t>Monthly payment</t>
  </si>
  <si>
    <t>Percent of monthly gross income</t>
  </si>
  <si>
    <t>Gross Monthly Income</t>
  </si>
  <si>
    <t>Percent Forgiven</t>
  </si>
  <si>
    <t>Years of Payments</t>
  </si>
  <si>
    <t>Positive Factors</t>
  </si>
  <si>
    <t>Negative Factors</t>
  </si>
  <si>
    <t>Filing status 3</t>
  </si>
  <si>
    <t>High income</t>
  </si>
  <si>
    <t>Filing status 1</t>
  </si>
  <si>
    <t>Low income</t>
  </si>
  <si>
    <t>Spread (high is better)</t>
  </si>
  <si>
    <t>Low spread</t>
  </si>
  <si>
    <t>Monthly Finance Charge</t>
  </si>
  <si>
    <t>Spread</t>
  </si>
  <si>
    <t>Dependents Under 18</t>
  </si>
  <si>
    <t>Total Percentage Forgiven</t>
  </si>
  <si>
    <t>Initial Amount Forgiven</t>
  </si>
  <si>
    <t>Outstanding loan balance</t>
  </si>
  <si>
    <t>Amount originally borrowed</t>
  </si>
  <si>
    <t>2019 Gross Income</t>
  </si>
  <si>
    <t>2020 Gross Income</t>
  </si>
  <si>
    <t>Dependents</t>
  </si>
  <si>
    <t>Code</t>
  </si>
  <si>
    <t>Calculations</t>
  </si>
  <si>
    <t>Amount to be Paid Back</t>
  </si>
  <si>
    <t>New Monthly Payment</t>
  </si>
  <si>
    <t>Years of Payments (zero interest)</t>
  </si>
  <si>
    <t>Notes</t>
  </si>
  <si>
    <t>With or without children</t>
  </si>
  <si>
    <t>Difference</t>
  </si>
  <si>
    <t>Percent of loan forgiven</t>
  </si>
  <si>
    <t>Total payments made</t>
  </si>
  <si>
    <t>Credit for payments made</t>
  </si>
  <si>
    <t>Income Test</t>
  </si>
  <si>
    <t>Short time 'till retirement</t>
  </si>
  <si>
    <t>Long time 'till retirement</t>
  </si>
  <si>
    <t>Single-parent household as custodial parent of 1 or more kids</t>
  </si>
  <si>
    <t>Borrower Serial No.</t>
  </si>
  <si>
    <t>Total Loan Balance</t>
  </si>
  <si>
    <t>Average Income 2019-20</t>
  </si>
  <si>
    <t>Total Amount Forgiven</t>
  </si>
  <si>
    <t>Yrs of Payments</t>
  </si>
  <si>
    <t>Total Payout</t>
  </si>
  <si>
    <t>Under age 18, regardless of where they reside</t>
  </si>
  <si>
    <t>Equals total outstanding balance divided by the Score</t>
  </si>
  <si>
    <t>Total amount of loans borrowed, exclusive of any interest accrued (original amount borrowed)</t>
  </si>
  <si>
    <t>Total amount paid by borrower towards loan balance over repayment period</t>
  </si>
  <si>
    <t>Total outstanding loan balance - initial amount forgiven - total payments made</t>
  </si>
  <si>
    <t>Income test passed then remaining balance divided by 84; income test failed then remaining balance divided by 300</t>
  </si>
  <si>
    <t>Total amount due on all student loans as of today</t>
  </si>
  <si>
    <t>Compared to outstanding loan balance</t>
  </si>
  <si>
    <t>% Forgiven</t>
  </si>
  <si>
    <t>Column1</t>
  </si>
  <si>
    <t>Column2</t>
  </si>
  <si>
    <t>Column3</t>
  </si>
  <si>
    <t>Column4</t>
  </si>
  <si>
    <t>FY 2021 Median Family Incomes for States,</t>
  </si>
  <si>
    <t>Metropolitan and Nonmetropolitan Portions of States</t>
  </si>
  <si>
    <t>--------</t>
  </si>
  <si>
    <t>FY 2021</t>
  </si>
  <si>
    <t>TOTAL</t>
  </si>
  <si>
    <t>METRO</t>
  </si>
  <si>
    <t>NONMETRO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</si>
  <si>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</si>
  <si>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</si>
  <si>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</si>
  <si>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</si>
  <si>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</si>
  <si>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</si>
  <si>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</si>
  <si>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</si>
  <si>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63400*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</si>
  <si>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</si>
  <si>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</si>
  <si>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</si>
  <si>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</si>
  <si>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</si>
  <si>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</si>
  <si>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</si>
  <si>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</si>
  <si>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</si>
  <si>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</si>
  <si>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</si>
  <si>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</si>
  <si>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</si>
  <si>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</si>
  <si>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</si>
  <si>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</si>
  <si>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</si>
  <si>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</si>
  <si>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</si>
  <si>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</si>
  <si>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</si>
  <si>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</si>
  <si>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</si>
  <si>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</si>
  <si>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</si>
  <si>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</si>
  <si>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</si>
  <si>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</si>
  <si>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</si>
  <si>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</si>
  <si>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</si>
  <si>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</si>
  <si>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</si>
  <si>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</si>
  <si>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</si>
  <si>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</si>
  <si>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</si>
  <si>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</si>
  <si>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</si>
  <si>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</si>
  <si>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</si>
  <si>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</si>
  <si>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</si>
  <si>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US</t>
  </si>
  <si>
    <t>* US nonmetropolitan median</t>
  </si>
  <si>
    <t>State of Residence</t>
  </si>
  <si>
    <t>STATE</t>
  </si>
  <si>
    <t>State</t>
  </si>
  <si>
    <t>Column5</t>
  </si>
  <si>
    <t>ST</t>
  </si>
  <si>
    <t>AL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</si>
  <si>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</si>
  <si>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</si>
  <si>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</si>
  <si>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</si>
  <si>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</si>
  <si>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</si>
  <si>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</si>
  <si>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</si>
  <si>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</si>
  <si>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</si>
  <si>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</si>
  <si>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</si>
  <si>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</si>
  <si>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</si>
  <si>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</si>
  <si>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</si>
  <si>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</si>
  <si>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</si>
  <si>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</si>
  <si>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</si>
  <si>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</si>
  <si>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</si>
  <si>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</si>
  <si>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</si>
  <si>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</si>
  <si>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</si>
  <si>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</si>
  <si>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</si>
  <si>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</si>
  <si>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</si>
  <si>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</si>
  <si>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</si>
  <si>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</si>
  <si>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</si>
  <si>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</si>
  <si>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</si>
  <si>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</si>
  <si>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</si>
  <si>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</si>
  <si>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</si>
  <si>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</si>
  <si>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</si>
  <si>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</si>
  <si>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</si>
  <si>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</si>
  <si>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</si>
  <si>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</si>
  <si>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</si>
  <si>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</si>
  <si>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</si>
  <si>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Median Income</t>
  </si>
  <si>
    <t>Total Balance</t>
  </si>
  <si>
    <t>Original Balance</t>
  </si>
  <si>
    <t>Married Filing Jointly</t>
  </si>
  <si>
    <t>Filing Status (IRS W-4)</t>
  </si>
  <si>
    <t>Average Income</t>
  </si>
  <si>
    <t>Years to Retirement</t>
  </si>
  <si>
    <t>Only individuals ages 25 and over are eligible</t>
  </si>
  <si>
    <t>VIRGIN ISLANDS</t>
  </si>
  <si>
    <t>PUERTO RICO</t>
  </si>
  <si>
    <t>NORTHERN MARIANA ISLANDS</t>
  </si>
  <si>
    <t>GUAM</t>
  </si>
  <si>
    <r>
      <t>4 PEOPLE </t>
    </r>
    <r>
      <rPr>
        <b/>
        <sz val="14"/>
        <color rgb="FF000000"/>
        <rFont val="Arial"/>
        <family val="2"/>
      </rPr>
      <t>*</t>
    </r>
  </si>
  <si>
    <t>3 PEOPLE</t>
  </si>
  <si>
    <t>2 PEOPLE</t>
  </si>
  <si>
    <t>1 EARNER</t>
  </si>
  <si>
    <t>FAMILY SIZE</t>
  </si>
  <si>
    <t>WYOMING</t>
  </si>
  <si>
    <t>WISCONSIN</t>
  </si>
  <si>
    <t>WEST VIRGINIA</t>
  </si>
  <si>
    <t>WASHINGTON</t>
  </si>
  <si>
    <t>VIRGINIA</t>
  </si>
  <si>
    <t>VERMONT</t>
  </si>
  <si>
    <t>UTAH</t>
  </si>
  <si>
    <t>TEXAS</t>
  </si>
  <si>
    <t>TENNESSEE</t>
  </si>
  <si>
    <t>SOUTH DAKOTA</t>
  </si>
  <si>
    <t>SOUTH CAROLINA</t>
  </si>
  <si>
    <t>RHODE ISLAND</t>
  </si>
  <si>
    <t>PENNSYLVANIA</t>
  </si>
  <si>
    <t>OREGON</t>
  </si>
  <si>
    <t>OKLAHOMA</t>
  </si>
  <si>
    <t>OHIO</t>
  </si>
  <si>
    <t>NORTH DAKOTA</t>
  </si>
  <si>
    <t>NORTH CAROLINA</t>
  </si>
  <si>
    <t>NEW YORK</t>
  </si>
  <si>
    <t>NEW MEXICO</t>
  </si>
  <si>
    <t>NEW JERSEY</t>
  </si>
  <si>
    <t>NEW HAMPSHIRE</t>
  </si>
  <si>
    <t>NEVADA</t>
  </si>
  <si>
    <t>NEBRASKA</t>
  </si>
  <si>
    <t>MONTANA</t>
  </si>
  <si>
    <t>MISSOURI</t>
  </si>
  <si>
    <t>MISSISSIPPI</t>
  </si>
  <si>
    <t>MINNESOTA</t>
  </si>
  <si>
    <t>MICHIGAN</t>
  </si>
  <si>
    <t>MASSACHUSETTS</t>
  </si>
  <si>
    <t>MARYLAND</t>
  </si>
  <si>
    <t>MAINE</t>
  </si>
  <si>
    <t>LOUISIANA</t>
  </si>
  <si>
    <t>KENTUCKY</t>
  </si>
  <si>
    <t>KANSAS</t>
  </si>
  <si>
    <t>IOWA</t>
  </si>
  <si>
    <t>INDIANA</t>
  </si>
  <si>
    <t>ILLINOIS</t>
  </si>
  <si>
    <t>IDAHO</t>
  </si>
  <si>
    <t>HAWAII</t>
  </si>
  <si>
    <t>GEORGIA</t>
  </si>
  <si>
    <t>FLORIDA</t>
  </si>
  <si>
    <t>DISTRICT OF COLUMBIA</t>
  </si>
  <si>
    <t>DELAWARE</t>
  </si>
  <si>
    <t>CONNECTICUT</t>
  </si>
  <si>
    <t>COLORADO</t>
  </si>
  <si>
    <t>CALIFORNIA</t>
  </si>
  <si>
    <t>ARKANSAS</t>
  </si>
  <si>
    <t>ARIZONA</t>
  </si>
  <si>
    <t>ALASKA</t>
  </si>
  <si>
    <t>ALABAMA</t>
  </si>
  <si>
    <r>
      <t>* </t>
    </r>
    <r>
      <rPr>
        <i/>
        <sz val="12"/>
        <color rgb="FF000000"/>
        <rFont val="Times New Roman"/>
        <family val="1"/>
      </rPr>
      <t>Add $9,000 for each individual in excess of 4.</t>
    </r>
  </si>
  <si>
    <t>STATE/TERRITORY</t>
  </si>
  <si>
    <t>STATE/TERR</t>
  </si>
  <si>
    <t>1</t>
  </si>
  <si>
    <t>2</t>
  </si>
  <si>
    <t>3</t>
  </si>
  <si>
    <t>4</t>
  </si>
  <si>
    <t>5</t>
  </si>
  <si>
    <t>6</t>
  </si>
  <si>
    <t>7</t>
  </si>
  <si>
    <t>8</t>
  </si>
  <si>
    <t>GU</t>
  </si>
  <si>
    <t>VI</t>
  </si>
  <si>
    <t>PR</t>
  </si>
  <si>
    <t>NI</t>
  </si>
  <si>
    <t>Adjusted Balance</t>
  </si>
  <si>
    <t>Includes never married, divorced, married filing separately, and non-custodial single parents</t>
  </si>
  <si>
    <t>Pre-COVID-19 total gross income from employment, rental income, business income, lottery winnings, inheritance, or alimony, but excluding child support, unemployment, food stamps, and social security (SSD/SSI)</t>
  </si>
  <si>
    <t>Year 2020 total gross income from employment, rental income, business income, winnings, inheritances, or alimony, but excluding child support and social security</t>
  </si>
  <si>
    <t>Compares average 2019-2020 gross income to median state income threshold, above median = PASS, below median = FAIL</t>
  </si>
  <si>
    <t>Capped at seven (7) years with zero interest; no pre-payment penalty; payments can be "piggybacked" onto end of loan due to financial hardship (job loss, pandemic, disability, etc.); no adverse tax consequences</t>
  </si>
  <si>
    <t>Monthly payment multiplied by 84; if total payout is below $1000, then entire loan is forgiven</t>
  </si>
  <si>
    <t>Formula used to calculate initial amount of loan forgiveness: Score = [Avg Income] / [Outstanding balance] + 0.1 x [Yrs till retirement] / [filing status]+1.5x [dependents] + [Outstanding balance] - [Amount originally borrowed] ^-0.05</t>
  </si>
  <si>
    <t>New Total Balance</t>
  </si>
  <si>
    <t>If you keep your current loan:</t>
  </si>
  <si>
    <t>Interest-only monthly payment on original loan</t>
  </si>
  <si>
    <t>any remaining loan balance is then cancelled</t>
  </si>
  <si>
    <t>It would take you:</t>
  </si>
  <si>
    <t>years!</t>
  </si>
  <si>
    <t>Interest Rate on Loan</t>
  </si>
  <si>
    <t>years old is when your payments would stop after all principal and interest is paid in full.</t>
  </si>
  <si>
    <t>Income-to-Debt</t>
  </si>
  <si>
    <t>years old is when your payments would stop with our zero-interest forgiveness plan.</t>
  </si>
  <si>
    <t>Difference adjustment</t>
  </si>
  <si>
    <t>Yrs2Retire*0.2 / [FS + dep*1.5]</t>
  </si>
  <si>
    <t>at 25% tax rate</t>
  </si>
  <si>
    <t>total cost of interest-only payments for 25 years plus taxes</t>
  </si>
  <si>
    <t>every month for up to 25 years (300 months)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</si>
</sst>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0.000"/>
    <numFmt numFmtId="168" formatCode="_(&quot;$&quot;* #,##0_);_(&quot;$&quot;* \(#,##0\);_(&quot;$&quot;* &quot;-&quot;??_);_(@_)"/>
    <numFmt numFmtId="169" formatCode="0000000"/>
    <numFmt numFmtId="170" formatCode="_([$$-409]* #,##0.00_);_([$$-409]* \(#,##0.00\);_([$$-409]* &quot;-&quot;??_);_(@_)"/>
    <numFmt numFmtId="171" formatCode="00000000"/>
    <numFmt numFmtId="172" formatCode="0000\ 0000"/>
    <numFmt numFmtId="173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0"/>
      <color theme="4"/>
      <name val="Calibri"/>
      <family val="2"/>
      <scheme val="minor"/>
    </font>
    <font>
      <b/>
      <i/>
      <sz val="12"/>
      <color rgb="FFCC0000"/>
      <name val="Times New Roman"/>
      <family val="1"/>
    </font>
    <font>
      <b/>
      <sz val="8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12"/>
      <color rgb="FF000000"/>
      <name val="Times New Roman"/>
      <family val="1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8D8D8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8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5" fontId="3" fillId="0" borderId="0" xfId="0" applyNumberFormat="1" applyFont="1"/>
    <xf numFmtId="165" fontId="4" fillId="0" borderId="0" xfId="0" applyNumberFormat="1" applyFont="1"/>
    <xf numFmtId="166" fontId="0" fillId="0" borderId="0" xfId="1" applyNumberFormat="1" applyFont="1"/>
    <xf numFmtId="165" fontId="0" fillId="0" borderId="0" xfId="0" applyNumberFormat="1" applyFont="1"/>
    <xf numFmtId="165" fontId="5" fillId="0" borderId="0" xfId="0" applyNumberFormat="1" applyFont="1"/>
    <xf numFmtId="165" fontId="6" fillId="0" borderId="0" xfId="0" applyNumberFormat="1" applyFont="1"/>
    <xf numFmtId="0" fontId="6" fillId="0" borderId="0" xfId="0" applyFont="1"/>
    <xf numFmtId="0" fontId="3" fillId="0" borderId="0" xfId="0" applyFont="1"/>
    <xf numFmtId="0" fontId="5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0" fillId="0" borderId="0" xfId="0" applyProtection="1"/>
    <xf numFmtId="0" fontId="0" fillId="0" borderId="1" xfId="0" applyBorder="1" applyProtection="1"/>
    <xf numFmtId="2" fontId="0" fillId="0" borderId="1" xfId="0" applyNumberFormat="1" applyBorder="1" applyProtection="1"/>
    <xf numFmtId="168" fontId="0" fillId="0" borderId="1" xfId="0" applyNumberFormat="1" applyBorder="1" applyProtection="1"/>
    <xf numFmtId="44" fontId="0" fillId="0" borderId="1" xfId="2" applyFont="1" applyBorder="1" applyProtection="1"/>
    <xf numFmtId="1" fontId="0" fillId="0" borderId="1" xfId="0" applyNumberFormat="1" applyBorder="1" applyProtection="1"/>
    <xf numFmtId="0" fontId="2" fillId="2" borderId="1" xfId="0" applyFont="1" applyFill="1" applyBorder="1" applyProtection="1"/>
    <xf numFmtId="0" fontId="2" fillId="2" borderId="1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2" fontId="0" fillId="0" borderId="0" xfId="0" quotePrefix="1" applyNumberFormat="1" applyAlignment="1" applyProtection="1">
      <alignment horizontal="left"/>
    </xf>
    <xf numFmtId="168" fontId="0" fillId="0" borderId="0" xfId="0" applyNumberFormat="1" applyProtection="1"/>
    <xf numFmtId="0" fontId="0" fillId="0" borderId="5" xfId="0" applyBorder="1" applyProtection="1"/>
    <xf numFmtId="0" fontId="0" fillId="0" borderId="1" xfId="0" applyFill="1" applyBorder="1" applyProtection="1"/>
    <xf numFmtId="166" fontId="0" fillId="0" borderId="7" xfId="1" applyNumberFormat="1" applyFont="1" applyBorder="1" applyProtection="1"/>
    <xf numFmtId="0" fontId="0" fillId="0" borderId="7" xfId="0" applyBorder="1" applyAlignment="1" applyProtection="1">
      <alignment horizontal="center"/>
    </xf>
    <xf numFmtId="44" fontId="0" fillId="0" borderId="0" xfId="0" applyNumberFormat="1" applyProtection="1"/>
    <xf numFmtId="169" fontId="0" fillId="0" borderId="0" xfId="0" applyNumberFormat="1"/>
    <xf numFmtId="7" fontId="0" fillId="0" borderId="0" xfId="0" applyNumberFormat="1"/>
    <xf numFmtId="169" fontId="0" fillId="0" borderId="0" xfId="0" applyNumberFormat="1" applyBorder="1"/>
    <xf numFmtId="0" fontId="0" fillId="0" borderId="0" xfId="0" applyBorder="1"/>
    <xf numFmtId="0" fontId="3" fillId="0" borderId="1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</xf>
    <xf numFmtId="1" fontId="4" fillId="0" borderId="0" xfId="0" applyNumberFormat="1" applyFont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  <protection locked="0"/>
    </xf>
    <xf numFmtId="168" fontId="4" fillId="0" borderId="0" xfId="2" applyNumberFormat="1" applyFont="1" applyBorder="1" applyAlignment="1" applyProtection="1">
      <alignment horizontal="right"/>
      <protection locked="0"/>
    </xf>
    <xf numFmtId="168" fontId="4" fillId="0" borderId="0" xfId="0" applyNumberFormat="1" applyFont="1" applyBorder="1" applyAlignment="1" applyProtection="1">
      <alignment horizontal="right"/>
    </xf>
    <xf numFmtId="0" fontId="4" fillId="0" borderId="0" xfId="0" applyFont="1" applyBorder="1" applyAlignment="1" applyProtection="1">
      <alignment horizontal="right"/>
    </xf>
    <xf numFmtId="0" fontId="4" fillId="0" borderId="0" xfId="0" applyFont="1" applyAlignment="1">
      <alignment horizontal="right"/>
    </xf>
    <xf numFmtId="49" fontId="7" fillId="0" borderId="1" xfId="0" applyNumberFormat="1" applyFont="1" applyBorder="1" applyAlignment="1" applyProtection="1">
      <alignment horizontal="center" shrinkToFit="1"/>
      <protection locked="0"/>
    </xf>
    <xf numFmtId="0" fontId="4" fillId="0" borderId="0" xfId="0" applyFont="1" applyAlignment="1">
      <alignment horizontal="center"/>
    </xf>
    <xf numFmtId="0" fontId="0" fillId="0" borderId="0" xfId="0" applyAlignment="1">
      <alignment horizontal="right"/>
    </xf>
    <xf numFmtId="44" fontId="4" fillId="0" borderId="0" xfId="0" applyNumberFormat="1" applyFont="1" applyBorder="1" applyAlignment="1" applyProtection="1">
      <alignment horizontal="right"/>
    </xf>
    <xf numFmtId="44" fontId="0" fillId="0" borderId="0" xfId="0" applyNumberFormat="1" applyBorder="1"/>
    <xf numFmtId="0" fontId="2" fillId="3" borderId="0" xfId="0" applyFont="1" applyFill="1"/>
    <xf numFmtId="0" fontId="2" fillId="3" borderId="0" xfId="0" applyFont="1" applyFill="1" applyAlignment="1">
      <alignment horizontal="right"/>
    </xf>
    <xf numFmtId="168" fontId="3" fillId="0" borderId="1" xfId="0" applyNumberFormat="1" applyFont="1" applyBorder="1" applyAlignment="1" applyProtection="1">
      <alignment horizontal="center"/>
      <protection locked="0"/>
    </xf>
    <xf numFmtId="44" fontId="2" fillId="3" borderId="0" xfId="0" applyNumberFormat="1" applyFont="1" applyFill="1"/>
    <xf numFmtId="44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Fill="1" applyBorder="1"/>
    <xf numFmtId="170" fontId="0" fillId="0" borderId="1" xfId="0" applyNumberFormat="1" applyBorder="1" applyProtection="1"/>
    <xf numFmtId="170" fontId="2" fillId="0" borderId="2" xfId="0" applyNumberFormat="1" applyFont="1" applyBorder="1" applyProtection="1"/>
    <xf numFmtId="166" fontId="0" fillId="0" borderId="0" xfId="1" applyNumberFormat="1" applyFont="1" applyBorder="1"/>
    <xf numFmtId="0" fontId="0" fillId="0" borderId="0" xfId="0" applyNumberFormat="1"/>
    <xf numFmtId="168" fontId="0" fillId="0" borderId="0" xfId="2" applyNumberFormat="1" applyFont="1"/>
    <xf numFmtId="166" fontId="2" fillId="3" borderId="0" xfId="1" applyNumberFormat="1" applyFont="1" applyFill="1"/>
    <xf numFmtId="5" fontId="4" fillId="0" borderId="0" xfId="2" applyNumberFormat="1" applyFont="1" applyBorder="1" applyAlignment="1" applyProtection="1">
      <alignment horizontal="right"/>
      <protection locked="0"/>
    </xf>
    <xf numFmtId="5" fontId="4" fillId="0" borderId="0" xfId="0" applyNumberFormat="1" applyFont="1" applyBorder="1" applyAlignment="1" applyProtection="1">
      <alignment horizontal="right"/>
    </xf>
    <xf numFmtId="0" fontId="2" fillId="3" borderId="0" xfId="0" applyFont="1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7" fontId="0" fillId="0" borderId="0" xfId="0" applyNumberFormat="1" applyAlignment="1">
      <alignment horizontal="center"/>
    </xf>
    <xf numFmtId="171" fontId="0" fillId="0" borderId="0" xfId="0" applyNumberFormat="1"/>
    <xf numFmtId="172" fontId="0" fillId="0" borderId="0" xfId="0" applyNumberFormat="1"/>
    <xf numFmtId="164" fontId="4" fillId="0" borderId="0" xfId="0" applyNumberFormat="1" applyFont="1" applyBorder="1" applyAlignment="1" applyProtection="1">
      <alignment horizontal="right"/>
    </xf>
    <xf numFmtId="6" fontId="11" fillId="4" borderId="9" xfId="0" applyNumberFormat="1" applyFont="1" applyFill="1" applyBorder="1" applyAlignment="1">
      <alignment horizontal="center" vertical="center" wrapText="1"/>
    </xf>
    <xf numFmtId="6" fontId="11" fillId="4" borderId="13" xfId="0" applyNumberFormat="1" applyFont="1" applyFill="1" applyBorder="1" applyAlignment="1">
      <alignment horizontal="center" vertical="center" wrapText="1"/>
    </xf>
    <xf numFmtId="6" fontId="11" fillId="4" borderId="11" xfId="0" applyNumberFormat="1" applyFont="1" applyFill="1" applyBorder="1" applyAlignment="1">
      <alignment horizontal="center" vertical="center" wrapText="1"/>
    </xf>
    <xf numFmtId="6" fontId="11" fillId="4" borderId="14" xfId="0" applyNumberFormat="1" applyFont="1" applyFill="1" applyBorder="1" applyAlignment="1">
      <alignment horizontal="center" vertical="center" wrapText="1"/>
    </xf>
    <xf numFmtId="6" fontId="11" fillId="4" borderId="1" xfId="0" applyNumberFormat="1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13" fillId="4" borderId="16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6" fontId="11" fillId="4" borderId="3" xfId="0" applyNumberFormat="1" applyFont="1" applyFill="1" applyBorder="1" applyAlignment="1">
      <alignment horizontal="center" vertical="center" wrapText="1"/>
    </xf>
    <xf numFmtId="6" fontId="11" fillId="4" borderId="6" xfId="0" applyNumberFormat="1" applyFont="1" applyFill="1" applyBorder="1" applyAlignment="1">
      <alignment horizontal="center" vertical="center" wrapText="1"/>
    </xf>
    <xf numFmtId="0" fontId="11" fillId="5" borderId="10" xfId="0" applyNumberFormat="1" applyFont="1" applyFill="1" applyBorder="1" applyAlignment="1">
      <alignment horizontal="center" vertical="center" wrapText="1"/>
    </xf>
    <xf numFmtId="0" fontId="13" fillId="3" borderId="18" xfId="0" applyFont="1" applyFill="1" applyBorder="1" applyAlignment="1">
      <alignment horizontal="left" vertical="center" wrapText="1"/>
    </xf>
    <xf numFmtId="0" fontId="11" fillId="5" borderId="15" xfId="0" applyNumberFormat="1" applyFont="1" applyFill="1" applyBorder="1" applyAlignment="1">
      <alignment horizontal="center" vertical="center" wrapText="1"/>
    </xf>
    <xf numFmtId="6" fontId="11" fillId="5" borderId="1" xfId="0" applyNumberFormat="1" applyFont="1" applyFill="1" applyBorder="1" applyAlignment="1">
      <alignment horizontal="center" vertical="center" wrapText="1"/>
    </xf>
    <xf numFmtId="44" fontId="17" fillId="0" borderId="1" xfId="0" applyNumberFormat="1" applyFont="1" applyBorder="1" applyProtection="1"/>
    <xf numFmtId="168" fontId="18" fillId="0" borderId="1" xfId="0" applyNumberFormat="1" applyFont="1" applyBorder="1" applyAlignment="1" applyProtection="1">
      <alignment horizontal="center"/>
      <protection locked="0"/>
    </xf>
    <xf numFmtId="0" fontId="0" fillId="3" borderId="1" xfId="0" applyFill="1" applyBorder="1" applyProtection="1"/>
    <xf numFmtId="0" fontId="0" fillId="3" borderId="1" xfId="0" applyFont="1" applyFill="1" applyBorder="1" applyProtection="1"/>
    <xf numFmtId="0" fontId="0" fillId="3" borderId="3" xfId="0" applyFill="1" applyBorder="1" applyProtection="1"/>
    <xf numFmtId="0" fontId="0" fillId="3" borderId="6" xfId="0" applyFill="1" applyBorder="1" applyProtection="1"/>
    <xf numFmtId="167" fontId="0" fillId="0" borderId="1" xfId="0" applyNumberFormat="1" applyBorder="1" applyProtection="1"/>
    <xf numFmtId="2" fontId="4" fillId="0" borderId="0" xfId="2" applyNumberFormat="1" applyFont="1" applyBorder="1" applyAlignment="1" applyProtection="1">
      <alignment horizontal="right"/>
      <protection locked="0"/>
    </xf>
    <xf numFmtId="172" fontId="0" fillId="0" borderId="0" xfId="0" quotePrefix="1" applyNumberFormat="1"/>
    <xf numFmtId="0" fontId="0" fillId="0" borderId="0" xfId="0" applyBorder="1" applyAlignment="1">
      <alignment wrapText="1"/>
    </xf>
    <xf numFmtId="0" fontId="0" fillId="0" borderId="0" xfId="0" applyBorder="1" applyAlignment="1">
      <alignment vertical="center"/>
    </xf>
    <xf numFmtId="0" fontId="0" fillId="0" borderId="0" xfId="0" applyBorder="1" applyProtection="1"/>
    <xf numFmtId="0" fontId="0" fillId="6" borderId="1" xfId="0" applyFill="1" applyBorder="1" applyAlignment="1">
      <alignment wrapText="1"/>
    </xf>
    <xf numFmtId="0" fontId="0" fillId="0" borderId="1" xfId="0" applyBorder="1" applyAlignment="1">
      <alignment wrapText="1"/>
    </xf>
    <xf numFmtId="173" fontId="0" fillId="0" borderId="1" xfId="0" applyNumberFormat="1" applyBorder="1" applyAlignment="1">
      <alignment horizontal="center" wrapText="1"/>
    </xf>
    <xf numFmtId="8" fontId="0" fillId="0" borderId="1" xfId="0" applyNumberFormat="1" applyBorder="1" applyAlignment="1">
      <alignment horizontal="center" vertical="center" wrapText="1"/>
    </xf>
    <xf numFmtId="0" fontId="19" fillId="0" borderId="1" xfId="0" applyFont="1" applyFill="1" applyBorder="1" applyProtection="1"/>
    <xf numFmtId="0" fontId="20" fillId="0" borderId="1" xfId="0" applyFont="1" applyFill="1" applyBorder="1" applyProtection="1"/>
    <xf numFmtId="2" fontId="17" fillId="0" borderId="1" xfId="0" applyNumberFormat="1" applyFont="1" applyBorder="1" applyProtection="1"/>
    <xf numFmtId="0" fontId="0" fillId="0" borderId="0" xfId="0" applyFill="1" applyBorder="1" applyAlignment="1" applyProtection="1">
      <alignment vertical="center"/>
    </xf>
    <xf numFmtId="10" fontId="3" fillId="0" borderId="1" xfId="1" applyNumberFormat="1" applyFont="1" applyBorder="1" applyProtection="1">
      <protection locked="0"/>
    </xf>
    <xf numFmtId="0" fontId="16" fillId="2" borderId="3" xfId="0" applyFont="1" applyFill="1" applyBorder="1" applyAlignment="1" applyProtection="1">
      <alignment horizontal="center"/>
    </xf>
    <xf numFmtId="0" fontId="16" fillId="2" borderId="4" xfId="0" applyFont="1" applyFill="1" applyBorder="1" applyAlignment="1" applyProtection="1">
      <alignment horizontal="center"/>
    </xf>
    <xf numFmtId="0" fontId="0" fillId="3" borderId="12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8" fillId="4" borderId="8" xfId="0" applyFont="1" applyFill="1" applyBorder="1" applyAlignment="1">
      <alignment vertical="center" wrapText="1"/>
    </xf>
    <xf numFmtId="0" fontId="8" fillId="4" borderId="0" xfId="0" applyFont="1" applyFill="1" applyBorder="1" applyAlignment="1">
      <alignment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 wrapText="1"/>
    </xf>
    <xf numFmtId="165" fontId="0" fillId="0" borderId="0" xfId="0" applyNumberFormat="1" applyBorder="1" applyAlignment="1">
      <alignment wrapText="1"/>
    </xf>
    <xf numFmtId="165" fontId="0" fillId="0" borderId="0" xfId="0" applyNumberFormat="1" applyBorder="1" applyAlignment="1">
      <alignment horizontal="right" wrapText="1"/>
    </xf>
    <xf numFmtId="0" fontId="21" fillId="0" borderId="0" xfId="0" applyFont="1"/>
    <xf numFmtId="0" fontId="17" fillId="6" borderId="20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</cellXfs>
  <cellStyles count="3">
    <cellStyle name="Currency" xfId="2" builtinId="4"/>
    <cellStyle name="Normal" xfId="0" builtinId="0"/>
    <cellStyle name="Percent" xfId="1" builtinId="5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</xdr:colOff>
      <xdr:row>1</xdr:row>
      <xdr:rowOff>11906</xdr:rowOff>
    </xdr:from>
    <xdr:to>
      <xdr:col>5</xdr:col>
      <xdr:colOff>0</xdr:colOff>
      <xdr:row>3</xdr:row>
      <xdr:rowOff>172641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4ACFC55-BB57-4C0A-B6A5-7A276143F9E6}"/>
            </a:ext>
          </a:extLst>
        </xdr:cNvPr>
        <xdr:cNvSpPr/>
      </xdr:nvSpPr>
      <xdr:spPr>
        <a:xfrm>
          <a:off x="4146153" y="215106"/>
          <a:ext cx="1505347" cy="541735"/>
        </a:xfrm>
        <a:prstGeom prst="roundRect">
          <a:avLst/>
        </a:prstGeom>
        <a:scene3d>
          <a:camera prst="orthographicFront"/>
          <a:lightRig rig="threePt" dir="t">
            <a:rot lat="0" lon="0" rev="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RESET</a:t>
          </a:r>
        </a:p>
      </xdr:txBody>
    </xdr:sp>
    <xdr:clientData/>
  </xdr:twoCellAnchor>
  <xdr:twoCellAnchor>
    <xdr:from>
      <xdr:col>3</xdr:col>
      <xdr:colOff>0</xdr:colOff>
      <xdr:row>20</xdr:row>
      <xdr:rowOff>25400</xdr:rowOff>
    </xdr:from>
    <xdr:to>
      <xdr:col>5</xdr:col>
      <xdr:colOff>5953</xdr:colOff>
      <xdr:row>23</xdr:row>
      <xdr:rowOff>2381</xdr:rowOff>
    </xdr:to>
    <xdr:sp macro="[0]!Submit" textlink="">
      <xdr:nvSpPr>
        <xdr:cNvPr id="3" name="Rectangle: Beveled 2">
          <a:extLst>
            <a:ext uri="{FF2B5EF4-FFF2-40B4-BE49-F238E27FC236}">
              <a16:creationId xmlns:a16="http://schemas.microsoft.com/office/drawing/2014/main" id="{176D2CEB-4C68-4902-9FA8-9365A3BEDB0A}"/>
            </a:ext>
          </a:extLst>
        </xdr:cNvPr>
        <xdr:cNvSpPr/>
      </xdr:nvSpPr>
      <xdr:spPr>
        <a:xfrm>
          <a:off x="4140200" y="3848100"/>
          <a:ext cx="1517253" cy="573881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SUBMIT</a:t>
          </a:r>
          <a:endParaRPr lang="en-US" sz="1100"/>
        </a:p>
      </xdr:txBody>
    </xdr:sp>
    <xdr:clientData/>
  </xdr:twoCellAnchor>
  <xdr:twoCellAnchor>
    <xdr:from>
      <xdr:col>3</xdr:col>
      <xdr:colOff>0</xdr:colOff>
      <xdr:row>11</xdr:row>
      <xdr:rowOff>6350</xdr:rowOff>
    </xdr:from>
    <xdr:to>
      <xdr:col>5</xdr:col>
      <xdr:colOff>0</xdr:colOff>
      <xdr:row>15</xdr:row>
      <xdr:rowOff>0</xdr:rowOff>
    </xdr:to>
    <xdr:sp macro="[0]!Proposal" textlink="">
      <xdr:nvSpPr>
        <xdr:cNvPr id="4" name="Rectangle: Single Corner Snipped 3">
          <a:extLst>
            <a:ext uri="{FF2B5EF4-FFF2-40B4-BE49-F238E27FC236}">
              <a16:creationId xmlns:a16="http://schemas.microsoft.com/office/drawing/2014/main" id="{243CA97C-BBEB-4528-BC9F-39EEC36FFA5A}"/>
            </a:ext>
          </a:extLst>
        </xdr:cNvPr>
        <xdr:cNvSpPr/>
      </xdr:nvSpPr>
      <xdr:spPr>
        <a:xfrm>
          <a:off x="4140200" y="2114550"/>
          <a:ext cx="1511300" cy="755650"/>
        </a:xfrm>
        <a:prstGeom prst="snip1Rect">
          <a:avLst/>
        </a:prstGeom>
        <a:gradFill flip="none" rotWithShape="1">
          <a:gsLst>
            <a:gs pos="0">
              <a:schemeClr val="accent3">
                <a:shade val="30000"/>
                <a:satMod val="115000"/>
              </a:schemeClr>
            </a:gs>
            <a:gs pos="50000">
              <a:schemeClr val="accent3">
                <a:shade val="67500"/>
                <a:satMod val="115000"/>
              </a:schemeClr>
            </a:gs>
            <a:gs pos="100000">
              <a:schemeClr val="accent3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THE</a:t>
          </a:r>
          <a:r>
            <a:rPr lang="en-US" sz="1400" b="1" baseline="0"/>
            <a:t> FINE PRINT</a:t>
          </a:r>
          <a:endParaRPr lang="en-US" sz="14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313B62BE-283B-4223-BF6E-4F5AC2E9A96B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CCB68C-C446-408F-A4CD-72A5B58AB841}" name="Table2" displayName="Table2" ref="A4:J59" totalsRowShown="0" headerRowDxfId="28" dataDxfId="27" tableBorderDxfId="26">
  <autoFilter ref="A4:J59" xr:uid="{80CCB68C-C446-408F-A4CD-72A5B58AB841}"/>
  <tableColumns count="10">
    <tableColumn id="1" xr3:uid="{5AD33FA6-3EDF-44D3-ACC1-91B57FA3EB06}" name="STATE/TERR" dataDxfId="25"/>
    <tableColumn id="2" xr3:uid="{BF68A608-93CF-4CB1-B77F-385C0E5FF280}" name="1" dataDxfId="24"/>
    <tableColumn id="3" xr3:uid="{19A92BB1-8263-47AA-8BBD-6A54A067B84D}" name="2" dataDxfId="23"/>
    <tableColumn id="4" xr3:uid="{4FFBF8A7-451A-4DD2-AE72-27615579C525}" name="3" dataDxfId="22"/>
    <tableColumn id="5" xr3:uid="{67D0428E-EC17-467B-83AF-B0256F6602DA}" name="4" dataDxfId="21"/>
    <tableColumn id="6" xr3:uid="{B9408685-E4E4-4E0B-8A82-5EC1A51E3E97}" name="5" dataDxfId="20">
      <calculatedColumnFormula>E5+9000</calculatedColumnFormula>
    </tableColumn>
    <tableColumn id="7" xr3:uid="{EE287872-5A1B-4B67-8BF4-DD8439351318}" name="6" dataDxfId="19">
      <calculatedColumnFormula>F5+9000</calculatedColumnFormula>
    </tableColumn>
    <tableColumn id="8" xr3:uid="{7C1900E3-68A9-4BBE-AA4E-A5E409B41388}" name="7" dataDxfId="18">
      <calculatedColumnFormula>G5+9000</calculatedColumnFormula>
    </tableColumn>
    <tableColumn id="9" xr3:uid="{B040D59A-AA08-40B7-B66C-BFA52AC15A4E}" name="8" dataDxfId="17">
      <calculatedColumnFormula>H5+9000</calculatedColumnFormula>
    </tableColumn>
    <tableColumn id="10" xr3:uid="{A05F033F-FFA5-4071-9C4B-DE262C32BDA6}" name="ST" dataDxfId="1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7827FD-C3B4-4E63-A06A-9AA405798224}" name="Page005" displayName="Page005" ref="A1:E58" totalsRowShown="0">
  <autoFilter ref="A1:E58" xr:uid="{527827FD-C3B4-4E63-A06A-9AA40579822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D4A22F6-B2D1-4708-9CB3-E0CAC720B1D1}" name="Column1" dataDxfId="15"/>
    <tableColumn id="2" xr3:uid="{73EF562C-7253-48C5-9A97-2561226E68BD}" name="Column2" dataDxfId="14"/>
    <tableColumn id="3" xr3:uid="{23F122C8-DCED-4FFA-8C73-120BCCD2D7C0}" name="Column3" dataDxfId="13"/>
    <tableColumn id="4" xr3:uid="{477ABBAD-5318-4AAF-AB98-2D5C901E4FE5}" name="Column4" dataDxfId="12"/>
    <tableColumn id="5" xr3:uid="{B10849DD-8F01-40A2-BC13-66AB325906C3}" name="Column5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" dT="2021-08-26T03:19:26.31" personId="{313B62BE-283B-4223-BF6E-4F5AC2E9A96B}" id="{4E515114-EDCB-41CF-AE28-738ADFAFC6B1}">
    <text>Retirement Age is 62</text>
  </threadedComment>
  <threadedComment ref="B22" dT="2021-08-26T05:53:59.36" personId="{313B62BE-283B-4223-BF6E-4F5AC2E9A96B}" id="{22C16A68-9575-49E8-A3B4-F4DCAC77479A}">
    <text>Zero interest, no prepayment penalty, forbearance and extension available if hardship, no adverse tax consequences, debt is discharged in the event of long-term or permanent disability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" dT="2021-08-26T03:27:29.34" personId="{313B62BE-283B-4223-BF6E-4F5AC2E9A96B}" id="{E4969FAA-33C3-4E61-8188-222A6989D30D}">
    <text>Zero interest, no prepayment penalty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30" dT="2021-08-21T00:50:22.52" personId="{313B62BE-283B-4223-BF6E-4F5AC2E9A96B}" id="{4A2E585E-E494-4205-8BA2-13BA38871108}">
    <text>Factors that increase amount of loans forgiven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1" dT="2021-08-26T03:27:29.34" personId="{313B62BE-283B-4223-BF6E-4F5AC2E9A96B}" id="{9841B092-285C-4796-A748-48420106432D}">
    <text>Zero interest, no prepayment penalty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1-08-21T01:00:13.95" personId="{313B62BE-283B-4223-BF6E-4F5AC2E9A96B}" id="{3CC5075A-9064-45A3-90AA-93F213D60355}">
    <text>Interest only (nothing towards principal)</text>
  </threadedComment>
  <threadedComment ref="I1" dT="2021-08-21T01:28:49.63" personId="{313B62BE-283B-4223-BF6E-4F5AC2E9A96B}" id="{EB80024F-B207-43D0-92DD-A0F6549319E9}">
    <text>Difference between current balance and amount originally borrowed</text>
  </threadedComment>
  <threadedComment ref="J1" dT="2021-08-21T01:14:01.65" personId="{313B62BE-283B-4223-BF6E-4F5AC2E9A96B}" id="{769DDF77-791B-4310-9A04-84D04CB87C51}">
    <text>Average of last two years</text>
  </threadedComment>
  <threadedComment ref="O1" dT="2021-08-21T02:13:32.16" personId="{313B62BE-283B-4223-BF6E-4F5AC2E9A96B}" id="{9C16F0DD-3549-4904-8B76-CB7E074B512D}">
    <text>Paid in a lump-sum</text>
  </threadedComment>
  <threadedComment ref="P1" dT="2021-08-21T22:59:00.13" personId="{313B62BE-283B-4223-BF6E-4F5AC2E9A96B}" id="{E7BA4945-5661-4648-9962-0A6A20574F48}">
    <text>Based on a 300 months (25 year) term</text>
  </threadedComment>
  <threadedComment ref="Q1" dT="2021-08-21T02:07:58.49" personId="{313B62BE-283B-4223-BF6E-4F5AC2E9A96B}" id="{6BD9F1EB-0496-42D2-ADF9-C15EF79E38A8}">
    <text>Capped at 7 years unless age 60+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D152970-CD16-4082-B728-2CA8BBC07893}">
  <we:reference id="wa200001657" version="1.0.0.0" store="en-US" storeType="OMEX"/>
  <we:alternateReferences>
    <we:reference id="WA200001657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72F1B-B32B-4976-985A-8C6C79490056}">
  <sheetPr codeName="Sheet1"/>
  <dimension ref="A1:J37"/>
  <sheetViews>
    <sheetView tabSelected="1" zoomScale="150" zoomScaleNormal="150" workbookViewId="0">
      <selection activeCell="B1" sqref="B1"/>
    </sheetView>
  </sheetViews>
  <sheetFormatPr defaultColWidth="9.140625" defaultRowHeight="15" x14ac:dyDescent="0.25"/>
  <cols>
    <col min="1" max="1" width="31" style="23" bestFit="1" customWidth="1"/>
    <col min="2" max="2" width="22.85546875" style="23" customWidth="1"/>
    <col min="3" max="3" width="15.7109375" style="23" customWidth="1"/>
    <col min="4" max="5" width="11.28515625" style="23" customWidth="1"/>
    <col min="6" max="6" width="9.140625" style="23"/>
    <col min="7" max="7" width="19.85546875" style="23" customWidth="1"/>
    <col min="8" max="8" width="11.7109375" style="23" bestFit="1" customWidth="1"/>
    <col min="9" max="9" width="10.28515625" style="23" customWidth="1"/>
    <col min="10" max="10" width="10.140625" style="23" bestFit="1" customWidth="1"/>
    <col min="11" max="16384" width="9.140625" style="23"/>
  </cols>
  <sheetData>
    <row r="1" spans="1:10" ht="15.75" x14ac:dyDescent="0.25">
      <c r="A1" s="96" t="s">
        <v>1</v>
      </c>
      <c r="B1" s="43"/>
      <c r="G1" s="115" t="s">
        <v>36</v>
      </c>
      <c r="H1" s="116"/>
      <c r="I1" s="32"/>
      <c r="J1" s="33"/>
    </row>
    <row r="2" spans="1:10" x14ac:dyDescent="0.25">
      <c r="A2" s="96" t="s">
        <v>130</v>
      </c>
      <c r="B2" s="43"/>
      <c r="G2" s="24" t="s">
        <v>191</v>
      </c>
      <c r="H2" s="26" t="e">
        <f>AVERAGE(B8,B9)</f>
        <v>#DIV/0!</v>
      </c>
    </row>
    <row r="3" spans="1:10" x14ac:dyDescent="0.25">
      <c r="A3" s="96" t="s">
        <v>6</v>
      </c>
      <c r="B3" s="52"/>
      <c r="G3" s="24" t="s">
        <v>192</v>
      </c>
      <c r="H3" s="24">
        <f>IF(B1="", 0, IF(62-B1&gt;0,62-B1,0))</f>
        <v>0</v>
      </c>
    </row>
    <row r="4" spans="1:10" x14ac:dyDescent="0.25">
      <c r="A4" s="96" t="s">
        <v>27</v>
      </c>
      <c r="B4" s="43"/>
      <c r="G4" s="24" t="s">
        <v>186</v>
      </c>
      <c r="H4" s="26" t="e">
        <f>IF(AND(H5=1,H6=0),VLOOKUP(B2,'US Trustee Office'!A1:I59,2,FALSE),IF(AND(H5=2,H6=0),VLOOKUP(B2,'US Trustee Office'!A1:I59,3,FALSE),IF(AND(H5=3,H6=1),VLOOKUP(B2,'US Trustee Office'!A1:I59,3,FALSE),IF(AND(H5=2,H6=1),VLOOKUP(B2,'US Trustee Office'!A1:I59,4,FALSE),IF(AND(H5=2,H6=2),VLOOKUP(B2,'US Trustee Office'!A1:I59,5,FALSE),IF(AND(H5=2,H6=3),VLOOKUP(B2,'US Trustee Office'!A1:I59,6,FALSE),IF(AND(H5=3,H6=2),VLOOKUP(B2,'US Trustee Office'!A1:I59,6,FALSE),IF(AND(H5=2,H6=4),VLOOKUP(B2,'US Trustee Office'!A1:I59,7,FALSE),IF(AND(H5=3, H6=3),VLOOKUP(B2,'US Trustee Office'!A1:I59,5,FALSE),IF(AND(H5=2, H6=5),VLOOKUP(B2,'US Trustee Office'!A1:I59,8,FALSE),IF(AND(H5=1,H6=1),VLOOKUP(B2,'US Trustee Office'!A1:I59,3,FALSE),IF(AND(H5=3,H6=1),VLOOKUP(B2,'US Trustee Office'!A1:I59,2,FALSE),"?"))))))))))))</f>
        <v>#N/A</v>
      </c>
    </row>
    <row r="5" spans="1:10" x14ac:dyDescent="0.25">
      <c r="A5" s="96" t="s">
        <v>30</v>
      </c>
      <c r="B5" s="95"/>
      <c r="G5" s="24" t="s">
        <v>6</v>
      </c>
      <c r="H5" s="28" t="e">
        <f>VLOOKUP(B3,$G$17:$H$19,2,FALSE)</f>
        <v>#N/A</v>
      </c>
    </row>
    <row r="6" spans="1:10" x14ac:dyDescent="0.25">
      <c r="A6" s="96" t="s">
        <v>31</v>
      </c>
      <c r="B6" s="59"/>
      <c r="G6" s="24" t="s">
        <v>34</v>
      </c>
      <c r="H6" s="24">
        <f>B4</f>
        <v>0</v>
      </c>
    </row>
    <row r="7" spans="1:10" x14ac:dyDescent="0.25">
      <c r="A7" s="96" t="s">
        <v>44</v>
      </c>
      <c r="B7" s="59"/>
      <c r="G7" s="24" t="s">
        <v>187</v>
      </c>
      <c r="H7" s="26">
        <f>B5</f>
        <v>0</v>
      </c>
    </row>
    <row r="8" spans="1:10" x14ac:dyDescent="0.25">
      <c r="A8" s="96" t="s">
        <v>32</v>
      </c>
      <c r="B8" s="59"/>
      <c r="G8" s="24" t="s">
        <v>188</v>
      </c>
      <c r="H8" s="26">
        <f>B6</f>
        <v>0</v>
      </c>
    </row>
    <row r="9" spans="1:10" x14ac:dyDescent="0.25">
      <c r="A9" s="96" t="s">
        <v>33</v>
      </c>
      <c r="B9" s="59"/>
      <c r="G9" s="35" t="s">
        <v>42</v>
      </c>
      <c r="H9" s="26">
        <f>H7-H8</f>
        <v>0</v>
      </c>
    </row>
    <row r="10" spans="1:10" x14ac:dyDescent="0.25">
      <c r="A10" s="96" t="s">
        <v>283</v>
      </c>
      <c r="B10" s="114"/>
      <c r="G10" s="35" t="s">
        <v>285</v>
      </c>
      <c r="H10" s="100" t="e">
        <f>$H$2/$H$7</f>
        <v>#DIV/0!</v>
      </c>
    </row>
    <row r="11" spans="1:10" x14ac:dyDescent="0.25">
      <c r="B11" s="125" t="str">
        <f>IF(AND(B3="Head of Household", B4&lt;1), "Must have at least 1 dependent if Head of Household", "")</f>
        <v/>
      </c>
      <c r="G11" s="111" t="s">
        <v>288</v>
      </c>
      <c r="H11" s="100" t="e">
        <f>(($H$3)*0.2)/($H$5+($H$6*1.5))</f>
        <v>#N/A</v>
      </c>
    </row>
    <row r="12" spans="1:10" x14ac:dyDescent="0.25">
      <c r="A12" s="96" t="s">
        <v>10</v>
      </c>
      <c r="B12" s="25" t="e">
        <f>H13</f>
        <v>#DIV/0!</v>
      </c>
      <c r="G12" s="110" t="s">
        <v>287</v>
      </c>
      <c r="H12" s="100">
        <f>IF($H$9&gt;0, 30000/$H$9, 0)</f>
        <v>0</v>
      </c>
    </row>
    <row r="13" spans="1:10" x14ac:dyDescent="0.25">
      <c r="A13" s="97" t="s">
        <v>29</v>
      </c>
      <c r="B13" s="27" t="e">
        <f>H7/B12</f>
        <v>#DIV/0!</v>
      </c>
      <c r="G13" s="35" t="s">
        <v>10</v>
      </c>
      <c r="H13" s="112" t="e">
        <f>H10+H11+H12</f>
        <v>#DIV/0!</v>
      </c>
    </row>
    <row r="14" spans="1:10" x14ac:dyDescent="0.25">
      <c r="A14" s="96" t="s">
        <v>45</v>
      </c>
      <c r="B14" s="27">
        <f>B7</f>
        <v>0</v>
      </c>
      <c r="G14" s="35" t="s">
        <v>269</v>
      </c>
      <c r="H14" s="26" t="e">
        <f>IF(B17="FAIL", B15/300 * B20*12, B15/84 * B20*12)</f>
        <v>#DIV/0!</v>
      </c>
    </row>
    <row r="15" spans="1:10" ht="18.75" customHeight="1" x14ac:dyDescent="0.25">
      <c r="A15" s="96" t="s">
        <v>11</v>
      </c>
      <c r="B15" s="94" t="e">
        <f>B5-B13-B14</f>
        <v>#DIV/0!</v>
      </c>
      <c r="D15" s="38"/>
    </row>
    <row r="16" spans="1:10" x14ac:dyDescent="0.25">
      <c r="A16" s="24"/>
      <c r="B16" s="24"/>
      <c r="G16" s="29" t="s">
        <v>6</v>
      </c>
      <c r="H16" s="30" t="s">
        <v>35</v>
      </c>
    </row>
    <row r="17" spans="1:8" x14ac:dyDescent="0.25">
      <c r="A17" s="96" t="s">
        <v>46</v>
      </c>
      <c r="B17" s="31" t="e">
        <f>IF(H2&gt;H4,"PASS","FAIL")</f>
        <v>#DIV/0!</v>
      </c>
      <c r="G17" s="24" t="s">
        <v>7</v>
      </c>
      <c r="H17" s="31">
        <v>1</v>
      </c>
    </row>
    <row r="18" spans="1:8" x14ac:dyDescent="0.25">
      <c r="A18" s="24"/>
      <c r="B18" s="34"/>
      <c r="G18" s="24" t="s">
        <v>189</v>
      </c>
      <c r="H18" s="31">
        <v>2</v>
      </c>
    </row>
    <row r="19" spans="1:8" x14ac:dyDescent="0.25">
      <c r="A19" s="98" t="s">
        <v>38</v>
      </c>
      <c r="B19" s="64" t="e">
        <f>IF(((B15/300) * 84) &lt; 1000, 0, IF(B17="PASS",B15/84,IF(B17="FAIL", B15/300)))</f>
        <v>#DIV/0!</v>
      </c>
      <c r="G19" s="24" t="s">
        <v>9</v>
      </c>
      <c r="H19" s="31">
        <v>3</v>
      </c>
    </row>
    <row r="20" spans="1:8" x14ac:dyDescent="0.25">
      <c r="A20" s="96" t="s">
        <v>39</v>
      </c>
      <c r="B20" s="37" t="e">
        <f>IF(B19=0, 0, IF(H3&gt;=12, 7, IF(B1&lt;55,7,H3)))</f>
        <v>#DIV/0!</v>
      </c>
    </row>
    <row r="21" spans="1:8" ht="15.75" thickBot="1" x14ac:dyDescent="0.3"/>
    <row r="22" spans="1:8" ht="15.75" thickBot="1" x14ac:dyDescent="0.3">
      <c r="A22" s="99" t="e">
        <f>"Total Payout over " &amp; B20 &amp; " years"</f>
        <v>#DIV/0!</v>
      </c>
      <c r="B22" s="65" t="e">
        <f>IF(B19*B20*12&lt;1000,0,B19*B20*12)</f>
        <v>#DIV/0!</v>
      </c>
    </row>
    <row r="23" spans="1:8" x14ac:dyDescent="0.25">
      <c r="A23" s="96" t="s">
        <v>43</v>
      </c>
      <c r="B23" s="36" t="e">
        <f>1-(B22/B5)</f>
        <v>#DIV/0!</v>
      </c>
    </row>
    <row r="24" spans="1:8" ht="22.5" customHeight="1" x14ac:dyDescent="0.25"/>
    <row r="25" spans="1:8" x14ac:dyDescent="0.25">
      <c r="A25" s="126" t="s">
        <v>278</v>
      </c>
      <c r="B25" s="127"/>
      <c r="C25" s="103"/>
    </row>
    <row r="26" spans="1:8" ht="45" x14ac:dyDescent="0.25">
      <c r="A26" s="106" t="s">
        <v>279</v>
      </c>
      <c r="B26" s="109">
        <f>B5*B10/12</f>
        <v>0</v>
      </c>
      <c r="C26" s="103" t="s">
        <v>291</v>
      </c>
    </row>
    <row r="27" spans="1:8" x14ac:dyDescent="0.25">
      <c r="A27" s="103"/>
      <c r="C27" s="104" t="s">
        <v>280</v>
      </c>
    </row>
    <row r="28" spans="1:8" x14ac:dyDescent="0.25">
      <c r="A28" s="103"/>
      <c r="B28" s="123">
        <f>B5</f>
        <v>0</v>
      </c>
      <c r="C28" s="104" t="str">
        <f>"and treated as taxable income at the ripe ol' age of " &amp; B1+25</f>
        <v>and treated as taxable income at the ripe ol' age of 25</v>
      </c>
    </row>
    <row r="29" spans="1:8" x14ac:dyDescent="0.25">
      <c r="A29" s="103"/>
      <c r="B29" s="124" t="str">
        <f>"equals $" &amp; B28*0.25</f>
        <v>equals $0</v>
      </c>
      <c r="C29" s="104" t="s">
        <v>289</v>
      </c>
    </row>
    <row r="30" spans="1:8" x14ac:dyDescent="0.25">
      <c r="A30" s="103"/>
      <c r="B30" s="124">
        <f>B26*300 + B5*0.25</f>
        <v>0</v>
      </c>
      <c r="C30" s="104" t="s">
        <v>290</v>
      </c>
    </row>
    <row r="31" spans="1:8" x14ac:dyDescent="0.25">
      <c r="A31" s="103"/>
      <c r="B31" s="103"/>
      <c r="C31" s="104"/>
    </row>
    <row r="32" spans="1:8" x14ac:dyDescent="0.25">
      <c r="A32" s="103"/>
      <c r="B32" s="107" t="s">
        <v>281</v>
      </c>
      <c r="C32" s="103"/>
    </row>
    <row r="33" spans="1:3" x14ac:dyDescent="0.25">
      <c r="A33" s="103"/>
      <c r="B33" s="108" t="str">
        <f>IFERROR(NPER($B$10/12,-$B$19,$B$5),"Indefinite")</f>
        <v>Indefinite</v>
      </c>
      <c r="C33" s="104" t="e">
        <f>"months to payoff outstanding balance of $"&amp;B5&amp;" at "&amp;B10*100&amp;"% interest, with $"&amp;ROUND(B19,2)&amp;" monthly payment."</f>
        <v>#DIV/0!</v>
      </c>
    </row>
    <row r="34" spans="1:3" x14ac:dyDescent="0.25">
      <c r="A34" s="103"/>
      <c r="B34" s="108" t="str">
        <f>IF(B33="Indefinite","N/A",B33/12)</f>
        <v>N/A</v>
      </c>
      <c r="C34" s="103" t="s">
        <v>282</v>
      </c>
    </row>
    <row r="35" spans="1:3" x14ac:dyDescent="0.25">
      <c r="A35" s="103"/>
      <c r="B35" s="108" t="str">
        <f>IF(B33="Indefinite","N/A",B1+B34)</f>
        <v>N/A</v>
      </c>
      <c r="C35" s="104" t="s">
        <v>284</v>
      </c>
    </row>
    <row r="36" spans="1:3" x14ac:dyDescent="0.25">
      <c r="A36" s="105"/>
      <c r="B36" s="108" t="e">
        <f>(B1+B20)</f>
        <v>#DIV/0!</v>
      </c>
      <c r="C36" s="104" t="s">
        <v>286</v>
      </c>
    </row>
    <row r="37" spans="1:3" x14ac:dyDescent="0.25">
      <c r="B37" s="108" t="str">
        <f>IF(B35="N/A", "N/A", IF(B35-B36&gt;0,B35-B36,"-"))</f>
        <v>N/A</v>
      </c>
      <c r="C37" s="113" t="str">
        <f>IF(B37 &lt;&gt; 0,"years faster!","")</f>
        <v>years faster!</v>
      </c>
    </row>
  </sheetData>
  <sheetProtection sheet="1" selectLockedCells="1"/>
  <mergeCells count="2">
    <mergeCell ref="G1:H1"/>
    <mergeCell ref="A25:B25"/>
  </mergeCells>
  <conditionalFormatting sqref="B17">
    <cfRule type="cellIs" dxfId="10" priority="3" operator="equal">
      <formula>"PASS"</formula>
    </cfRule>
    <cfRule type="cellIs" dxfId="9" priority="4" operator="equal">
      <formula>"FAIL"</formula>
    </cfRule>
  </conditionalFormatting>
  <conditionalFormatting sqref="H2">
    <cfRule type="cellIs" dxfId="8" priority="1" operator="greaterThan">
      <formula>$H$4</formula>
    </cfRule>
    <cfRule type="cellIs" dxfId="7" priority="2" operator="lessThan">
      <formula>$H$4</formula>
    </cfRule>
  </conditionalFormatting>
  <dataValidations xWindow="606" yWindow="292" count="7">
    <dataValidation type="whole" allowBlank="1" showInputMessage="1" showErrorMessage="1" errorTitle="Error" error="Ages 25 and over only" promptTitle="FYI" prompt="Ages 25 and over only" sqref="B1" xr:uid="{F10D4749-9EFA-43E9-9B69-0B4BAF0F64AC}">
      <formula1>25</formula1>
      <formula2>100</formula2>
    </dataValidation>
    <dataValidation type="whole" allowBlank="1" showInputMessage="1" showErrorMessage="1" errorTitle="Error" error="0 through 9 only" promptTitle="FYI" prompt="Enter 0 up to and including 9. If 10 or more dependents, just enter 9." sqref="B4" xr:uid="{711F7084-A175-4D67-B910-AB15EDE96D65}">
      <formula1>0</formula1>
      <formula2>9</formula2>
    </dataValidation>
    <dataValidation type="decimal" operator="greaterThanOrEqual" allowBlank="1" showInputMessage="1" showErrorMessage="1" sqref="B8:B9" xr:uid="{4F1CC165-C3FA-444E-A273-222E26EA9EA8}">
      <formula1>0</formula1>
    </dataValidation>
    <dataValidation type="decimal" operator="greaterThan" allowBlank="1" showInputMessage="1" showErrorMessage="1" sqref="B7" xr:uid="{9B0C89CB-8C29-4F87-A07F-77188F4F18F2}">
      <formula1>0</formula1>
    </dataValidation>
    <dataValidation type="decimal" operator="greaterThanOrEqual" allowBlank="1" showInputMessage="1" showErrorMessage="1" errorTitle="Error" error="Must be at least $15,000" promptTitle="FYI" prompt="Must be $15,000 or greater" sqref="B5" xr:uid="{94192601-7B4A-408E-A5A0-4738E4857B47}">
      <formula1>15000</formula1>
    </dataValidation>
    <dataValidation type="decimal" operator="greaterThanOrEqual" allowBlank="1" showInputMessage="1" showErrorMessage="1" errorTitle="Error" error="Must be $10,000 or over" promptTitle="FYI" prompt="Must be at least $10,000" sqref="B6" xr:uid="{8A62870C-B19D-43FC-9490-BCC7D8575EC2}">
      <formula1>10000</formula1>
    </dataValidation>
    <dataValidation type="list" allowBlank="1" showInputMessage="1" showErrorMessage="1" sqref="B3" xr:uid="{76471EEC-A50F-43FB-B12B-1A2DAF5DA8F9}">
      <formula1>$G$17:$G$19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606" yWindow="292" count="1">
        <x14:dataValidation type="list" allowBlank="1" showInputMessage="1" showErrorMessage="1" xr:uid="{52518489-C34F-4223-B60A-51DF7B5E83E5}">
          <x14:formula1>
            <xm:f>'US Trustee Office'!$A$5:$A$59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94C9D-0646-413C-B61C-349F9851D0BF}">
  <sheetPr codeName="Sheet4"/>
  <dimension ref="A1:M1002"/>
  <sheetViews>
    <sheetView zoomScale="120" zoomScaleNormal="120" workbookViewId="0">
      <pane ySplit="1" topLeftCell="A17" activePane="bottomLeft" state="frozen"/>
      <selection pane="bottomLeft" activeCell="A31" sqref="A31"/>
    </sheetView>
  </sheetViews>
  <sheetFormatPr defaultRowHeight="15" x14ac:dyDescent="0.25"/>
  <cols>
    <col min="1" max="1" width="18.7109375" bestFit="1" customWidth="1"/>
    <col min="2" max="2" width="4.5703125" bestFit="1" customWidth="1"/>
    <col min="3" max="3" width="5.7109375" bestFit="1" customWidth="1"/>
    <col min="4" max="4" width="19.42578125" style="5" bestFit="1" customWidth="1"/>
    <col min="5" max="5" width="12" style="5" bestFit="1" customWidth="1"/>
    <col min="6" max="6" width="23.7109375" bestFit="1" customWidth="1"/>
    <col min="7" max="7" width="18.140625" bestFit="1" customWidth="1"/>
    <col min="8" max="8" width="6.140625" bestFit="1" customWidth="1"/>
    <col min="9" max="9" width="22" bestFit="1" customWidth="1"/>
    <col min="10" max="10" width="22.140625" style="61" bestFit="1" customWidth="1"/>
    <col min="11" max="11" width="15.5703125" style="5" bestFit="1" customWidth="1"/>
    <col min="12" max="12" width="19.28515625" style="61" bestFit="1" customWidth="1"/>
    <col min="13" max="13" width="10.85546875" style="12" bestFit="1" customWidth="1"/>
  </cols>
  <sheetData>
    <row r="1" spans="1:13" s="1" customFormat="1" ht="24" customHeight="1" x14ac:dyDescent="0.25">
      <c r="A1" s="57" t="s">
        <v>50</v>
      </c>
      <c r="B1" s="57" t="s">
        <v>1</v>
      </c>
      <c r="C1" s="57" t="s">
        <v>132</v>
      </c>
      <c r="D1" s="72" t="s">
        <v>6</v>
      </c>
      <c r="E1" s="72" t="s">
        <v>34</v>
      </c>
      <c r="F1" s="57" t="s">
        <v>52</v>
      </c>
      <c r="G1" s="57" t="s">
        <v>51</v>
      </c>
      <c r="H1" s="57" t="s">
        <v>10</v>
      </c>
      <c r="I1" s="57" t="s">
        <v>53</v>
      </c>
      <c r="J1" s="60" t="s">
        <v>38</v>
      </c>
      <c r="K1" s="72" t="s">
        <v>54</v>
      </c>
      <c r="L1" s="60" t="s">
        <v>277</v>
      </c>
      <c r="M1" s="69" t="s">
        <v>64</v>
      </c>
    </row>
    <row r="2" spans="1:13" s="42" customFormat="1" x14ac:dyDescent="0.25">
      <c r="A2" s="76">
        <v>1</v>
      </c>
      <c r="B2">
        <v>37</v>
      </c>
      <c r="C2" t="s">
        <v>176</v>
      </c>
      <c r="D2" s="5" t="s">
        <v>189</v>
      </c>
      <c r="E2" s="5">
        <v>2</v>
      </c>
      <c r="F2" s="70">
        <v>61750</v>
      </c>
      <c r="G2" s="70">
        <v>31000</v>
      </c>
      <c r="H2" s="101">
        <v>3.1262254984985405</v>
      </c>
      <c r="I2" s="70">
        <v>26384.51</v>
      </c>
      <c r="J2" s="77">
        <v>54.946295658146823</v>
      </c>
      <c r="K2" s="5">
        <v>7</v>
      </c>
      <c r="L2" s="56">
        <v>4615.4888352843336</v>
      </c>
      <c r="M2" s="66">
        <v>0.8511132633779247</v>
      </c>
    </row>
    <row r="3" spans="1:13" x14ac:dyDescent="0.25">
      <c r="A3" s="76">
        <v>2</v>
      </c>
      <c r="B3">
        <v>49</v>
      </c>
      <c r="C3" t="s">
        <v>171</v>
      </c>
      <c r="D3" s="5" t="s">
        <v>189</v>
      </c>
      <c r="E3" s="5">
        <v>1</v>
      </c>
      <c r="F3" s="70">
        <v>66500</v>
      </c>
      <c r="G3" s="70">
        <v>36500</v>
      </c>
      <c r="H3" s="101">
        <v>2.8051913771808494</v>
      </c>
      <c r="I3" s="70">
        <v>32723.25</v>
      </c>
      <c r="J3" s="77">
        <v>44.961366751524302</v>
      </c>
      <c r="K3" s="5">
        <v>7</v>
      </c>
      <c r="L3" s="56">
        <v>3776.7548071280416</v>
      </c>
      <c r="M3" s="66">
        <v>0.89652726555813589</v>
      </c>
    </row>
    <row r="4" spans="1:13" x14ac:dyDescent="0.25">
      <c r="A4" s="76">
        <v>3</v>
      </c>
      <c r="B4">
        <v>48</v>
      </c>
      <c r="C4" t="s">
        <v>172</v>
      </c>
      <c r="D4" s="5" t="s">
        <v>189</v>
      </c>
      <c r="E4" s="5">
        <v>0</v>
      </c>
      <c r="F4" s="70">
        <v>70145</v>
      </c>
      <c r="G4" s="70">
        <v>32000</v>
      </c>
      <c r="H4" s="101">
        <v>3.5083338513787279</v>
      </c>
      <c r="I4" s="70">
        <v>27833.919999999998</v>
      </c>
      <c r="J4" s="77">
        <v>49.596204014407562</v>
      </c>
      <c r="K4" s="5">
        <v>7</v>
      </c>
      <c r="L4" s="56">
        <v>4166.0811372102344</v>
      </c>
      <c r="M4" s="66">
        <v>0.86980996446218017</v>
      </c>
    </row>
    <row r="5" spans="1:13" x14ac:dyDescent="0.25">
      <c r="A5" s="76">
        <v>4</v>
      </c>
      <c r="B5">
        <v>33</v>
      </c>
      <c r="C5" t="s">
        <v>142</v>
      </c>
      <c r="D5" s="5" t="s">
        <v>7</v>
      </c>
      <c r="E5" s="5">
        <v>0</v>
      </c>
      <c r="F5" s="70">
        <v>56000</v>
      </c>
      <c r="G5" s="70">
        <v>48000</v>
      </c>
      <c r="H5" s="101">
        <v>4.6918982925810351</v>
      </c>
      <c r="I5" s="70">
        <v>38824.51</v>
      </c>
      <c r="J5" s="77">
        <v>109.23199736597091</v>
      </c>
      <c r="K5" s="5">
        <v>7</v>
      </c>
      <c r="L5" s="56">
        <v>9175.4877787415571</v>
      </c>
      <c r="M5" s="12">
        <v>0.80884400460955086</v>
      </c>
    </row>
    <row r="6" spans="1:13" x14ac:dyDescent="0.25">
      <c r="A6" s="76">
        <v>5</v>
      </c>
      <c r="B6">
        <v>31</v>
      </c>
      <c r="C6" t="s">
        <v>160</v>
      </c>
      <c r="D6" s="5" t="s">
        <v>7</v>
      </c>
      <c r="E6" s="5">
        <v>1</v>
      </c>
      <c r="F6" s="70">
        <v>30065</v>
      </c>
      <c r="G6" s="70">
        <v>27000</v>
      </c>
      <c r="H6" s="101">
        <v>2.9958291315323988</v>
      </c>
      <c r="I6" s="70">
        <v>22523.51</v>
      </c>
      <c r="J6" s="77">
        <v>53.291566580780248</v>
      </c>
      <c r="K6" s="5">
        <v>7</v>
      </c>
      <c r="L6" s="56">
        <v>4476.4915927855409</v>
      </c>
      <c r="M6" s="12">
        <v>0.83420401508201703</v>
      </c>
    </row>
    <row r="7" spans="1:13" x14ac:dyDescent="0.25">
      <c r="A7" s="76">
        <v>6</v>
      </c>
      <c r="B7">
        <v>34</v>
      </c>
      <c r="C7" t="s">
        <v>153</v>
      </c>
      <c r="D7" s="5" t="s">
        <v>7</v>
      </c>
      <c r="E7" s="5">
        <v>0</v>
      </c>
      <c r="F7" s="70">
        <v>35195</v>
      </c>
      <c r="G7" s="70">
        <v>28900</v>
      </c>
      <c r="H7" s="101">
        <v>4.6716882382642204</v>
      </c>
      <c r="I7" s="70">
        <v>22876.14</v>
      </c>
      <c r="J7" s="77">
        <v>71.71266508233586</v>
      </c>
      <c r="K7" s="5">
        <v>7</v>
      </c>
      <c r="L7" s="56">
        <v>6023.8638669162119</v>
      </c>
      <c r="M7" s="66">
        <v>0.79156180391293385</v>
      </c>
    </row>
    <row r="8" spans="1:13" x14ac:dyDescent="0.25">
      <c r="A8" s="76">
        <v>7</v>
      </c>
      <c r="B8">
        <v>53</v>
      </c>
      <c r="C8" t="s">
        <v>139</v>
      </c>
      <c r="D8" s="5" t="s">
        <v>189</v>
      </c>
      <c r="E8" s="5">
        <v>0</v>
      </c>
      <c r="F8" s="70">
        <v>60450</v>
      </c>
      <c r="G8" s="70">
        <v>67000</v>
      </c>
      <c r="H8" s="101">
        <v>1.9526265411083168</v>
      </c>
      <c r="I8" s="70">
        <v>61067.57</v>
      </c>
      <c r="J8" s="77">
        <v>70.624143362012958</v>
      </c>
      <c r="K8" s="5">
        <v>7</v>
      </c>
      <c r="L8" s="56">
        <v>5932.4280424090884</v>
      </c>
      <c r="M8" s="66">
        <v>0.91145629787449123</v>
      </c>
    </row>
    <row r="9" spans="1:13" x14ac:dyDescent="0.25">
      <c r="A9" s="76">
        <v>8</v>
      </c>
      <c r="B9">
        <v>46</v>
      </c>
      <c r="C9" t="s">
        <v>150</v>
      </c>
      <c r="D9" s="5" t="s">
        <v>189</v>
      </c>
      <c r="E9" s="5">
        <v>4</v>
      </c>
      <c r="F9" s="70">
        <v>64000</v>
      </c>
      <c r="G9" s="70">
        <v>32000</v>
      </c>
      <c r="H9" s="101">
        <v>2.8229748504195324</v>
      </c>
      <c r="I9" s="70">
        <v>27473.96</v>
      </c>
      <c r="J9" s="77">
        <v>53.881467605890577</v>
      </c>
      <c r="K9" s="5">
        <v>7</v>
      </c>
      <c r="L9" s="56">
        <v>4526.0432788948083</v>
      </c>
      <c r="M9" s="66">
        <v>0.85856114753453727</v>
      </c>
    </row>
    <row r="10" spans="1:13" x14ac:dyDescent="0.25">
      <c r="A10" s="76">
        <v>9</v>
      </c>
      <c r="B10">
        <v>39</v>
      </c>
      <c r="C10" t="s">
        <v>159</v>
      </c>
      <c r="D10" s="5" t="s">
        <v>189</v>
      </c>
      <c r="E10" s="5">
        <v>2</v>
      </c>
      <c r="F10" s="70">
        <v>47750</v>
      </c>
      <c r="G10" s="70">
        <v>32000</v>
      </c>
      <c r="H10" s="101">
        <v>2.5801451647598781</v>
      </c>
      <c r="I10" s="70">
        <v>27492.67</v>
      </c>
      <c r="J10" s="77">
        <v>53.658656837010327</v>
      </c>
      <c r="K10" s="5">
        <v>7</v>
      </c>
      <c r="L10" s="56">
        <v>4507.3271743088681</v>
      </c>
      <c r="M10" s="66">
        <v>0.85914602580284782</v>
      </c>
    </row>
    <row r="11" spans="1:13" x14ac:dyDescent="0.25">
      <c r="A11" s="76">
        <v>10</v>
      </c>
      <c r="B11">
        <v>45</v>
      </c>
      <c r="C11" t="s">
        <v>181</v>
      </c>
      <c r="D11" s="5" t="s">
        <v>189</v>
      </c>
      <c r="E11" s="5">
        <v>1</v>
      </c>
      <c r="F11" s="70">
        <v>76500</v>
      </c>
      <c r="G11" s="70">
        <v>62000</v>
      </c>
      <c r="H11" s="101">
        <v>2.3340225277752591</v>
      </c>
      <c r="I11" s="70">
        <v>55157.8</v>
      </c>
      <c r="J11" s="77">
        <v>81.454724962034987</v>
      </c>
      <c r="K11" s="5">
        <v>7</v>
      </c>
      <c r="L11" s="56">
        <v>6842.1968968109386</v>
      </c>
      <c r="M11" s="66">
        <v>0.88964198553530749</v>
      </c>
    </row>
    <row r="12" spans="1:13" x14ac:dyDescent="0.25">
      <c r="A12" s="76">
        <v>11</v>
      </c>
      <c r="B12">
        <v>41</v>
      </c>
      <c r="C12" t="s">
        <v>162</v>
      </c>
      <c r="D12" s="5" t="s">
        <v>7</v>
      </c>
      <c r="E12" s="5">
        <v>1</v>
      </c>
      <c r="F12" s="70">
        <v>62250</v>
      </c>
      <c r="G12" s="70">
        <v>52000</v>
      </c>
      <c r="H12" s="101">
        <v>2.6515526589344227</v>
      </c>
      <c r="I12" s="70">
        <v>44275.12</v>
      </c>
      <c r="J12" s="77">
        <v>91.962829470517093</v>
      </c>
      <c r="K12" s="5">
        <v>7</v>
      </c>
      <c r="L12" s="56">
        <v>7724.8776755234358</v>
      </c>
      <c r="M12" s="66">
        <v>0.85144466008608777</v>
      </c>
    </row>
    <row r="13" spans="1:13" x14ac:dyDescent="0.25">
      <c r="A13" s="76">
        <v>12</v>
      </c>
      <c r="B13">
        <v>44</v>
      </c>
      <c r="C13" t="s">
        <v>137</v>
      </c>
      <c r="D13" s="5" t="s">
        <v>9</v>
      </c>
      <c r="E13" s="5">
        <v>1</v>
      </c>
      <c r="F13" s="70">
        <v>155000</v>
      </c>
      <c r="G13" s="70">
        <v>50000</v>
      </c>
      <c r="H13" s="101">
        <v>5.5666666666666673</v>
      </c>
      <c r="I13" s="70">
        <v>12982.04</v>
      </c>
      <c r="J13" s="77">
        <v>440.69004847447962</v>
      </c>
      <c r="K13" s="5">
        <v>7</v>
      </c>
      <c r="L13" s="56">
        <v>37017.964071856288</v>
      </c>
      <c r="M13" s="66">
        <v>0.2596407185628743</v>
      </c>
    </row>
    <row r="14" spans="1:13" x14ac:dyDescent="0.25">
      <c r="A14" s="76">
        <v>13</v>
      </c>
      <c r="B14">
        <v>44</v>
      </c>
      <c r="C14" t="s">
        <v>137</v>
      </c>
      <c r="D14" s="5" t="s">
        <v>7</v>
      </c>
      <c r="E14" s="5">
        <v>1</v>
      </c>
      <c r="F14" s="70">
        <v>46625</v>
      </c>
      <c r="G14" s="70">
        <v>50000</v>
      </c>
      <c r="H14" s="101">
        <v>4.0391666666666666</v>
      </c>
      <c r="I14" s="70">
        <v>40586.06</v>
      </c>
      <c r="J14" s="77">
        <v>112.07069665084933</v>
      </c>
      <c r="K14" s="5">
        <v>7</v>
      </c>
      <c r="L14" s="56">
        <v>9413.9385186713444</v>
      </c>
      <c r="M14" s="66">
        <v>0.81172122962657312</v>
      </c>
    </row>
    <row r="15" spans="1:13" x14ac:dyDescent="0.25">
      <c r="A15" s="76">
        <v>14</v>
      </c>
      <c r="B15">
        <v>52</v>
      </c>
      <c r="C15" t="s">
        <v>181</v>
      </c>
      <c r="D15" s="5" t="s">
        <v>189</v>
      </c>
      <c r="E15" s="5">
        <v>0</v>
      </c>
      <c r="F15" s="70">
        <v>80250</v>
      </c>
      <c r="G15" s="70">
        <v>72000</v>
      </c>
      <c r="H15" s="101">
        <v>3.677083333333333</v>
      </c>
      <c r="I15" s="70">
        <v>61802.61</v>
      </c>
      <c r="J15" s="77">
        <v>121.39754485363551</v>
      </c>
      <c r="K15" s="5">
        <v>7</v>
      </c>
      <c r="L15" s="56">
        <v>10197.393767705384</v>
      </c>
      <c r="M15" s="66">
        <v>0.85836953100409186</v>
      </c>
    </row>
    <row r="16" spans="1:13" x14ac:dyDescent="0.25">
      <c r="A16" s="76">
        <v>15</v>
      </c>
      <c r="B16">
        <v>40</v>
      </c>
      <c r="C16" t="s">
        <v>152</v>
      </c>
      <c r="D16" s="5" t="s">
        <v>9</v>
      </c>
      <c r="E16" s="5">
        <v>2</v>
      </c>
      <c r="F16" s="70">
        <v>31900</v>
      </c>
      <c r="G16" s="70">
        <v>32300</v>
      </c>
      <c r="H16" s="101">
        <v>3.3969270860358254</v>
      </c>
      <c r="I16" s="70">
        <v>27318.41</v>
      </c>
      <c r="J16" s="77">
        <v>59.30468716586072</v>
      </c>
      <c r="K16" s="5">
        <v>7</v>
      </c>
      <c r="L16" s="56">
        <v>4981.5937219323005</v>
      </c>
      <c r="M16" s="66">
        <v>0.84577109220023838</v>
      </c>
    </row>
    <row r="17" spans="1:13" x14ac:dyDescent="0.25">
      <c r="A17" s="76">
        <v>16</v>
      </c>
      <c r="B17">
        <v>35</v>
      </c>
      <c r="C17" t="s">
        <v>177</v>
      </c>
      <c r="D17" s="5" t="s">
        <v>7</v>
      </c>
      <c r="E17" s="5">
        <v>1</v>
      </c>
      <c r="F17" s="70">
        <v>42103.5</v>
      </c>
      <c r="G17" s="70">
        <v>34000</v>
      </c>
      <c r="H17" s="101">
        <v>5.5411953781512606</v>
      </c>
      <c r="I17" s="70">
        <v>27206.04</v>
      </c>
      <c r="J17" s="77">
        <v>80.88046610901516</v>
      </c>
      <c r="K17" s="5">
        <v>7</v>
      </c>
      <c r="L17" s="56">
        <v>6793.9591531572732</v>
      </c>
      <c r="M17" s="12">
        <v>0.80017767196596257</v>
      </c>
    </row>
    <row r="18" spans="1:13" x14ac:dyDescent="0.25">
      <c r="A18" s="76">
        <v>17</v>
      </c>
      <c r="B18">
        <v>35</v>
      </c>
      <c r="C18" t="s">
        <v>177</v>
      </c>
      <c r="D18" s="5" t="s">
        <v>9</v>
      </c>
      <c r="E18" s="5">
        <v>1</v>
      </c>
      <c r="F18" s="70">
        <v>42103.5</v>
      </c>
      <c r="G18" s="70">
        <v>34000</v>
      </c>
      <c r="H18" s="101">
        <v>4.5811953781512607</v>
      </c>
      <c r="I18" s="70">
        <v>27566.06</v>
      </c>
      <c r="J18" s="77">
        <v>76.594520866647187</v>
      </c>
      <c r="K18" s="5">
        <v>7</v>
      </c>
      <c r="L18" s="56">
        <v>6433.9397527983638</v>
      </c>
      <c r="M18" s="12">
        <v>0.81076647785887168</v>
      </c>
    </row>
    <row r="19" spans="1:13" x14ac:dyDescent="0.25">
      <c r="A19" s="76">
        <v>18</v>
      </c>
      <c r="B19">
        <v>58</v>
      </c>
      <c r="C19" t="s">
        <v>157</v>
      </c>
      <c r="D19" s="53" t="s">
        <v>189</v>
      </c>
      <c r="E19" s="53">
        <v>0</v>
      </c>
      <c r="F19" s="70">
        <v>60450</v>
      </c>
      <c r="G19" s="70">
        <v>49350</v>
      </c>
      <c r="H19" s="101">
        <v>2.7218161510977255</v>
      </c>
      <c r="I19" s="70">
        <v>45795</v>
      </c>
      <c r="J19" s="77">
        <v>74.062413157973168</v>
      </c>
      <c r="K19" s="53">
        <v>4</v>
      </c>
      <c r="L19" s="56">
        <v>3554.9958315827121</v>
      </c>
      <c r="M19" s="66">
        <v>0.92796361030227537</v>
      </c>
    </row>
    <row r="20" spans="1:13" x14ac:dyDescent="0.25">
      <c r="A20" s="76">
        <v>19</v>
      </c>
      <c r="B20">
        <v>39</v>
      </c>
      <c r="C20" t="s">
        <v>172</v>
      </c>
      <c r="D20" s="5" t="s">
        <v>7</v>
      </c>
      <c r="E20" s="5">
        <v>0</v>
      </c>
      <c r="F20" s="70">
        <v>52500</v>
      </c>
      <c r="G20" s="70">
        <v>47000</v>
      </c>
      <c r="H20" s="101">
        <v>6.9670212765957453</v>
      </c>
      <c r="I20" s="70">
        <v>38808.9</v>
      </c>
      <c r="J20" s="77">
        <v>97.51310632666565</v>
      </c>
      <c r="K20" s="5">
        <v>7</v>
      </c>
      <c r="L20" s="56">
        <v>8191.1009314399153</v>
      </c>
      <c r="M20" s="66">
        <v>0.82572125677787411</v>
      </c>
    </row>
    <row r="21" spans="1:13" x14ac:dyDescent="0.25">
      <c r="A21" s="76">
        <v>20</v>
      </c>
      <c r="B21">
        <v>51</v>
      </c>
      <c r="C21" t="s">
        <v>163</v>
      </c>
      <c r="D21" s="5" t="s">
        <v>189</v>
      </c>
      <c r="E21" s="5">
        <v>0</v>
      </c>
      <c r="F21" s="70">
        <v>48555</v>
      </c>
      <c r="G21" s="70">
        <v>31000</v>
      </c>
      <c r="H21" s="101">
        <v>7.6662903225806449</v>
      </c>
      <c r="I21" s="70">
        <v>24852.23</v>
      </c>
      <c r="J21" s="77">
        <v>73.187744138912848</v>
      </c>
      <c r="K21" s="5">
        <v>7</v>
      </c>
      <c r="L21" s="56">
        <v>6147.7705076686789</v>
      </c>
      <c r="M21" s="66">
        <v>0.80168482233326843</v>
      </c>
    </row>
    <row r="22" spans="1:13" x14ac:dyDescent="0.25">
      <c r="A22" s="76">
        <v>21</v>
      </c>
      <c r="B22">
        <v>39</v>
      </c>
      <c r="C22" t="s">
        <v>185</v>
      </c>
      <c r="D22" s="5" t="s">
        <v>189</v>
      </c>
      <c r="E22" s="5">
        <v>0</v>
      </c>
      <c r="F22" s="70">
        <v>57802.5</v>
      </c>
      <c r="G22" s="70">
        <v>50000</v>
      </c>
      <c r="H22" s="101">
        <v>4.9560500000000003</v>
      </c>
      <c r="I22" s="70">
        <v>40924.83</v>
      </c>
      <c r="J22" s="77">
        <v>108.03773502419601</v>
      </c>
      <c r="K22" s="5">
        <v>7</v>
      </c>
      <c r="L22" s="56">
        <v>9075.1697420324654</v>
      </c>
      <c r="M22" s="66">
        <v>0.81849660515935074</v>
      </c>
    </row>
    <row r="23" spans="1:13" x14ac:dyDescent="0.25">
      <c r="A23" s="76">
        <v>22</v>
      </c>
      <c r="B23">
        <v>39</v>
      </c>
      <c r="C23" t="s">
        <v>185</v>
      </c>
      <c r="D23" s="5" t="s">
        <v>7</v>
      </c>
      <c r="E23" s="5">
        <v>0</v>
      </c>
      <c r="F23" s="70">
        <v>57802.5</v>
      </c>
      <c r="G23" s="70">
        <v>50000</v>
      </c>
      <c r="H23" s="101">
        <v>7.2560500000000001</v>
      </c>
      <c r="I23" s="70">
        <v>16890.8</v>
      </c>
      <c r="J23" s="77">
        <v>394.15712536763249</v>
      </c>
      <c r="K23" s="5">
        <v>7</v>
      </c>
      <c r="L23" s="56">
        <v>33109.198530881127</v>
      </c>
      <c r="M23" s="66">
        <v>0.33781602938237743</v>
      </c>
    </row>
    <row r="24" spans="1:13" x14ac:dyDescent="0.25">
      <c r="A24" s="76">
        <v>23</v>
      </c>
      <c r="B24">
        <v>46</v>
      </c>
      <c r="C24" t="s">
        <v>179</v>
      </c>
      <c r="D24" s="5" t="s">
        <v>189</v>
      </c>
      <c r="E24" s="5">
        <v>4</v>
      </c>
      <c r="F24" s="70">
        <v>90700</v>
      </c>
      <c r="G24" s="70">
        <v>34500</v>
      </c>
      <c r="H24" s="101">
        <v>4.6506071288679989</v>
      </c>
      <c r="I24" s="70">
        <v>28597.15</v>
      </c>
      <c r="J24" s="77">
        <v>70.272045818243072</v>
      </c>
      <c r="K24" s="5">
        <v>7</v>
      </c>
      <c r="L24" s="56">
        <v>5902.8518487324181</v>
      </c>
      <c r="M24" s="12">
        <v>0.82890284496427769</v>
      </c>
    </row>
    <row r="25" spans="1:13" x14ac:dyDescent="0.25">
      <c r="A25" s="76">
        <v>24</v>
      </c>
      <c r="B25">
        <v>52</v>
      </c>
      <c r="C25" t="s">
        <v>137</v>
      </c>
      <c r="D25" s="5" t="s">
        <v>189</v>
      </c>
      <c r="E25" s="5">
        <v>0</v>
      </c>
      <c r="F25" s="70">
        <v>70500</v>
      </c>
      <c r="G25" s="70">
        <v>71000</v>
      </c>
      <c r="H25" s="101">
        <v>2.724665063552044</v>
      </c>
      <c r="I25" s="70">
        <v>41058.25</v>
      </c>
      <c r="J25" s="77">
        <v>356.44941958375733</v>
      </c>
      <c r="K25" s="5">
        <v>7</v>
      </c>
      <c r="L25" s="56">
        <v>29941.751245035615</v>
      </c>
      <c r="M25" s="66">
        <v>0.57828519373189269</v>
      </c>
    </row>
    <row r="26" spans="1:13" x14ac:dyDescent="0.25">
      <c r="A26" s="76">
        <v>25</v>
      </c>
      <c r="B26">
        <v>36</v>
      </c>
      <c r="C26" t="s">
        <v>150</v>
      </c>
      <c r="D26" s="5" t="s">
        <v>189</v>
      </c>
      <c r="E26" s="5">
        <v>3</v>
      </c>
      <c r="F26" s="70">
        <v>109125</v>
      </c>
      <c r="G26" s="70">
        <v>43000</v>
      </c>
      <c r="H26" s="101">
        <v>5.2732745686421607</v>
      </c>
      <c r="I26" s="70">
        <v>14654.33</v>
      </c>
      <c r="J26" s="77">
        <v>337.44849981988591</v>
      </c>
      <c r="K26" s="5">
        <v>7</v>
      </c>
      <c r="L26" s="56">
        <v>28345.673984870416</v>
      </c>
      <c r="M26" s="66">
        <v>0.34079827942161822</v>
      </c>
    </row>
    <row r="27" spans="1:13" x14ac:dyDescent="0.25">
      <c r="A27" s="76">
        <v>26</v>
      </c>
      <c r="B27">
        <v>36</v>
      </c>
      <c r="C27" t="s">
        <v>140</v>
      </c>
      <c r="D27" s="74" t="s">
        <v>189</v>
      </c>
      <c r="E27" s="5">
        <v>3</v>
      </c>
      <c r="F27" s="70">
        <v>109125</v>
      </c>
      <c r="G27" s="70">
        <v>43000</v>
      </c>
      <c r="H27" s="101">
        <v>5.2732745686421607</v>
      </c>
      <c r="I27" s="70">
        <v>35063.21</v>
      </c>
      <c r="J27" s="77">
        <v>94.485579949568049</v>
      </c>
      <c r="K27" s="5">
        <v>7</v>
      </c>
      <c r="L27" s="56">
        <v>7936.788715763716</v>
      </c>
      <c r="M27" s="12">
        <v>0.81542351823805315</v>
      </c>
    </row>
    <row r="28" spans="1:13" x14ac:dyDescent="0.25">
      <c r="A28" s="76">
        <v>27</v>
      </c>
      <c r="B28">
        <v>31</v>
      </c>
      <c r="C28" t="s">
        <v>182</v>
      </c>
      <c r="D28" s="5" t="s">
        <v>7</v>
      </c>
      <c r="E28" s="5">
        <v>0</v>
      </c>
      <c r="F28" s="71">
        <v>78000</v>
      </c>
      <c r="G28" s="70">
        <v>85000</v>
      </c>
      <c r="H28" s="101">
        <v>9.117647058823529</v>
      </c>
      <c r="I28" s="70">
        <v>17322.580000000002</v>
      </c>
      <c r="J28" s="77">
        <v>805.68356374807991</v>
      </c>
      <c r="K28" s="5">
        <v>7</v>
      </c>
      <c r="L28" s="56">
        <v>67677.419354838712</v>
      </c>
      <c r="M28" s="66">
        <v>0.20379506641366218</v>
      </c>
    </row>
    <row r="29" spans="1:13" x14ac:dyDescent="0.25">
      <c r="A29" s="76">
        <v>28</v>
      </c>
      <c r="B29">
        <v>43</v>
      </c>
      <c r="C29" t="s">
        <v>140</v>
      </c>
      <c r="D29" s="5" t="s">
        <v>189</v>
      </c>
      <c r="E29" s="5">
        <v>2</v>
      </c>
      <c r="F29" s="70">
        <v>71775</v>
      </c>
      <c r="G29" s="70">
        <v>40400</v>
      </c>
      <c r="H29" s="101">
        <v>6.108037482319661</v>
      </c>
      <c r="I29" s="70">
        <v>32059.99</v>
      </c>
      <c r="J29" s="77">
        <v>99.285880766699123</v>
      </c>
      <c r="K29" s="5">
        <v>7</v>
      </c>
      <c r="L29" s="56">
        <v>8340.0139844027253</v>
      </c>
      <c r="M29" s="12">
        <v>0.79356401028706125</v>
      </c>
    </row>
    <row r="30" spans="1:13" x14ac:dyDescent="0.25">
      <c r="A30" s="76">
        <v>29</v>
      </c>
      <c r="B30">
        <v>45</v>
      </c>
      <c r="C30" t="s">
        <v>173</v>
      </c>
      <c r="D30" s="5" t="s">
        <v>189</v>
      </c>
      <c r="E30" s="5">
        <v>2</v>
      </c>
      <c r="F30" s="70">
        <v>73750</v>
      </c>
      <c r="G30" s="70">
        <v>36800</v>
      </c>
      <c r="H30" s="101">
        <v>4.2798207678075855</v>
      </c>
      <c r="I30" s="70">
        <v>30135.58</v>
      </c>
      <c r="J30" s="77">
        <v>79.338363608739428</v>
      </c>
      <c r="K30" s="5">
        <v>7</v>
      </c>
      <c r="L30" s="56">
        <v>6664.4225431341119</v>
      </c>
      <c r="M30" s="12">
        <v>0.81890156132787739</v>
      </c>
    </row>
    <row r="31" spans="1:13" x14ac:dyDescent="0.25">
      <c r="A31" s="76"/>
      <c r="F31" s="70"/>
      <c r="G31" s="70"/>
      <c r="H31" s="101"/>
      <c r="I31" s="70"/>
      <c r="J31" s="77"/>
      <c r="L31" s="56"/>
      <c r="M31" s="66"/>
    </row>
    <row r="32" spans="1:13" x14ac:dyDescent="0.25">
      <c r="A32" s="76"/>
      <c r="F32" s="70"/>
      <c r="G32" s="70"/>
      <c r="H32" s="101"/>
      <c r="I32" s="70"/>
      <c r="J32" s="77"/>
      <c r="L32" s="56"/>
      <c r="M32" s="66"/>
    </row>
    <row r="33" spans="1:13" x14ac:dyDescent="0.25">
      <c r="A33" s="76"/>
      <c r="F33" s="70"/>
      <c r="G33" s="70"/>
      <c r="H33" s="101"/>
      <c r="I33" s="70"/>
      <c r="J33" s="77"/>
      <c r="L33" s="56"/>
      <c r="M33" s="66"/>
    </row>
    <row r="34" spans="1:13" x14ac:dyDescent="0.25">
      <c r="A34" s="76"/>
      <c r="F34" s="70"/>
      <c r="G34" s="70"/>
      <c r="H34" s="101"/>
      <c r="I34" s="70"/>
      <c r="J34" s="77"/>
      <c r="L34" s="56"/>
      <c r="M34" s="66"/>
    </row>
    <row r="35" spans="1:13" x14ac:dyDescent="0.25">
      <c r="A35" s="76"/>
      <c r="F35" s="70"/>
      <c r="G35" s="70"/>
      <c r="H35" s="101"/>
      <c r="I35" s="70"/>
      <c r="J35" s="77"/>
      <c r="L35" s="56"/>
      <c r="M35" s="66"/>
    </row>
    <row r="36" spans="1:13" x14ac:dyDescent="0.25">
      <c r="A36" s="76"/>
      <c r="F36" s="70"/>
      <c r="G36" s="70"/>
      <c r="H36" s="101"/>
      <c r="I36" s="70"/>
      <c r="J36" s="77"/>
      <c r="L36" s="56"/>
      <c r="M36" s="66"/>
    </row>
    <row r="37" spans="1:13" x14ac:dyDescent="0.25">
      <c r="A37" s="76"/>
      <c r="F37" s="70"/>
      <c r="G37" s="70"/>
      <c r="H37" s="101"/>
      <c r="I37" s="70"/>
      <c r="J37" s="77"/>
      <c r="L37" s="56"/>
      <c r="M37" s="66"/>
    </row>
    <row r="38" spans="1:13" x14ac:dyDescent="0.25">
      <c r="A38" s="76"/>
      <c r="F38" s="70"/>
      <c r="G38" s="70"/>
      <c r="H38" s="101"/>
      <c r="I38" s="70"/>
      <c r="J38" s="77"/>
      <c r="L38" s="56"/>
      <c r="M38" s="66"/>
    </row>
    <row r="39" spans="1:13" x14ac:dyDescent="0.25">
      <c r="A39" s="76"/>
      <c r="F39" s="70"/>
      <c r="G39" s="70"/>
      <c r="H39" s="101"/>
      <c r="I39" s="70"/>
      <c r="J39" s="77"/>
      <c r="L39" s="56"/>
      <c r="M39" s="66"/>
    </row>
    <row r="40" spans="1:13" x14ac:dyDescent="0.25">
      <c r="A40" s="76"/>
      <c r="F40" s="70"/>
      <c r="G40" s="70"/>
      <c r="H40" s="101"/>
      <c r="I40" s="70"/>
      <c r="J40" s="77"/>
      <c r="L40" s="56"/>
    </row>
    <row r="41" spans="1:13" x14ac:dyDescent="0.25">
      <c r="A41" s="76"/>
      <c r="F41" s="70"/>
      <c r="G41" s="70"/>
      <c r="H41" s="101"/>
      <c r="I41" s="70"/>
      <c r="J41" s="77"/>
      <c r="L41" s="56"/>
      <c r="M41" s="66"/>
    </row>
    <row r="42" spans="1:13" x14ac:dyDescent="0.25">
      <c r="A42" s="76"/>
      <c r="F42" s="70"/>
      <c r="G42" s="70"/>
      <c r="H42" s="101"/>
      <c r="I42" s="70"/>
      <c r="J42" s="77"/>
      <c r="L42" s="56"/>
    </row>
    <row r="43" spans="1:13" x14ac:dyDescent="0.25">
      <c r="A43" s="76"/>
      <c r="F43" s="70"/>
      <c r="G43" s="70"/>
      <c r="H43" s="101"/>
      <c r="I43" s="70"/>
      <c r="J43" s="77"/>
      <c r="L43" s="56"/>
      <c r="M43" s="66"/>
    </row>
    <row r="44" spans="1:13" x14ac:dyDescent="0.25">
      <c r="A44" s="76"/>
      <c r="F44" s="70"/>
      <c r="G44" s="70"/>
      <c r="H44" s="101"/>
      <c r="I44" s="70"/>
      <c r="J44" s="77"/>
      <c r="L44" s="56"/>
      <c r="M44" s="66"/>
    </row>
    <row r="45" spans="1:13" x14ac:dyDescent="0.25">
      <c r="A45" s="76"/>
      <c r="F45" s="70"/>
      <c r="G45" s="70"/>
      <c r="H45" s="101"/>
      <c r="I45" s="70"/>
      <c r="J45" s="77"/>
      <c r="L45" s="56"/>
    </row>
    <row r="46" spans="1:13" x14ac:dyDescent="0.25">
      <c r="A46" s="76"/>
      <c r="F46" s="70"/>
      <c r="G46" s="70"/>
      <c r="H46" s="101"/>
      <c r="I46" s="70"/>
      <c r="J46" s="77"/>
      <c r="L46" s="56"/>
      <c r="M46" s="66"/>
    </row>
    <row r="47" spans="1:13" x14ac:dyDescent="0.25">
      <c r="A47" s="76"/>
      <c r="F47" s="70"/>
      <c r="G47" s="70"/>
      <c r="H47" s="101"/>
      <c r="I47" s="70"/>
      <c r="J47" s="77"/>
      <c r="L47" s="56"/>
    </row>
    <row r="48" spans="1:13" x14ac:dyDescent="0.25">
      <c r="A48" s="76"/>
      <c r="D48" s="73"/>
      <c r="E48" s="44"/>
      <c r="F48" s="70"/>
      <c r="G48" s="70"/>
      <c r="H48" s="101"/>
      <c r="I48" s="70"/>
      <c r="J48" s="77"/>
      <c r="K48" s="45"/>
      <c r="L48" s="56"/>
      <c r="M48" s="66"/>
    </row>
    <row r="49" spans="1:13" x14ac:dyDescent="0.25">
      <c r="A49" s="76"/>
      <c r="F49" s="70"/>
      <c r="G49" s="70"/>
      <c r="H49" s="101"/>
      <c r="I49" s="70"/>
      <c r="J49" s="77"/>
      <c r="L49" s="56"/>
      <c r="M49" s="66"/>
    </row>
    <row r="50" spans="1:13" x14ac:dyDescent="0.25">
      <c r="A50" s="76"/>
      <c r="F50" s="70"/>
      <c r="G50" s="70"/>
      <c r="H50" s="101"/>
      <c r="I50" s="70"/>
      <c r="J50" s="77"/>
      <c r="L50" s="56"/>
      <c r="M50" s="66"/>
    </row>
    <row r="51" spans="1:13" x14ac:dyDescent="0.25">
      <c r="A51" s="76"/>
      <c r="F51" s="70"/>
      <c r="G51" s="70"/>
      <c r="H51" s="101"/>
      <c r="I51" s="70"/>
      <c r="J51" s="77"/>
      <c r="L51" s="56"/>
      <c r="M51" s="66"/>
    </row>
    <row r="52" spans="1:13" x14ac:dyDescent="0.25">
      <c r="A52" s="76"/>
      <c r="F52" s="70"/>
      <c r="G52" s="70"/>
      <c r="H52" s="101"/>
      <c r="I52" s="70"/>
      <c r="J52" s="77"/>
      <c r="L52" s="56"/>
    </row>
    <row r="53" spans="1:13" x14ac:dyDescent="0.25">
      <c r="A53" s="67"/>
      <c r="E53"/>
      <c r="F53" s="2"/>
      <c r="G53" s="2"/>
      <c r="H53" s="101"/>
      <c r="I53" s="2"/>
      <c r="J53" s="2"/>
      <c r="L53" s="56"/>
    </row>
    <row r="54" spans="1:13" x14ac:dyDescent="0.25">
      <c r="A54" s="67"/>
      <c r="E54"/>
      <c r="F54" s="2"/>
      <c r="G54" s="2"/>
      <c r="H54" s="101"/>
      <c r="I54" s="2"/>
      <c r="J54" s="2"/>
      <c r="L54" s="56"/>
    </row>
    <row r="55" spans="1:13" x14ac:dyDescent="0.25">
      <c r="A55" s="76"/>
      <c r="F55" s="70"/>
      <c r="G55" s="70"/>
      <c r="H55" s="70"/>
      <c r="I55" s="70"/>
      <c r="J55" s="77"/>
      <c r="L55" s="56"/>
    </row>
    <row r="56" spans="1:13" x14ac:dyDescent="0.25">
      <c r="A56" s="102"/>
      <c r="F56" s="70"/>
      <c r="G56" s="70"/>
      <c r="H56" s="70"/>
      <c r="I56" s="70"/>
      <c r="J56" s="77"/>
      <c r="L56" s="56"/>
    </row>
    <row r="57" spans="1:13" x14ac:dyDescent="0.25">
      <c r="A57" s="76"/>
      <c r="F57" s="70"/>
      <c r="G57" s="70"/>
      <c r="H57" s="70"/>
      <c r="I57" s="70"/>
      <c r="J57" s="77"/>
      <c r="L57" s="56"/>
    </row>
    <row r="58" spans="1:13" x14ac:dyDescent="0.25">
      <c r="A58" s="76"/>
      <c r="F58" s="70"/>
      <c r="G58" s="70"/>
      <c r="H58" s="70"/>
      <c r="I58" s="70"/>
      <c r="J58" s="77"/>
      <c r="L58" s="56"/>
    </row>
    <row r="59" spans="1:13" x14ac:dyDescent="0.25">
      <c r="A59" s="76"/>
      <c r="F59" s="70"/>
      <c r="G59" s="70"/>
      <c r="H59" s="70"/>
      <c r="I59" s="70"/>
      <c r="J59" s="77"/>
      <c r="L59" s="56"/>
    </row>
    <row r="60" spans="1:13" x14ac:dyDescent="0.25">
      <c r="A60" s="76"/>
      <c r="F60" s="70"/>
      <c r="G60" s="70"/>
      <c r="H60" s="70"/>
      <c r="I60" s="70"/>
      <c r="J60" s="77"/>
      <c r="L60" s="56"/>
    </row>
    <row r="61" spans="1:13" x14ac:dyDescent="0.25">
      <c r="A61" s="76"/>
      <c r="F61" s="70"/>
      <c r="G61" s="70"/>
      <c r="H61" s="70"/>
      <c r="I61" s="70"/>
      <c r="J61" s="77"/>
      <c r="L61" s="56"/>
    </row>
    <row r="62" spans="1:13" x14ac:dyDescent="0.25">
      <c r="A62" s="76"/>
      <c r="F62" s="70"/>
      <c r="G62" s="70"/>
      <c r="H62" s="70"/>
      <c r="I62" s="70"/>
      <c r="J62" s="77"/>
      <c r="L62" s="56"/>
    </row>
    <row r="63" spans="1:13" x14ac:dyDescent="0.25">
      <c r="A63" s="76"/>
      <c r="F63" s="70"/>
      <c r="G63" s="70"/>
      <c r="H63" s="70"/>
      <c r="I63" s="70"/>
      <c r="J63" s="77"/>
      <c r="L63" s="56"/>
    </row>
    <row r="64" spans="1:13" x14ac:dyDescent="0.25">
      <c r="A64" s="76"/>
      <c r="F64" s="70"/>
      <c r="G64" s="70"/>
      <c r="H64" s="70"/>
      <c r="I64" s="70"/>
      <c r="J64" s="77"/>
      <c r="L64" s="56"/>
    </row>
    <row r="65" spans="1:12" x14ac:dyDescent="0.25">
      <c r="A65" s="76"/>
      <c r="F65" s="70"/>
      <c r="G65" s="70"/>
      <c r="H65" s="70"/>
      <c r="I65" s="70"/>
      <c r="J65" s="77"/>
      <c r="L65" s="56"/>
    </row>
    <row r="66" spans="1:12" x14ac:dyDescent="0.25">
      <c r="A66" s="76"/>
      <c r="F66" s="70"/>
      <c r="G66" s="70"/>
      <c r="H66" s="70"/>
      <c r="I66" s="70"/>
      <c r="J66" s="77"/>
      <c r="L66" s="56"/>
    </row>
    <row r="67" spans="1:12" x14ac:dyDescent="0.25">
      <c r="A67" s="76"/>
      <c r="F67" s="70"/>
      <c r="G67" s="70"/>
      <c r="H67" s="70"/>
      <c r="I67" s="70"/>
      <c r="J67" s="77"/>
      <c r="L67" s="56"/>
    </row>
    <row r="68" spans="1:12" x14ac:dyDescent="0.25">
      <c r="A68" s="76"/>
      <c r="F68" s="70"/>
      <c r="G68" s="70"/>
      <c r="H68" s="70"/>
      <c r="I68" s="70"/>
      <c r="J68" s="77"/>
      <c r="L68" s="56"/>
    </row>
    <row r="69" spans="1:12" x14ac:dyDescent="0.25">
      <c r="A69" s="76"/>
      <c r="F69" s="70"/>
      <c r="G69" s="70"/>
      <c r="H69" s="70"/>
      <c r="I69" s="70"/>
      <c r="J69" s="77"/>
      <c r="L69" s="56"/>
    </row>
    <row r="70" spans="1:12" x14ac:dyDescent="0.25">
      <c r="A70" s="76"/>
      <c r="F70" s="70"/>
      <c r="G70" s="70"/>
      <c r="H70" s="70"/>
      <c r="I70" s="70"/>
      <c r="J70" s="77"/>
      <c r="L70" s="56"/>
    </row>
    <row r="71" spans="1:12" x14ac:dyDescent="0.25">
      <c r="A71" s="76"/>
      <c r="F71" s="70"/>
      <c r="G71" s="70"/>
      <c r="H71" s="70"/>
      <c r="I71" s="70"/>
      <c r="J71" s="77"/>
      <c r="L71" s="56"/>
    </row>
    <row r="72" spans="1:12" x14ac:dyDescent="0.25">
      <c r="A72" s="76"/>
      <c r="F72" s="70"/>
      <c r="G72" s="70"/>
      <c r="H72" s="70"/>
      <c r="I72" s="70"/>
      <c r="J72" s="77"/>
      <c r="L72" s="56"/>
    </row>
    <row r="73" spans="1:12" x14ac:dyDescent="0.25">
      <c r="A73" s="76"/>
      <c r="F73" s="70"/>
      <c r="G73" s="70"/>
      <c r="H73" s="70"/>
      <c r="I73" s="70"/>
      <c r="J73" s="77"/>
      <c r="L73" s="56"/>
    </row>
    <row r="74" spans="1:12" x14ac:dyDescent="0.25">
      <c r="A74" s="76"/>
      <c r="F74" s="70"/>
      <c r="G74" s="70"/>
      <c r="H74" s="70"/>
      <c r="I74" s="70"/>
      <c r="J74" s="77"/>
      <c r="L74" s="56"/>
    </row>
    <row r="75" spans="1:12" x14ac:dyDescent="0.25">
      <c r="A75" s="76"/>
      <c r="F75" s="70"/>
      <c r="G75" s="70"/>
      <c r="H75" s="70"/>
      <c r="I75" s="70"/>
      <c r="J75" s="77"/>
      <c r="L75" s="56"/>
    </row>
    <row r="76" spans="1:12" x14ac:dyDescent="0.25">
      <c r="A76" s="76"/>
      <c r="F76" s="70"/>
      <c r="G76" s="70"/>
      <c r="H76" s="70"/>
      <c r="I76" s="70"/>
      <c r="J76" s="77"/>
      <c r="L76" s="56"/>
    </row>
    <row r="77" spans="1:12" x14ac:dyDescent="0.25">
      <c r="A77" s="76"/>
      <c r="F77" s="70"/>
      <c r="G77" s="70"/>
      <c r="H77" s="70"/>
      <c r="I77" s="70"/>
      <c r="J77" s="77"/>
      <c r="L77" s="56"/>
    </row>
    <row r="78" spans="1:12" x14ac:dyDescent="0.25">
      <c r="A78" s="76"/>
      <c r="F78" s="70"/>
      <c r="G78" s="70"/>
      <c r="H78" s="70"/>
      <c r="I78" s="70"/>
      <c r="J78" s="77"/>
      <c r="L78" s="56"/>
    </row>
    <row r="79" spans="1:12" x14ac:dyDescent="0.25">
      <c r="A79" s="76"/>
      <c r="F79" s="70"/>
      <c r="G79" s="70"/>
      <c r="H79" s="70"/>
      <c r="I79" s="70"/>
      <c r="J79" s="77"/>
      <c r="L79" s="56"/>
    </row>
    <row r="80" spans="1:12" x14ac:dyDescent="0.25">
      <c r="A80" s="76"/>
      <c r="F80" s="70"/>
      <c r="G80" s="70"/>
      <c r="H80" s="70"/>
      <c r="I80" s="70"/>
      <c r="J80" s="77"/>
      <c r="L80" s="56"/>
    </row>
    <row r="81" spans="1:12" x14ac:dyDescent="0.25">
      <c r="A81" s="76"/>
      <c r="F81" s="70"/>
      <c r="G81" s="70"/>
      <c r="H81" s="70"/>
      <c r="I81" s="70"/>
      <c r="J81" s="77"/>
      <c r="L81" s="56"/>
    </row>
    <row r="82" spans="1:12" x14ac:dyDescent="0.25">
      <c r="A82" s="76"/>
      <c r="F82" s="70"/>
      <c r="G82" s="70"/>
      <c r="H82" s="70"/>
      <c r="I82" s="70"/>
      <c r="J82" s="77"/>
      <c r="L82" s="56"/>
    </row>
    <row r="83" spans="1:12" x14ac:dyDescent="0.25">
      <c r="A83" s="76"/>
      <c r="F83" s="70"/>
      <c r="G83" s="70"/>
      <c r="H83" s="70"/>
      <c r="I83" s="70"/>
      <c r="J83" s="77"/>
      <c r="L83" s="56"/>
    </row>
    <row r="84" spans="1:12" x14ac:dyDescent="0.25">
      <c r="A84" s="76"/>
      <c r="F84" s="70"/>
      <c r="G84" s="70"/>
      <c r="H84" s="70"/>
      <c r="I84" s="70"/>
      <c r="J84" s="77"/>
      <c r="L84" s="56"/>
    </row>
    <row r="85" spans="1:12" x14ac:dyDescent="0.25">
      <c r="A85" s="76"/>
      <c r="F85" s="70"/>
      <c r="G85" s="70"/>
      <c r="H85" s="70"/>
      <c r="I85" s="70"/>
      <c r="J85" s="77"/>
      <c r="L85" s="56"/>
    </row>
    <row r="86" spans="1:12" x14ac:dyDescent="0.25">
      <c r="A86" s="76"/>
      <c r="F86" s="70"/>
      <c r="G86" s="70"/>
      <c r="H86" s="70"/>
      <c r="I86" s="70"/>
      <c r="J86" s="77"/>
      <c r="L86" s="56"/>
    </row>
    <row r="87" spans="1:12" x14ac:dyDescent="0.25">
      <c r="A87" s="76"/>
      <c r="F87" s="70"/>
      <c r="G87" s="70"/>
      <c r="H87" s="70"/>
      <c r="I87" s="70"/>
      <c r="J87" s="77"/>
      <c r="L87" s="56"/>
    </row>
    <row r="88" spans="1:12" x14ac:dyDescent="0.25">
      <c r="A88" s="76"/>
      <c r="F88" s="70"/>
      <c r="G88" s="70"/>
      <c r="H88" s="70"/>
      <c r="I88" s="70"/>
      <c r="J88" s="77"/>
      <c r="L88" s="56"/>
    </row>
    <row r="89" spans="1:12" x14ac:dyDescent="0.25">
      <c r="A89" s="76"/>
      <c r="F89" s="70"/>
      <c r="G89" s="70"/>
      <c r="H89" s="70"/>
      <c r="I89" s="70"/>
      <c r="J89" s="77"/>
      <c r="L89" s="56"/>
    </row>
    <row r="90" spans="1:12" x14ac:dyDescent="0.25">
      <c r="A90" s="76"/>
      <c r="F90" s="70"/>
      <c r="G90" s="70"/>
      <c r="H90" s="70"/>
      <c r="I90" s="70"/>
      <c r="J90" s="77"/>
      <c r="L90" s="56"/>
    </row>
    <row r="91" spans="1:12" x14ac:dyDescent="0.25">
      <c r="A91" s="76"/>
      <c r="F91" s="70"/>
      <c r="G91" s="70"/>
      <c r="H91" s="70"/>
      <c r="I91" s="70"/>
      <c r="J91" s="77"/>
      <c r="L91" s="56"/>
    </row>
    <row r="92" spans="1:12" x14ac:dyDescent="0.25">
      <c r="A92" s="76"/>
      <c r="F92" s="70"/>
      <c r="G92" s="70"/>
      <c r="H92" s="70"/>
      <c r="I92" s="70"/>
      <c r="J92" s="77"/>
      <c r="L92" s="56"/>
    </row>
    <row r="93" spans="1:12" x14ac:dyDescent="0.25">
      <c r="A93" s="76"/>
      <c r="F93" s="70"/>
      <c r="G93" s="70"/>
      <c r="H93" s="70"/>
      <c r="I93" s="70"/>
      <c r="J93" s="77"/>
      <c r="L93" s="56"/>
    </row>
    <row r="94" spans="1:12" x14ac:dyDescent="0.25">
      <c r="A94" s="76"/>
      <c r="F94" s="70"/>
      <c r="G94" s="70"/>
      <c r="H94" s="70"/>
      <c r="I94" s="70"/>
      <c r="J94" s="77"/>
      <c r="L94" s="56"/>
    </row>
    <row r="95" spans="1:12" x14ac:dyDescent="0.25">
      <c r="A95" s="76"/>
      <c r="F95" s="70"/>
      <c r="G95" s="70"/>
      <c r="H95" s="70"/>
      <c r="I95" s="70"/>
      <c r="J95" s="77"/>
      <c r="L95" s="56"/>
    </row>
    <row r="96" spans="1:12" x14ac:dyDescent="0.25">
      <c r="A96" s="76"/>
      <c r="F96" s="70"/>
      <c r="G96" s="70"/>
      <c r="H96" s="70"/>
      <c r="I96" s="70"/>
      <c r="J96" s="77"/>
      <c r="L96" s="56"/>
    </row>
    <row r="97" spans="1:12" x14ac:dyDescent="0.25">
      <c r="A97" s="76"/>
      <c r="F97" s="70"/>
      <c r="G97" s="70"/>
      <c r="H97" s="70"/>
      <c r="I97" s="70"/>
      <c r="J97" s="77"/>
      <c r="L97" s="56"/>
    </row>
    <row r="98" spans="1:12" x14ac:dyDescent="0.25">
      <c r="A98" s="76"/>
      <c r="F98" s="70"/>
      <c r="G98" s="70"/>
      <c r="H98" s="70"/>
      <c r="I98" s="70"/>
      <c r="J98" s="77"/>
      <c r="L98" s="56"/>
    </row>
    <row r="99" spans="1:12" x14ac:dyDescent="0.25">
      <c r="A99" s="76"/>
      <c r="F99" s="70"/>
      <c r="G99" s="70"/>
      <c r="H99" s="70"/>
      <c r="I99" s="70"/>
      <c r="J99" s="77"/>
      <c r="L99" s="56"/>
    </row>
    <row r="100" spans="1:12" x14ac:dyDescent="0.25">
      <c r="A100" s="76"/>
      <c r="F100" s="70"/>
      <c r="G100" s="70"/>
      <c r="H100" s="70"/>
      <c r="I100" s="70"/>
      <c r="J100" s="77"/>
      <c r="L100" s="56"/>
    </row>
    <row r="101" spans="1:12" x14ac:dyDescent="0.25">
      <c r="A101" s="76"/>
      <c r="F101" s="70"/>
      <c r="G101" s="70"/>
      <c r="H101" s="70"/>
      <c r="I101" s="70"/>
      <c r="J101" s="77"/>
      <c r="L101" s="56"/>
    </row>
    <row r="102" spans="1:12" x14ac:dyDescent="0.25">
      <c r="A102" s="76"/>
      <c r="F102" s="70"/>
      <c r="G102" s="70"/>
      <c r="H102" s="70"/>
      <c r="I102" s="70"/>
      <c r="J102" s="77"/>
      <c r="L102" s="56"/>
    </row>
    <row r="103" spans="1:12" x14ac:dyDescent="0.25">
      <c r="A103" s="76"/>
      <c r="F103" s="70"/>
      <c r="G103" s="70"/>
      <c r="H103" s="70"/>
      <c r="I103" s="70"/>
      <c r="J103" s="77"/>
      <c r="L103" s="56"/>
    </row>
    <row r="104" spans="1:12" x14ac:dyDescent="0.25">
      <c r="A104" s="76"/>
      <c r="F104" s="70"/>
      <c r="G104" s="70"/>
      <c r="H104" s="70"/>
      <c r="I104" s="70"/>
      <c r="J104" s="77"/>
      <c r="L104" s="56"/>
    </row>
    <row r="105" spans="1:12" x14ac:dyDescent="0.25">
      <c r="A105" s="76"/>
      <c r="F105" s="70"/>
      <c r="G105" s="70"/>
      <c r="H105" s="70"/>
      <c r="I105" s="70"/>
      <c r="J105" s="77"/>
      <c r="L105" s="56"/>
    </row>
    <row r="106" spans="1:12" x14ac:dyDescent="0.25">
      <c r="A106" s="76"/>
      <c r="F106" s="70"/>
      <c r="G106" s="70"/>
      <c r="H106" s="70"/>
      <c r="I106" s="70"/>
      <c r="J106" s="77"/>
      <c r="L106" s="56"/>
    </row>
    <row r="107" spans="1:12" x14ac:dyDescent="0.25">
      <c r="A107" s="76"/>
      <c r="F107" s="70"/>
      <c r="G107" s="70"/>
      <c r="H107" s="70"/>
      <c r="I107" s="70"/>
      <c r="J107" s="77"/>
      <c r="L107" s="56"/>
    </row>
    <row r="108" spans="1:12" x14ac:dyDescent="0.25">
      <c r="A108" s="76"/>
      <c r="F108" s="70"/>
      <c r="G108" s="70"/>
      <c r="H108" s="70"/>
      <c r="I108" s="70"/>
      <c r="J108" s="77"/>
      <c r="L108" s="56"/>
    </row>
    <row r="109" spans="1:12" x14ac:dyDescent="0.25">
      <c r="A109" s="76"/>
      <c r="F109" s="70"/>
      <c r="G109" s="70"/>
      <c r="H109" s="70"/>
      <c r="I109" s="70"/>
      <c r="J109" s="77"/>
      <c r="L109" s="56"/>
    </row>
    <row r="110" spans="1:12" x14ac:dyDescent="0.25">
      <c r="A110" s="76"/>
      <c r="F110" s="70"/>
      <c r="G110" s="70"/>
      <c r="H110" s="70"/>
      <c r="I110" s="70"/>
      <c r="J110" s="77"/>
      <c r="L110" s="56"/>
    </row>
    <row r="111" spans="1:12" x14ac:dyDescent="0.25">
      <c r="A111" s="76"/>
      <c r="F111" s="70"/>
      <c r="G111" s="70"/>
      <c r="H111" s="70"/>
      <c r="I111" s="70"/>
      <c r="J111" s="77"/>
      <c r="L111" s="56"/>
    </row>
    <row r="112" spans="1:12" x14ac:dyDescent="0.25">
      <c r="A112" s="76"/>
      <c r="F112" s="70"/>
      <c r="G112" s="70"/>
      <c r="H112" s="70"/>
      <c r="I112" s="70"/>
      <c r="J112" s="77"/>
      <c r="L112" s="56"/>
    </row>
    <row r="113" spans="1:12" x14ac:dyDescent="0.25">
      <c r="A113" s="76"/>
      <c r="F113" s="70"/>
      <c r="G113" s="70"/>
      <c r="H113" s="70"/>
      <c r="I113" s="70"/>
      <c r="J113" s="77"/>
      <c r="L113" s="56"/>
    </row>
    <row r="114" spans="1:12" x14ac:dyDescent="0.25">
      <c r="A114" s="76"/>
      <c r="F114" s="70"/>
      <c r="G114" s="70"/>
      <c r="H114" s="70"/>
      <c r="I114" s="70"/>
      <c r="J114" s="77"/>
      <c r="L114" s="56"/>
    </row>
    <row r="115" spans="1:12" x14ac:dyDescent="0.25">
      <c r="A115" s="76"/>
      <c r="F115" s="70"/>
      <c r="G115" s="70"/>
      <c r="H115" s="70"/>
      <c r="I115" s="70"/>
      <c r="J115" s="77"/>
      <c r="L115" s="56"/>
    </row>
    <row r="116" spans="1:12" x14ac:dyDescent="0.25">
      <c r="A116" s="76"/>
      <c r="F116" s="70"/>
      <c r="G116" s="70"/>
      <c r="H116" s="70"/>
      <c r="I116" s="70"/>
      <c r="J116" s="77"/>
      <c r="L116" s="56"/>
    </row>
    <row r="117" spans="1:12" x14ac:dyDescent="0.25">
      <c r="A117" s="76"/>
      <c r="F117" s="70"/>
      <c r="G117" s="70"/>
      <c r="H117" s="70"/>
      <c r="I117" s="70"/>
      <c r="J117" s="77"/>
      <c r="L117" s="56"/>
    </row>
    <row r="118" spans="1:12" x14ac:dyDescent="0.25">
      <c r="A118" s="76"/>
      <c r="F118" s="70"/>
      <c r="G118" s="70"/>
      <c r="H118" s="70"/>
      <c r="I118" s="70"/>
      <c r="J118" s="77"/>
      <c r="L118" s="56"/>
    </row>
    <row r="119" spans="1:12" x14ac:dyDescent="0.25">
      <c r="A119" s="76"/>
      <c r="F119" s="70"/>
      <c r="G119" s="70"/>
      <c r="H119" s="70"/>
      <c r="I119" s="70"/>
      <c r="J119" s="77"/>
      <c r="L119" s="56"/>
    </row>
    <row r="120" spans="1:12" x14ac:dyDescent="0.25">
      <c r="A120" s="76"/>
      <c r="F120" s="70"/>
      <c r="G120" s="70"/>
      <c r="H120" s="70"/>
      <c r="I120" s="70"/>
      <c r="J120" s="77"/>
      <c r="L120" s="56"/>
    </row>
    <row r="121" spans="1:12" x14ac:dyDescent="0.25">
      <c r="A121" s="76"/>
      <c r="F121" s="70"/>
      <c r="G121" s="70"/>
      <c r="H121" s="70"/>
      <c r="I121" s="70"/>
      <c r="J121" s="77"/>
      <c r="L121" s="56"/>
    </row>
    <row r="122" spans="1:12" x14ac:dyDescent="0.25">
      <c r="A122" s="76"/>
      <c r="F122" s="70"/>
      <c r="G122" s="70"/>
      <c r="H122" s="70"/>
      <c r="I122" s="70"/>
      <c r="J122" s="77"/>
      <c r="L122" s="56"/>
    </row>
    <row r="123" spans="1:12" x14ac:dyDescent="0.25">
      <c r="A123" s="76"/>
      <c r="F123" s="70"/>
      <c r="G123" s="70"/>
      <c r="H123" s="70"/>
      <c r="I123" s="70"/>
      <c r="J123" s="77"/>
      <c r="L123" s="56"/>
    </row>
    <row r="124" spans="1:12" x14ac:dyDescent="0.25">
      <c r="A124" s="76"/>
      <c r="F124" s="70"/>
      <c r="G124" s="70"/>
      <c r="H124" s="70"/>
      <c r="I124" s="70"/>
      <c r="J124" s="77"/>
      <c r="L124" s="56"/>
    </row>
    <row r="125" spans="1:12" x14ac:dyDescent="0.25">
      <c r="A125" s="76"/>
      <c r="F125" s="70"/>
      <c r="G125" s="70"/>
      <c r="H125" s="70"/>
      <c r="I125" s="70"/>
      <c r="J125" s="77"/>
      <c r="L125" s="56"/>
    </row>
    <row r="126" spans="1:12" x14ac:dyDescent="0.25">
      <c r="A126" s="76"/>
      <c r="F126" s="70"/>
      <c r="G126" s="70"/>
      <c r="H126" s="70"/>
      <c r="I126" s="70"/>
      <c r="J126" s="77"/>
      <c r="L126" s="56"/>
    </row>
    <row r="127" spans="1:12" x14ac:dyDescent="0.25">
      <c r="A127" s="76"/>
      <c r="F127" s="70"/>
      <c r="G127" s="70"/>
      <c r="H127" s="70"/>
      <c r="I127" s="70"/>
      <c r="J127" s="77"/>
      <c r="L127" s="56"/>
    </row>
    <row r="128" spans="1:12" x14ac:dyDescent="0.25">
      <c r="A128" s="76"/>
      <c r="F128" s="70"/>
      <c r="G128" s="70"/>
      <c r="H128" s="70"/>
      <c r="I128" s="70"/>
      <c r="J128" s="77"/>
      <c r="L128" s="56"/>
    </row>
    <row r="129" spans="1:12" x14ac:dyDescent="0.25">
      <c r="A129" s="76"/>
      <c r="F129" s="70"/>
      <c r="G129" s="70"/>
      <c r="H129" s="70"/>
      <c r="I129" s="70"/>
      <c r="J129" s="77"/>
      <c r="L129" s="56"/>
    </row>
    <row r="130" spans="1:12" x14ac:dyDescent="0.25">
      <c r="A130" s="76"/>
      <c r="F130" s="70"/>
      <c r="G130" s="70"/>
      <c r="H130" s="70"/>
      <c r="I130" s="70"/>
      <c r="J130" s="77"/>
      <c r="L130" s="56"/>
    </row>
    <row r="131" spans="1:12" x14ac:dyDescent="0.25">
      <c r="A131" s="76"/>
      <c r="F131" s="70"/>
      <c r="G131" s="70"/>
      <c r="H131" s="70"/>
      <c r="I131" s="70"/>
      <c r="J131" s="77"/>
      <c r="L131" s="56"/>
    </row>
    <row r="132" spans="1:12" x14ac:dyDescent="0.25">
      <c r="A132" s="76"/>
      <c r="F132" s="70"/>
      <c r="G132" s="70"/>
      <c r="H132" s="70"/>
      <c r="I132" s="70"/>
      <c r="J132" s="77"/>
      <c r="L132" s="56"/>
    </row>
    <row r="133" spans="1:12" x14ac:dyDescent="0.25">
      <c r="A133" s="76"/>
      <c r="F133" s="70"/>
      <c r="G133" s="70"/>
      <c r="H133" s="70"/>
      <c r="I133" s="70"/>
      <c r="J133" s="77"/>
      <c r="L133" s="56"/>
    </row>
    <row r="134" spans="1:12" x14ac:dyDescent="0.25">
      <c r="A134" s="76"/>
      <c r="F134" s="70"/>
      <c r="G134" s="70"/>
      <c r="H134" s="70"/>
      <c r="I134" s="70"/>
      <c r="J134" s="77"/>
      <c r="L134" s="56"/>
    </row>
    <row r="135" spans="1:12" x14ac:dyDescent="0.25">
      <c r="A135" s="76"/>
      <c r="F135" s="70"/>
      <c r="G135" s="70"/>
      <c r="H135" s="70"/>
      <c r="I135" s="70"/>
      <c r="J135" s="77"/>
      <c r="L135" s="56"/>
    </row>
    <row r="136" spans="1:12" x14ac:dyDescent="0.25">
      <c r="A136" s="76"/>
      <c r="F136" s="70"/>
      <c r="G136" s="70"/>
      <c r="H136" s="70"/>
      <c r="I136" s="70"/>
      <c r="J136" s="77"/>
      <c r="L136" s="56"/>
    </row>
    <row r="137" spans="1:12" x14ac:dyDescent="0.25">
      <c r="A137" s="76"/>
      <c r="F137" s="70"/>
      <c r="G137" s="70"/>
      <c r="H137" s="70"/>
      <c r="I137" s="70"/>
      <c r="J137" s="77"/>
      <c r="L137" s="56"/>
    </row>
    <row r="138" spans="1:12" x14ac:dyDescent="0.25">
      <c r="A138" s="76"/>
      <c r="F138" s="70"/>
      <c r="G138" s="70"/>
      <c r="H138" s="70"/>
      <c r="I138" s="70"/>
      <c r="J138" s="77"/>
      <c r="L138" s="56"/>
    </row>
    <row r="139" spans="1:12" x14ac:dyDescent="0.25">
      <c r="A139" s="76"/>
      <c r="F139" s="70"/>
      <c r="G139" s="70"/>
      <c r="H139" s="70"/>
      <c r="I139" s="70"/>
      <c r="J139" s="77"/>
      <c r="L139" s="56"/>
    </row>
    <row r="140" spans="1:12" x14ac:dyDescent="0.25">
      <c r="A140" s="76"/>
      <c r="F140" s="70"/>
      <c r="G140" s="70"/>
      <c r="H140" s="70"/>
      <c r="I140" s="70"/>
      <c r="J140" s="55"/>
      <c r="L140" s="56"/>
    </row>
    <row r="141" spans="1:12" x14ac:dyDescent="0.25">
      <c r="A141" s="76"/>
      <c r="F141" s="70"/>
      <c r="G141" s="70"/>
      <c r="H141" s="70"/>
      <c r="I141" s="70"/>
      <c r="J141" s="55"/>
      <c r="L141" s="56"/>
    </row>
    <row r="142" spans="1:12" x14ac:dyDescent="0.25">
      <c r="A142" s="76"/>
      <c r="F142" s="70"/>
      <c r="G142" s="70"/>
      <c r="H142" s="70"/>
      <c r="I142" s="70"/>
      <c r="J142" s="55"/>
      <c r="L142" s="56"/>
    </row>
    <row r="143" spans="1:12" x14ac:dyDescent="0.25">
      <c r="A143" s="76"/>
      <c r="F143" s="70"/>
      <c r="G143" s="70"/>
      <c r="H143" s="70"/>
      <c r="I143" s="70"/>
      <c r="J143" s="55"/>
      <c r="L143" s="56"/>
    </row>
    <row r="144" spans="1:12" x14ac:dyDescent="0.25">
      <c r="A144" s="76"/>
      <c r="F144" s="70"/>
      <c r="G144" s="70"/>
      <c r="H144" s="70"/>
      <c r="I144" s="70"/>
      <c r="J144" s="55"/>
      <c r="L144" s="56"/>
    </row>
    <row r="145" spans="1:12" x14ac:dyDescent="0.25">
      <c r="A145" s="76"/>
      <c r="F145" s="70"/>
      <c r="G145" s="70"/>
      <c r="H145" s="70"/>
      <c r="I145" s="70"/>
      <c r="J145" s="55"/>
      <c r="L145" s="56"/>
    </row>
    <row r="146" spans="1:12" x14ac:dyDescent="0.25">
      <c r="A146" s="76"/>
      <c r="F146" s="70"/>
      <c r="G146" s="70"/>
      <c r="H146" s="70"/>
      <c r="I146" s="70"/>
      <c r="J146" s="55"/>
      <c r="L146" s="56"/>
    </row>
    <row r="147" spans="1:12" x14ac:dyDescent="0.25">
      <c r="A147" s="76"/>
      <c r="F147" s="70"/>
      <c r="G147" s="70"/>
      <c r="H147" s="70"/>
      <c r="I147" s="70"/>
      <c r="J147" s="55"/>
      <c r="L147" s="56"/>
    </row>
    <row r="148" spans="1:12" x14ac:dyDescent="0.25">
      <c r="A148" s="76"/>
      <c r="F148" s="70"/>
      <c r="G148" s="70"/>
      <c r="H148" s="70"/>
      <c r="I148" s="70"/>
      <c r="J148" s="55"/>
      <c r="L148" s="56"/>
    </row>
    <row r="149" spans="1:12" x14ac:dyDescent="0.25">
      <c r="A149" s="76"/>
      <c r="F149" s="70"/>
      <c r="G149" s="70"/>
      <c r="H149" s="70"/>
      <c r="I149" s="70"/>
      <c r="J149" s="55"/>
      <c r="L149" s="56"/>
    </row>
    <row r="150" spans="1:12" x14ac:dyDescent="0.25">
      <c r="A150" s="76"/>
      <c r="F150" s="70"/>
      <c r="G150" s="70"/>
      <c r="H150" s="70"/>
      <c r="I150" s="70"/>
      <c r="J150" s="55"/>
      <c r="L150" s="56"/>
    </row>
    <row r="151" spans="1:12" x14ac:dyDescent="0.25">
      <c r="A151" s="76"/>
      <c r="F151" s="70"/>
      <c r="G151" s="70"/>
      <c r="H151" s="70"/>
      <c r="I151" s="70"/>
      <c r="J151" s="55"/>
      <c r="L151" s="56"/>
    </row>
    <row r="152" spans="1:12" x14ac:dyDescent="0.25">
      <c r="A152" s="76"/>
      <c r="F152" s="70"/>
      <c r="G152" s="70"/>
      <c r="H152" s="70"/>
      <c r="I152" s="70"/>
      <c r="J152" s="55"/>
      <c r="L152" s="56"/>
    </row>
    <row r="153" spans="1:12" x14ac:dyDescent="0.25">
      <c r="A153" s="76"/>
      <c r="F153" s="70"/>
      <c r="G153" s="70"/>
      <c r="H153" s="70"/>
      <c r="I153" s="70"/>
      <c r="J153" s="55"/>
      <c r="L153" s="56"/>
    </row>
    <row r="154" spans="1:12" x14ac:dyDescent="0.25">
      <c r="A154" s="76"/>
      <c r="F154" s="70"/>
      <c r="G154" s="70"/>
      <c r="H154" s="70"/>
      <c r="I154" s="70"/>
      <c r="J154" s="55"/>
      <c r="L154" s="56"/>
    </row>
    <row r="155" spans="1:12" x14ac:dyDescent="0.25">
      <c r="A155" s="76"/>
      <c r="F155" s="70"/>
      <c r="G155" s="70"/>
      <c r="H155" s="70"/>
      <c r="I155" s="70"/>
      <c r="J155" s="55"/>
      <c r="L155" s="56"/>
    </row>
    <row r="156" spans="1:12" x14ac:dyDescent="0.25">
      <c r="A156" s="76"/>
      <c r="F156" s="70"/>
      <c r="G156" s="70"/>
      <c r="H156" s="70"/>
      <c r="I156" s="70"/>
      <c r="J156" s="55"/>
      <c r="L156" s="56"/>
    </row>
    <row r="157" spans="1:12" x14ac:dyDescent="0.25">
      <c r="A157" s="76"/>
      <c r="F157" s="70"/>
      <c r="G157" s="70"/>
      <c r="H157" s="70"/>
      <c r="I157" s="70"/>
      <c r="J157" s="55"/>
      <c r="L157" s="56"/>
    </row>
    <row r="158" spans="1:12" x14ac:dyDescent="0.25">
      <c r="A158" s="76"/>
      <c r="F158" s="70"/>
      <c r="G158" s="70"/>
      <c r="H158" s="70"/>
      <c r="I158" s="70"/>
      <c r="J158" s="55"/>
      <c r="L158" s="56"/>
    </row>
    <row r="159" spans="1:12" x14ac:dyDescent="0.25">
      <c r="A159" s="76"/>
      <c r="F159" s="70"/>
      <c r="G159" s="70"/>
      <c r="H159" s="70"/>
      <c r="I159" s="70"/>
      <c r="J159" s="55"/>
      <c r="L159" s="56"/>
    </row>
    <row r="160" spans="1:12" x14ac:dyDescent="0.25">
      <c r="A160" s="76"/>
      <c r="F160" s="70"/>
      <c r="G160" s="70"/>
      <c r="H160" s="70"/>
      <c r="I160" s="70"/>
      <c r="J160" s="55"/>
      <c r="L160" s="56"/>
    </row>
    <row r="161" spans="1:12" x14ac:dyDescent="0.25">
      <c r="A161" s="76"/>
      <c r="F161" s="70"/>
      <c r="G161" s="70"/>
      <c r="H161" s="70"/>
      <c r="I161" s="70"/>
      <c r="J161" s="55"/>
      <c r="L161" s="56"/>
    </row>
    <row r="162" spans="1:12" x14ac:dyDescent="0.25">
      <c r="A162" s="76"/>
      <c r="F162" s="70"/>
      <c r="G162" s="70"/>
      <c r="H162" s="70"/>
      <c r="I162" s="70"/>
      <c r="J162" s="55"/>
      <c r="L162" s="56"/>
    </row>
    <row r="163" spans="1:12" x14ac:dyDescent="0.25">
      <c r="A163" s="76"/>
      <c r="F163" s="70"/>
      <c r="G163" s="70"/>
      <c r="H163" s="70"/>
      <c r="I163" s="70"/>
      <c r="J163" s="55"/>
      <c r="L163" s="56"/>
    </row>
    <row r="164" spans="1:12" x14ac:dyDescent="0.25">
      <c r="A164" s="76"/>
      <c r="F164" s="70"/>
      <c r="G164" s="70"/>
      <c r="H164" s="70"/>
      <c r="I164" s="70"/>
      <c r="J164" s="55"/>
      <c r="L164" s="56"/>
    </row>
    <row r="165" spans="1:12" x14ac:dyDescent="0.25">
      <c r="A165" s="76"/>
      <c r="F165" s="70"/>
      <c r="G165" s="70"/>
      <c r="H165" s="70"/>
      <c r="I165" s="70"/>
      <c r="J165" s="55"/>
      <c r="L165" s="56"/>
    </row>
    <row r="166" spans="1:12" x14ac:dyDescent="0.25">
      <c r="A166" s="76"/>
      <c r="F166" s="70"/>
      <c r="G166" s="70"/>
      <c r="H166" s="70"/>
      <c r="I166" s="70"/>
      <c r="J166" s="55"/>
      <c r="L166" s="56"/>
    </row>
    <row r="167" spans="1:12" x14ac:dyDescent="0.25">
      <c r="A167" s="76"/>
      <c r="F167" s="70"/>
      <c r="G167" s="70"/>
      <c r="H167" s="70"/>
      <c r="I167" s="70"/>
      <c r="J167" s="55"/>
      <c r="L167" s="56"/>
    </row>
    <row r="168" spans="1:12" x14ac:dyDescent="0.25">
      <c r="A168" s="76"/>
      <c r="F168" s="70"/>
      <c r="G168" s="70"/>
      <c r="H168" s="70"/>
      <c r="I168" s="70"/>
      <c r="J168" s="55"/>
      <c r="L168" s="56"/>
    </row>
    <row r="169" spans="1:12" x14ac:dyDescent="0.25">
      <c r="A169" s="76"/>
      <c r="F169" s="70"/>
      <c r="G169" s="70"/>
      <c r="H169" s="70"/>
      <c r="I169" s="70"/>
      <c r="J169" s="55"/>
      <c r="L169" s="56"/>
    </row>
    <row r="170" spans="1:12" x14ac:dyDescent="0.25">
      <c r="A170" s="76"/>
      <c r="F170" s="70"/>
      <c r="G170" s="70"/>
      <c r="H170" s="70"/>
      <c r="I170" s="70"/>
      <c r="J170" s="55"/>
      <c r="L170" s="56"/>
    </row>
    <row r="171" spans="1:12" x14ac:dyDescent="0.25">
      <c r="A171" s="76"/>
      <c r="F171" s="70"/>
      <c r="G171" s="70"/>
      <c r="H171" s="70"/>
      <c r="I171" s="70"/>
      <c r="J171" s="55"/>
      <c r="L171" s="56"/>
    </row>
    <row r="172" spans="1:12" x14ac:dyDescent="0.25">
      <c r="A172" s="76"/>
      <c r="F172" s="70"/>
      <c r="G172" s="70"/>
      <c r="H172" s="70"/>
      <c r="I172" s="70"/>
      <c r="J172" s="55"/>
      <c r="L172" s="56"/>
    </row>
    <row r="173" spans="1:12" x14ac:dyDescent="0.25">
      <c r="A173" s="76"/>
      <c r="F173" s="70"/>
      <c r="G173" s="70"/>
      <c r="H173" s="70"/>
      <c r="I173" s="70"/>
      <c r="J173" s="55"/>
      <c r="L173" s="56"/>
    </row>
    <row r="174" spans="1:12" x14ac:dyDescent="0.25">
      <c r="A174" s="76"/>
      <c r="F174" s="70"/>
      <c r="G174" s="70"/>
      <c r="H174" s="70"/>
      <c r="I174" s="70"/>
      <c r="J174" s="55"/>
      <c r="L174" s="56"/>
    </row>
    <row r="175" spans="1:12" x14ac:dyDescent="0.25">
      <c r="A175" s="76"/>
      <c r="F175" s="70"/>
      <c r="G175" s="70"/>
      <c r="H175" s="70"/>
      <c r="I175" s="70"/>
      <c r="J175" s="55"/>
      <c r="L175" s="56"/>
    </row>
    <row r="176" spans="1:12" x14ac:dyDescent="0.25">
      <c r="A176" s="76"/>
      <c r="F176" s="70"/>
      <c r="G176" s="70"/>
      <c r="H176" s="70"/>
      <c r="I176" s="70"/>
      <c r="J176" s="55"/>
      <c r="L176" s="56"/>
    </row>
    <row r="177" spans="1:12" x14ac:dyDescent="0.25">
      <c r="A177" s="76"/>
      <c r="F177" s="70"/>
      <c r="G177" s="70"/>
      <c r="H177" s="70"/>
      <c r="I177" s="70"/>
      <c r="J177" s="55"/>
      <c r="L177" s="56"/>
    </row>
    <row r="178" spans="1:12" x14ac:dyDescent="0.25">
      <c r="A178" s="76"/>
      <c r="F178" s="70"/>
      <c r="G178" s="70"/>
      <c r="H178" s="70"/>
      <c r="I178" s="70"/>
      <c r="J178" s="55"/>
      <c r="L178" s="56"/>
    </row>
    <row r="179" spans="1:12" x14ac:dyDescent="0.25">
      <c r="A179" s="76"/>
      <c r="F179" s="70"/>
      <c r="G179" s="70"/>
      <c r="H179" s="70"/>
      <c r="I179" s="70"/>
      <c r="J179" s="55"/>
      <c r="L179" s="56"/>
    </row>
    <row r="180" spans="1:12" x14ac:dyDescent="0.25">
      <c r="A180" s="76"/>
      <c r="F180" s="70"/>
      <c r="G180" s="70"/>
      <c r="H180" s="70"/>
      <c r="I180" s="70"/>
      <c r="J180" s="55"/>
      <c r="L180" s="56"/>
    </row>
    <row r="181" spans="1:12" x14ac:dyDescent="0.25">
      <c r="A181" s="76"/>
      <c r="F181" s="70"/>
      <c r="G181" s="70"/>
      <c r="H181" s="70"/>
      <c r="I181" s="70"/>
      <c r="J181" s="55"/>
      <c r="L181" s="56"/>
    </row>
    <row r="182" spans="1:12" x14ac:dyDescent="0.25">
      <c r="A182" s="76"/>
      <c r="F182" s="70"/>
      <c r="G182" s="70"/>
      <c r="H182" s="70"/>
      <c r="I182" s="70"/>
      <c r="J182" s="55"/>
      <c r="L182" s="56"/>
    </row>
    <row r="183" spans="1:12" x14ac:dyDescent="0.25">
      <c r="A183" s="76"/>
      <c r="F183" s="70"/>
      <c r="G183" s="70"/>
      <c r="H183" s="70"/>
      <c r="I183" s="70"/>
      <c r="J183" s="55"/>
      <c r="L183" s="56"/>
    </row>
    <row r="184" spans="1:12" x14ac:dyDescent="0.25">
      <c r="A184" s="76"/>
      <c r="F184" s="70"/>
      <c r="G184" s="70"/>
      <c r="H184" s="70"/>
      <c r="I184" s="70"/>
      <c r="J184" s="55"/>
      <c r="L184" s="56"/>
    </row>
    <row r="185" spans="1:12" x14ac:dyDescent="0.25">
      <c r="A185" s="76"/>
      <c r="F185" s="70"/>
      <c r="G185" s="70"/>
      <c r="H185" s="70"/>
      <c r="I185" s="70"/>
      <c r="J185" s="55"/>
      <c r="L185" s="56"/>
    </row>
    <row r="186" spans="1:12" x14ac:dyDescent="0.25">
      <c r="A186" s="76"/>
      <c r="F186" s="70"/>
      <c r="G186" s="70"/>
      <c r="H186" s="70"/>
      <c r="I186" s="70"/>
      <c r="J186" s="55"/>
      <c r="L186" s="56"/>
    </row>
    <row r="187" spans="1:12" x14ac:dyDescent="0.25">
      <c r="A187" s="76"/>
      <c r="F187" s="70"/>
      <c r="G187" s="70"/>
      <c r="H187" s="70"/>
      <c r="I187" s="70"/>
      <c r="J187" s="55"/>
      <c r="L187" s="56"/>
    </row>
    <row r="188" spans="1:12" x14ac:dyDescent="0.25">
      <c r="A188" s="76"/>
      <c r="F188" s="70"/>
      <c r="G188" s="70"/>
      <c r="H188" s="70"/>
      <c r="I188" s="70"/>
      <c r="J188" s="55"/>
      <c r="L188" s="56"/>
    </row>
    <row r="189" spans="1:12" x14ac:dyDescent="0.25">
      <c r="A189" s="76"/>
      <c r="F189" s="70"/>
      <c r="G189" s="70"/>
      <c r="H189" s="70"/>
      <c r="I189" s="70"/>
      <c r="J189" s="55"/>
      <c r="L189" s="56"/>
    </row>
    <row r="190" spans="1:12" x14ac:dyDescent="0.25">
      <c r="A190" s="76"/>
      <c r="F190" s="70"/>
      <c r="G190" s="70"/>
      <c r="H190" s="70"/>
      <c r="I190" s="70"/>
      <c r="J190" s="55"/>
      <c r="L190" s="56"/>
    </row>
    <row r="191" spans="1:12" x14ac:dyDescent="0.25">
      <c r="A191" s="76"/>
      <c r="F191" s="70"/>
      <c r="G191" s="70"/>
      <c r="H191" s="70"/>
      <c r="I191" s="70"/>
      <c r="J191" s="55"/>
      <c r="L191" s="56"/>
    </row>
    <row r="192" spans="1:12" x14ac:dyDescent="0.25">
      <c r="A192" s="76"/>
      <c r="F192" s="70"/>
      <c r="G192" s="70"/>
      <c r="H192" s="70"/>
      <c r="I192" s="70"/>
      <c r="J192" s="55"/>
      <c r="L192" s="56"/>
    </row>
    <row r="193" spans="1:12" x14ac:dyDescent="0.25">
      <c r="A193" s="76"/>
      <c r="F193" s="70"/>
      <c r="G193" s="70"/>
      <c r="H193" s="70"/>
      <c r="I193" s="70"/>
      <c r="J193" s="55"/>
      <c r="L193" s="56"/>
    </row>
    <row r="194" spans="1:12" x14ac:dyDescent="0.25">
      <c r="A194" s="76"/>
      <c r="F194" s="70"/>
      <c r="G194" s="70"/>
      <c r="H194" s="70"/>
      <c r="I194" s="70"/>
      <c r="J194" s="55"/>
      <c r="L194" s="56"/>
    </row>
    <row r="195" spans="1:12" x14ac:dyDescent="0.25">
      <c r="A195" s="76"/>
      <c r="F195" s="70"/>
      <c r="G195" s="70"/>
      <c r="H195" s="70"/>
      <c r="I195" s="70"/>
      <c r="J195" s="55"/>
      <c r="L195" s="56"/>
    </row>
    <row r="196" spans="1:12" x14ac:dyDescent="0.25">
      <c r="A196" s="76"/>
      <c r="F196" s="70"/>
      <c r="G196" s="70"/>
      <c r="H196" s="70"/>
      <c r="I196" s="70"/>
      <c r="J196" s="55"/>
      <c r="L196" s="56"/>
    </row>
    <row r="197" spans="1:12" x14ac:dyDescent="0.25">
      <c r="A197" s="76"/>
      <c r="F197" s="70"/>
      <c r="G197" s="70"/>
      <c r="H197" s="70"/>
      <c r="I197" s="70"/>
      <c r="J197" s="55"/>
      <c r="L197" s="56"/>
    </row>
    <row r="198" spans="1:12" x14ac:dyDescent="0.25">
      <c r="A198" s="76"/>
      <c r="F198" s="70"/>
      <c r="G198" s="70"/>
      <c r="H198" s="70"/>
      <c r="I198" s="70"/>
      <c r="J198" s="55"/>
      <c r="L198" s="56"/>
    </row>
    <row r="199" spans="1:12" x14ac:dyDescent="0.25">
      <c r="A199" s="76"/>
      <c r="F199" s="70"/>
      <c r="G199" s="70"/>
      <c r="H199" s="70"/>
      <c r="I199" s="70"/>
      <c r="J199" s="55"/>
      <c r="L199" s="56"/>
    </row>
    <row r="200" spans="1:12" x14ac:dyDescent="0.25">
      <c r="A200" s="76"/>
      <c r="F200" s="70"/>
      <c r="G200" s="70"/>
      <c r="H200" s="70"/>
      <c r="I200" s="70"/>
      <c r="J200" s="55"/>
      <c r="L200" s="56"/>
    </row>
    <row r="201" spans="1:12" x14ac:dyDescent="0.25">
      <c r="A201" s="76"/>
      <c r="F201" s="70"/>
      <c r="G201" s="70"/>
      <c r="H201" s="70"/>
      <c r="I201" s="70"/>
      <c r="J201" s="55"/>
      <c r="L201" s="56"/>
    </row>
    <row r="202" spans="1:12" x14ac:dyDescent="0.25">
      <c r="A202" s="76"/>
      <c r="F202" s="70"/>
      <c r="G202" s="70"/>
      <c r="H202" s="70"/>
      <c r="I202" s="70"/>
      <c r="J202" s="55"/>
      <c r="L202" s="56"/>
    </row>
    <row r="203" spans="1:12" x14ac:dyDescent="0.25">
      <c r="A203" s="76"/>
      <c r="F203" s="70"/>
      <c r="G203" s="70"/>
      <c r="H203" s="70"/>
      <c r="I203" s="70"/>
      <c r="J203" s="55"/>
      <c r="L203" s="56"/>
    </row>
    <row r="204" spans="1:12" x14ac:dyDescent="0.25">
      <c r="A204" s="76"/>
      <c r="F204" s="70"/>
      <c r="G204" s="70"/>
      <c r="H204" s="70"/>
      <c r="I204" s="70"/>
      <c r="J204" s="55"/>
      <c r="L204" s="56"/>
    </row>
    <row r="205" spans="1:12" x14ac:dyDescent="0.25">
      <c r="A205" s="76"/>
      <c r="F205" s="70"/>
      <c r="G205" s="70"/>
      <c r="H205" s="70"/>
      <c r="I205" s="70"/>
      <c r="J205" s="55"/>
      <c r="L205" s="56"/>
    </row>
    <row r="206" spans="1:12" x14ac:dyDescent="0.25">
      <c r="A206" s="76"/>
      <c r="F206" s="70"/>
      <c r="G206" s="70"/>
      <c r="H206" s="70"/>
      <c r="I206" s="70"/>
      <c r="J206" s="55"/>
      <c r="L206" s="56"/>
    </row>
    <row r="207" spans="1:12" x14ac:dyDescent="0.25">
      <c r="A207" s="76"/>
      <c r="F207" s="70"/>
      <c r="G207" s="70"/>
      <c r="H207" s="70"/>
      <c r="I207" s="70"/>
      <c r="J207" s="55"/>
      <c r="L207" s="56"/>
    </row>
    <row r="208" spans="1:12" x14ac:dyDescent="0.25">
      <c r="A208" s="76"/>
      <c r="F208" s="70"/>
      <c r="G208" s="70"/>
      <c r="H208" s="70"/>
      <c r="I208" s="70"/>
      <c r="J208" s="55"/>
      <c r="L208" s="56"/>
    </row>
    <row r="209" spans="1:12" x14ac:dyDescent="0.25">
      <c r="A209" s="76"/>
      <c r="F209" s="70"/>
      <c r="G209" s="70"/>
      <c r="H209" s="70"/>
      <c r="I209" s="70"/>
      <c r="J209" s="55"/>
      <c r="L209" s="56"/>
    </row>
    <row r="210" spans="1:12" x14ac:dyDescent="0.25">
      <c r="A210" s="76"/>
      <c r="F210" s="70"/>
      <c r="G210" s="70"/>
      <c r="H210" s="70"/>
      <c r="I210" s="70"/>
      <c r="J210" s="55"/>
      <c r="L210" s="56"/>
    </row>
    <row r="211" spans="1:12" x14ac:dyDescent="0.25">
      <c r="A211" s="76"/>
      <c r="F211" s="70"/>
      <c r="G211" s="70"/>
      <c r="H211" s="70"/>
      <c r="I211" s="70"/>
      <c r="J211" s="55"/>
      <c r="L211" s="56"/>
    </row>
    <row r="212" spans="1:12" x14ac:dyDescent="0.25">
      <c r="A212" s="76"/>
      <c r="F212" s="70"/>
      <c r="G212" s="70"/>
      <c r="H212" s="70"/>
      <c r="I212" s="70"/>
      <c r="J212" s="55"/>
      <c r="L212" s="56"/>
    </row>
    <row r="213" spans="1:12" x14ac:dyDescent="0.25">
      <c r="A213" s="76"/>
      <c r="F213" s="70"/>
      <c r="G213" s="70"/>
      <c r="H213" s="70"/>
      <c r="I213" s="70"/>
      <c r="J213" s="55"/>
      <c r="L213" s="56"/>
    </row>
    <row r="214" spans="1:12" x14ac:dyDescent="0.25">
      <c r="A214" s="76"/>
      <c r="F214" s="70"/>
      <c r="G214" s="70"/>
      <c r="H214" s="70"/>
      <c r="I214" s="70"/>
      <c r="J214" s="55"/>
      <c r="L214" s="56"/>
    </row>
    <row r="215" spans="1:12" x14ac:dyDescent="0.25">
      <c r="A215" s="76"/>
      <c r="F215" s="70"/>
      <c r="G215" s="70"/>
      <c r="H215" s="70"/>
      <c r="I215" s="70"/>
      <c r="J215" s="55"/>
      <c r="L215" s="56"/>
    </row>
    <row r="216" spans="1:12" x14ac:dyDescent="0.25">
      <c r="A216" s="76"/>
      <c r="F216" s="70"/>
      <c r="G216" s="70"/>
      <c r="H216" s="70"/>
      <c r="I216" s="70"/>
      <c r="J216" s="55"/>
      <c r="L216" s="56"/>
    </row>
    <row r="217" spans="1:12" x14ac:dyDescent="0.25">
      <c r="A217" s="76"/>
      <c r="F217" s="70"/>
      <c r="G217" s="70"/>
      <c r="H217" s="70"/>
      <c r="I217" s="70"/>
      <c r="J217" s="55"/>
      <c r="L217" s="56"/>
    </row>
    <row r="218" spans="1:12" x14ac:dyDescent="0.25">
      <c r="A218" s="76"/>
      <c r="F218" s="70"/>
      <c r="G218" s="70"/>
      <c r="H218" s="70"/>
      <c r="I218" s="70"/>
      <c r="J218" s="55"/>
      <c r="L218" s="56"/>
    </row>
    <row r="219" spans="1:12" x14ac:dyDescent="0.25">
      <c r="A219" s="76"/>
      <c r="F219" s="70"/>
      <c r="G219" s="70"/>
      <c r="H219" s="70"/>
      <c r="I219" s="70"/>
      <c r="J219" s="55"/>
      <c r="L219" s="56"/>
    </row>
    <row r="220" spans="1:12" x14ac:dyDescent="0.25">
      <c r="A220" s="76"/>
      <c r="F220" s="70"/>
      <c r="G220" s="70"/>
      <c r="H220" s="70"/>
      <c r="I220" s="70"/>
      <c r="J220" s="55"/>
      <c r="L220" s="56"/>
    </row>
    <row r="221" spans="1:12" x14ac:dyDescent="0.25">
      <c r="A221" s="76"/>
      <c r="F221" s="70"/>
      <c r="G221" s="70"/>
      <c r="H221" s="70"/>
      <c r="I221" s="70"/>
      <c r="J221" s="55"/>
      <c r="L221" s="56"/>
    </row>
    <row r="222" spans="1:12" x14ac:dyDescent="0.25">
      <c r="A222" s="76"/>
      <c r="F222" s="70"/>
      <c r="G222" s="70"/>
      <c r="H222" s="70"/>
      <c r="I222" s="70"/>
      <c r="J222" s="55"/>
      <c r="L222" s="56"/>
    </row>
    <row r="223" spans="1:12" x14ac:dyDescent="0.25">
      <c r="A223" s="76"/>
      <c r="F223" s="70"/>
      <c r="G223" s="70"/>
      <c r="H223" s="70"/>
      <c r="I223" s="70"/>
      <c r="J223" s="55"/>
      <c r="L223" s="56"/>
    </row>
    <row r="224" spans="1:12" x14ac:dyDescent="0.25">
      <c r="A224" s="76"/>
      <c r="F224" s="70"/>
      <c r="G224" s="70"/>
      <c r="H224" s="70"/>
      <c r="I224" s="70"/>
      <c r="J224" s="55"/>
      <c r="L224" s="56"/>
    </row>
    <row r="225" spans="1:12" x14ac:dyDescent="0.25">
      <c r="A225" s="76"/>
      <c r="F225" s="70"/>
      <c r="G225" s="70"/>
      <c r="H225" s="70"/>
      <c r="I225" s="70"/>
      <c r="J225" s="55"/>
      <c r="L225" s="56"/>
    </row>
    <row r="226" spans="1:12" x14ac:dyDescent="0.25">
      <c r="A226" s="76"/>
      <c r="F226" s="70"/>
      <c r="G226" s="70"/>
      <c r="H226" s="70"/>
      <c r="I226" s="70"/>
      <c r="J226" s="55"/>
      <c r="L226" s="56"/>
    </row>
    <row r="227" spans="1:12" x14ac:dyDescent="0.25">
      <c r="A227" s="76"/>
      <c r="F227" s="70"/>
      <c r="G227" s="70"/>
      <c r="H227" s="70"/>
      <c r="I227" s="70"/>
      <c r="J227" s="55"/>
      <c r="L227" s="56"/>
    </row>
    <row r="228" spans="1:12" x14ac:dyDescent="0.25">
      <c r="A228" s="76"/>
      <c r="F228" s="70"/>
      <c r="G228" s="70"/>
      <c r="H228" s="70"/>
      <c r="I228" s="70"/>
      <c r="J228" s="55"/>
      <c r="L228" s="56"/>
    </row>
    <row r="229" spans="1:12" x14ac:dyDescent="0.25">
      <c r="A229" s="76"/>
      <c r="F229" s="70"/>
      <c r="G229" s="70"/>
      <c r="H229" s="70"/>
      <c r="I229" s="70"/>
      <c r="J229" s="55"/>
      <c r="L229" s="56"/>
    </row>
    <row r="230" spans="1:12" x14ac:dyDescent="0.25">
      <c r="A230" s="76"/>
      <c r="F230" s="70"/>
      <c r="G230" s="70"/>
      <c r="H230" s="70"/>
      <c r="I230" s="70"/>
      <c r="J230" s="55"/>
      <c r="L230" s="56"/>
    </row>
    <row r="231" spans="1:12" x14ac:dyDescent="0.25">
      <c r="A231" s="76"/>
      <c r="F231" s="70"/>
      <c r="G231" s="70"/>
      <c r="H231" s="70"/>
      <c r="I231" s="70"/>
      <c r="J231" s="55"/>
      <c r="L231" s="56"/>
    </row>
    <row r="232" spans="1:12" x14ac:dyDescent="0.25">
      <c r="A232" s="76"/>
      <c r="F232" s="70"/>
      <c r="G232" s="70"/>
      <c r="H232" s="70"/>
      <c r="I232" s="70"/>
      <c r="J232" s="55"/>
      <c r="L232" s="56"/>
    </row>
    <row r="233" spans="1:12" x14ac:dyDescent="0.25">
      <c r="A233" s="76"/>
      <c r="F233" s="70"/>
      <c r="G233" s="70"/>
      <c r="H233" s="70"/>
      <c r="I233" s="70"/>
      <c r="J233" s="55"/>
      <c r="L233" s="56"/>
    </row>
    <row r="234" spans="1:12" x14ac:dyDescent="0.25">
      <c r="A234" s="76"/>
      <c r="F234" s="70"/>
      <c r="G234" s="70"/>
      <c r="H234" s="70"/>
      <c r="I234" s="70"/>
      <c r="J234" s="55"/>
      <c r="L234" s="56"/>
    </row>
    <row r="235" spans="1:12" x14ac:dyDescent="0.25">
      <c r="A235" s="76"/>
      <c r="F235" s="70"/>
      <c r="G235" s="70"/>
      <c r="H235" s="70"/>
      <c r="I235" s="70"/>
      <c r="J235" s="55"/>
      <c r="L235" s="56"/>
    </row>
    <row r="236" spans="1:12" x14ac:dyDescent="0.25">
      <c r="A236" s="76"/>
      <c r="F236" s="70"/>
      <c r="G236" s="70"/>
      <c r="H236" s="70"/>
      <c r="I236" s="70"/>
      <c r="J236" s="55"/>
      <c r="L236" s="56"/>
    </row>
    <row r="237" spans="1:12" x14ac:dyDescent="0.25">
      <c r="A237" s="76"/>
      <c r="F237" s="70"/>
      <c r="G237" s="70"/>
      <c r="H237" s="70"/>
      <c r="I237" s="70"/>
      <c r="J237" s="55"/>
      <c r="L237" s="56"/>
    </row>
    <row r="238" spans="1:12" x14ac:dyDescent="0.25">
      <c r="A238" s="76"/>
      <c r="F238" s="70"/>
      <c r="G238" s="70"/>
      <c r="H238" s="70"/>
      <c r="I238" s="70"/>
      <c r="J238" s="55"/>
      <c r="L238" s="56"/>
    </row>
    <row r="239" spans="1:12" x14ac:dyDescent="0.25">
      <c r="A239" s="76"/>
      <c r="F239" s="70"/>
      <c r="G239" s="70"/>
      <c r="H239" s="70"/>
      <c r="I239" s="70"/>
      <c r="J239" s="55"/>
      <c r="L239" s="56"/>
    </row>
    <row r="240" spans="1:12" x14ac:dyDescent="0.25">
      <c r="A240" s="76"/>
      <c r="F240" s="70"/>
      <c r="G240" s="70"/>
      <c r="H240" s="70"/>
      <c r="I240" s="70"/>
      <c r="J240" s="55"/>
      <c r="L240" s="56"/>
    </row>
    <row r="241" spans="1:12" x14ac:dyDescent="0.25">
      <c r="A241" s="76"/>
      <c r="F241" s="70"/>
      <c r="G241" s="70"/>
      <c r="H241" s="70"/>
      <c r="I241" s="70"/>
      <c r="J241" s="55"/>
      <c r="L241" s="56"/>
    </row>
    <row r="242" spans="1:12" x14ac:dyDescent="0.25">
      <c r="A242" s="76"/>
      <c r="F242" s="70"/>
      <c r="G242" s="70"/>
      <c r="H242" s="70"/>
      <c r="I242" s="70"/>
      <c r="J242" s="55"/>
      <c r="L242" s="56"/>
    </row>
    <row r="243" spans="1:12" x14ac:dyDescent="0.25">
      <c r="A243" s="76"/>
      <c r="F243" s="70"/>
      <c r="G243" s="70"/>
      <c r="H243" s="70"/>
      <c r="I243" s="70"/>
      <c r="J243" s="55"/>
      <c r="L243" s="56"/>
    </row>
    <row r="244" spans="1:12" x14ac:dyDescent="0.25">
      <c r="A244" s="76"/>
      <c r="F244" s="70"/>
      <c r="G244" s="70"/>
      <c r="H244" s="70"/>
      <c r="I244" s="70"/>
      <c r="J244" s="55"/>
      <c r="L244" s="56"/>
    </row>
    <row r="245" spans="1:12" x14ac:dyDescent="0.25">
      <c r="A245" s="76"/>
      <c r="F245" s="70"/>
      <c r="G245" s="70"/>
      <c r="H245" s="70"/>
      <c r="I245" s="70"/>
      <c r="J245" s="55"/>
      <c r="L245" s="56"/>
    </row>
    <row r="246" spans="1:12" x14ac:dyDescent="0.25">
      <c r="A246" s="76"/>
      <c r="F246" s="70"/>
      <c r="G246" s="70"/>
      <c r="H246" s="70"/>
      <c r="I246" s="70"/>
      <c r="J246" s="55"/>
      <c r="L246" s="56"/>
    </row>
    <row r="247" spans="1:12" x14ac:dyDescent="0.25">
      <c r="A247" s="76"/>
      <c r="F247" s="70"/>
      <c r="G247" s="70"/>
      <c r="H247" s="70"/>
      <c r="I247" s="70"/>
      <c r="J247" s="55"/>
      <c r="L247" s="56"/>
    </row>
    <row r="248" spans="1:12" x14ac:dyDescent="0.25">
      <c r="A248" s="76"/>
      <c r="F248" s="70"/>
      <c r="G248" s="70"/>
      <c r="H248" s="70"/>
      <c r="I248" s="70"/>
      <c r="J248" s="55"/>
      <c r="L248" s="56"/>
    </row>
    <row r="249" spans="1:12" x14ac:dyDescent="0.25">
      <c r="A249" s="76"/>
      <c r="F249" s="70"/>
      <c r="G249" s="70"/>
      <c r="H249" s="70"/>
      <c r="I249" s="70"/>
      <c r="J249" s="55"/>
      <c r="L249" s="56"/>
    </row>
    <row r="250" spans="1:12" x14ac:dyDescent="0.25">
      <c r="A250" s="76"/>
      <c r="F250" s="70"/>
      <c r="G250" s="70"/>
      <c r="H250" s="70"/>
      <c r="I250" s="70"/>
      <c r="J250" s="55"/>
      <c r="L250" s="56"/>
    </row>
    <row r="251" spans="1:12" x14ac:dyDescent="0.25">
      <c r="A251" s="76"/>
      <c r="F251" s="70"/>
      <c r="G251" s="70"/>
      <c r="H251" s="70"/>
      <c r="I251" s="70"/>
      <c r="J251" s="55"/>
      <c r="L251" s="56"/>
    </row>
    <row r="252" spans="1:12" x14ac:dyDescent="0.25">
      <c r="A252" s="76"/>
      <c r="F252" s="70"/>
      <c r="G252" s="70"/>
      <c r="H252" s="70"/>
      <c r="I252" s="70"/>
      <c r="J252" s="55"/>
      <c r="L252" s="56"/>
    </row>
    <row r="253" spans="1:12" x14ac:dyDescent="0.25">
      <c r="A253" s="76"/>
      <c r="F253" s="70"/>
      <c r="G253" s="70"/>
      <c r="H253" s="70"/>
      <c r="I253" s="70"/>
      <c r="J253" s="55"/>
      <c r="L253" s="56"/>
    </row>
    <row r="254" spans="1:12" x14ac:dyDescent="0.25">
      <c r="A254" s="76"/>
      <c r="F254" s="70"/>
      <c r="G254" s="70"/>
      <c r="H254" s="70"/>
      <c r="I254" s="70"/>
      <c r="J254" s="55"/>
      <c r="L254" s="56"/>
    </row>
    <row r="255" spans="1:12" x14ac:dyDescent="0.25">
      <c r="A255" s="76"/>
      <c r="F255" s="70"/>
      <c r="G255" s="70"/>
      <c r="H255" s="70"/>
      <c r="I255" s="70"/>
      <c r="J255" s="55"/>
      <c r="L255" s="56"/>
    </row>
    <row r="256" spans="1:12" x14ac:dyDescent="0.25">
      <c r="A256" s="76"/>
      <c r="F256" s="70"/>
      <c r="G256" s="70"/>
      <c r="H256" s="70"/>
      <c r="I256" s="70"/>
      <c r="J256" s="55"/>
      <c r="L256" s="56"/>
    </row>
    <row r="257" spans="1:12" x14ac:dyDescent="0.25">
      <c r="A257" s="76"/>
      <c r="F257" s="70"/>
      <c r="G257" s="70"/>
      <c r="H257" s="70"/>
      <c r="I257" s="70"/>
      <c r="J257" s="55"/>
      <c r="L257" s="56"/>
    </row>
    <row r="258" spans="1:12" x14ac:dyDescent="0.25">
      <c r="A258" s="76"/>
      <c r="F258" s="70"/>
      <c r="G258" s="70"/>
      <c r="H258" s="70"/>
      <c r="I258" s="70"/>
      <c r="J258" s="55"/>
      <c r="L258" s="56"/>
    </row>
    <row r="259" spans="1:12" x14ac:dyDescent="0.25">
      <c r="A259" s="76"/>
      <c r="F259" s="70"/>
      <c r="G259" s="70"/>
      <c r="H259" s="70"/>
      <c r="I259" s="70"/>
      <c r="J259" s="55"/>
      <c r="L259" s="56"/>
    </row>
    <row r="260" spans="1:12" x14ac:dyDescent="0.25">
      <c r="A260" s="76"/>
      <c r="F260" s="70"/>
      <c r="G260" s="70"/>
      <c r="H260" s="70"/>
      <c r="I260" s="70"/>
      <c r="J260" s="55"/>
      <c r="L260" s="56"/>
    </row>
    <row r="261" spans="1:12" x14ac:dyDescent="0.25">
      <c r="A261" s="76"/>
      <c r="F261" s="70"/>
      <c r="G261" s="70"/>
      <c r="H261" s="70"/>
      <c r="I261" s="70"/>
      <c r="J261" s="55"/>
      <c r="L261" s="56"/>
    </row>
    <row r="262" spans="1:12" x14ac:dyDescent="0.25">
      <c r="A262" s="76"/>
      <c r="F262" s="70"/>
      <c r="G262" s="70"/>
      <c r="H262" s="70"/>
      <c r="I262" s="70"/>
      <c r="J262" s="55"/>
      <c r="L262" s="56"/>
    </row>
    <row r="263" spans="1:12" x14ac:dyDescent="0.25">
      <c r="A263" s="76"/>
      <c r="F263" s="70"/>
      <c r="G263" s="70"/>
      <c r="H263" s="70"/>
      <c r="I263" s="70"/>
      <c r="J263" s="55"/>
      <c r="L263" s="56"/>
    </row>
    <row r="264" spans="1:12" x14ac:dyDescent="0.25">
      <c r="A264" s="76"/>
      <c r="F264" s="70"/>
      <c r="G264" s="70"/>
      <c r="H264" s="70"/>
      <c r="I264" s="70"/>
      <c r="J264" s="55"/>
      <c r="L264" s="56"/>
    </row>
    <row r="265" spans="1:12" x14ac:dyDescent="0.25">
      <c r="A265" s="76"/>
      <c r="F265" s="70"/>
      <c r="G265" s="70"/>
      <c r="H265" s="70"/>
      <c r="I265" s="70"/>
      <c r="J265" s="55"/>
      <c r="L265" s="56"/>
    </row>
    <row r="266" spans="1:12" x14ac:dyDescent="0.25">
      <c r="A266" s="76"/>
      <c r="F266" s="70"/>
      <c r="G266" s="70"/>
      <c r="H266" s="70"/>
      <c r="I266" s="70"/>
      <c r="J266" s="55"/>
      <c r="L266" s="56"/>
    </row>
    <row r="267" spans="1:12" x14ac:dyDescent="0.25">
      <c r="A267" s="76"/>
      <c r="F267" s="70"/>
      <c r="G267" s="70"/>
      <c r="H267" s="70"/>
      <c r="I267" s="70"/>
      <c r="J267" s="55"/>
      <c r="L267" s="56"/>
    </row>
    <row r="268" spans="1:12" x14ac:dyDescent="0.25">
      <c r="A268" s="76"/>
      <c r="F268" s="70"/>
      <c r="G268" s="70"/>
      <c r="H268" s="70"/>
      <c r="I268" s="70"/>
      <c r="J268" s="55"/>
      <c r="L268" s="56"/>
    </row>
    <row r="269" spans="1:12" x14ac:dyDescent="0.25">
      <c r="A269" s="76"/>
      <c r="F269" s="70"/>
      <c r="G269" s="70"/>
      <c r="H269" s="70"/>
      <c r="I269" s="70"/>
      <c r="J269" s="55"/>
      <c r="L269" s="56"/>
    </row>
    <row r="270" spans="1:12" x14ac:dyDescent="0.25">
      <c r="A270" s="76"/>
      <c r="F270" s="70"/>
      <c r="G270" s="70"/>
      <c r="H270" s="70"/>
      <c r="I270" s="70"/>
      <c r="J270" s="55"/>
      <c r="L270" s="56"/>
    </row>
    <row r="271" spans="1:12" x14ac:dyDescent="0.25">
      <c r="A271" s="76"/>
      <c r="F271" s="70"/>
      <c r="G271" s="70"/>
      <c r="H271" s="70"/>
      <c r="I271" s="70"/>
      <c r="J271" s="55"/>
      <c r="L271" s="56"/>
    </row>
    <row r="272" spans="1:12" x14ac:dyDescent="0.25">
      <c r="A272" s="76"/>
      <c r="F272" s="70"/>
      <c r="G272" s="70"/>
      <c r="H272" s="70"/>
      <c r="I272" s="70"/>
      <c r="J272" s="55"/>
      <c r="L272" s="56"/>
    </row>
    <row r="273" spans="1:12" x14ac:dyDescent="0.25">
      <c r="A273" s="76"/>
      <c r="F273" s="70"/>
      <c r="G273" s="70"/>
      <c r="H273" s="70"/>
      <c r="I273" s="70"/>
      <c r="J273" s="55"/>
      <c r="L273" s="56"/>
    </row>
    <row r="274" spans="1:12" x14ac:dyDescent="0.25">
      <c r="A274" s="76"/>
      <c r="F274" s="70"/>
      <c r="G274" s="70"/>
      <c r="H274" s="70"/>
      <c r="I274" s="70"/>
      <c r="J274" s="55"/>
      <c r="L274" s="56"/>
    </row>
    <row r="275" spans="1:12" x14ac:dyDescent="0.25">
      <c r="A275" s="76"/>
      <c r="F275" s="70"/>
      <c r="G275" s="70"/>
      <c r="H275" s="70"/>
      <c r="I275" s="70"/>
      <c r="J275" s="55"/>
      <c r="L275" s="56"/>
    </row>
    <row r="276" spans="1:12" x14ac:dyDescent="0.25">
      <c r="A276" s="76"/>
      <c r="F276" s="70"/>
      <c r="G276" s="70"/>
      <c r="H276" s="70"/>
      <c r="I276" s="70"/>
      <c r="J276" s="55"/>
      <c r="L276" s="56"/>
    </row>
    <row r="277" spans="1:12" x14ac:dyDescent="0.25">
      <c r="A277" s="76"/>
      <c r="F277" s="70"/>
      <c r="G277" s="70"/>
      <c r="H277" s="70"/>
      <c r="I277" s="70"/>
      <c r="J277" s="55"/>
      <c r="L277" s="56"/>
    </row>
    <row r="278" spans="1:12" x14ac:dyDescent="0.25">
      <c r="A278" s="76"/>
      <c r="F278" s="70"/>
      <c r="G278" s="70"/>
      <c r="H278" s="70"/>
      <c r="I278" s="70"/>
      <c r="J278" s="55"/>
      <c r="L278" s="56"/>
    </row>
    <row r="279" spans="1:12" x14ac:dyDescent="0.25">
      <c r="A279" s="76"/>
      <c r="F279" s="70"/>
      <c r="G279" s="70"/>
      <c r="H279" s="70"/>
      <c r="I279" s="70"/>
      <c r="J279" s="55"/>
      <c r="L279" s="56"/>
    </row>
    <row r="280" spans="1:12" x14ac:dyDescent="0.25">
      <c r="A280" s="76"/>
      <c r="F280" s="70"/>
      <c r="G280" s="70"/>
      <c r="H280" s="70"/>
      <c r="I280" s="70"/>
      <c r="J280" s="55"/>
      <c r="L280" s="56"/>
    </row>
    <row r="281" spans="1:12" x14ac:dyDescent="0.25">
      <c r="A281" s="76"/>
      <c r="F281" s="70"/>
      <c r="G281" s="70"/>
      <c r="H281" s="70"/>
      <c r="I281" s="70"/>
      <c r="J281" s="55"/>
      <c r="L281" s="56"/>
    </row>
    <row r="282" spans="1:12" x14ac:dyDescent="0.25">
      <c r="A282" s="76"/>
      <c r="F282" s="70"/>
      <c r="G282" s="70"/>
      <c r="H282" s="70"/>
      <c r="I282" s="70"/>
      <c r="J282" s="55"/>
      <c r="L282" s="56"/>
    </row>
    <row r="283" spans="1:12" x14ac:dyDescent="0.25">
      <c r="A283" s="76"/>
      <c r="F283" s="70"/>
      <c r="G283" s="70"/>
      <c r="H283" s="70"/>
      <c r="I283" s="70"/>
      <c r="J283" s="55"/>
      <c r="L283" s="56"/>
    </row>
    <row r="284" spans="1:12" x14ac:dyDescent="0.25">
      <c r="A284" s="76"/>
      <c r="F284" s="70"/>
      <c r="G284" s="70"/>
      <c r="H284" s="70"/>
      <c r="I284" s="70"/>
      <c r="J284" s="55"/>
      <c r="L284" s="56"/>
    </row>
    <row r="285" spans="1:12" x14ac:dyDescent="0.25">
      <c r="A285" s="76"/>
      <c r="F285" s="70"/>
      <c r="G285" s="70"/>
      <c r="H285" s="70"/>
      <c r="I285" s="70"/>
      <c r="J285" s="55"/>
      <c r="L285" s="56"/>
    </row>
    <row r="286" spans="1:12" x14ac:dyDescent="0.25">
      <c r="A286" s="76"/>
      <c r="F286" s="70"/>
      <c r="G286" s="70"/>
      <c r="H286" s="70"/>
      <c r="I286" s="70"/>
      <c r="J286" s="55"/>
      <c r="L286" s="56"/>
    </row>
    <row r="287" spans="1:12" x14ac:dyDescent="0.25">
      <c r="A287" s="76"/>
      <c r="F287" s="70"/>
      <c r="G287" s="70"/>
      <c r="H287" s="70"/>
      <c r="I287" s="70"/>
      <c r="J287" s="55"/>
      <c r="L287" s="56"/>
    </row>
    <row r="288" spans="1:12" x14ac:dyDescent="0.25">
      <c r="A288" s="76"/>
      <c r="F288" s="70"/>
      <c r="G288" s="70"/>
      <c r="H288" s="70"/>
      <c r="I288" s="70"/>
      <c r="J288" s="55"/>
      <c r="L288" s="56"/>
    </row>
    <row r="289" spans="1:12" x14ac:dyDescent="0.25">
      <c r="A289" s="76"/>
      <c r="F289" s="70"/>
      <c r="G289" s="70"/>
      <c r="H289" s="70"/>
      <c r="I289" s="70"/>
      <c r="J289" s="55"/>
      <c r="L289" s="56"/>
    </row>
    <row r="290" spans="1:12" x14ac:dyDescent="0.25">
      <c r="A290" s="76"/>
      <c r="F290" s="70"/>
      <c r="G290" s="70"/>
      <c r="H290" s="70"/>
      <c r="I290" s="70"/>
      <c r="J290" s="55"/>
      <c r="L290" s="56"/>
    </row>
    <row r="291" spans="1:12" x14ac:dyDescent="0.25">
      <c r="A291" s="76"/>
      <c r="F291" s="70"/>
      <c r="G291" s="70"/>
      <c r="H291" s="70"/>
      <c r="I291" s="70"/>
      <c r="J291" s="55"/>
      <c r="L291" s="56"/>
    </row>
    <row r="292" spans="1:12" x14ac:dyDescent="0.25">
      <c r="A292" s="76"/>
      <c r="F292" s="70"/>
      <c r="G292" s="70"/>
      <c r="H292" s="70"/>
      <c r="I292" s="70"/>
      <c r="J292" s="55"/>
      <c r="L292" s="56"/>
    </row>
    <row r="293" spans="1:12" x14ac:dyDescent="0.25">
      <c r="A293" s="76"/>
      <c r="F293" s="70"/>
      <c r="G293" s="70"/>
      <c r="H293" s="70"/>
      <c r="I293" s="70"/>
      <c r="J293" s="55"/>
      <c r="L293" s="56"/>
    </row>
    <row r="294" spans="1:12" x14ac:dyDescent="0.25">
      <c r="A294" s="76"/>
      <c r="F294" s="70"/>
      <c r="G294" s="70"/>
      <c r="H294" s="70"/>
      <c r="I294" s="70"/>
      <c r="J294" s="55"/>
      <c r="L294" s="56"/>
    </row>
    <row r="295" spans="1:12" x14ac:dyDescent="0.25">
      <c r="A295" s="76"/>
      <c r="F295" s="70"/>
      <c r="G295" s="70"/>
      <c r="H295" s="70"/>
      <c r="I295" s="70"/>
      <c r="J295" s="55"/>
      <c r="L295" s="56"/>
    </row>
    <row r="296" spans="1:12" x14ac:dyDescent="0.25">
      <c r="A296" s="76"/>
      <c r="F296" s="70"/>
      <c r="G296" s="70"/>
      <c r="H296" s="70"/>
      <c r="I296" s="70"/>
      <c r="J296" s="55"/>
      <c r="L296" s="56"/>
    </row>
    <row r="297" spans="1:12" x14ac:dyDescent="0.25">
      <c r="A297" s="76"/>
      <c r="F297" s="70"/>
      <c r="G297" s="70"/>
      <c r="H297" s="70"/>
      <c r="I297" s="70"/>
      <c r="J297" s="55"/>
      <c r="L297" s="56"/>
    </row>
    <row r="298" spans="1:12" x14ac:dyDescent="0.25">
      <c r="A298" s="76"/>
      <c r="F298" s="70"/>
      <c r="G298" s="70"/>
      <c r="H298" s="70"/>
      <c r="I298" s="70"/>
      <c r="J298" s="55"/>
      <c r="L298" s="56"/>
    </row>
    <row r="299" spans="1:12" x14ac:dyDescent="0.25">
      <c r="A299" s="76"/>
      <c r="F299" s="70"/>
      <c r="G299" s="70"/>
      <c r="H299" s="70"/>
      <c r="I299" s="70"/>
      <c r="J299" s="55"/>
      <c r="L299" s="56"/>
    </row>
    <row r="300" spans="1:12" x14ac:dyDescent="0.25">
      <c r="A300" s="76"/>
      <c r="F300" s="70"/>
      <c r="G300" s="70"/>
      <c r="H300" s="70"/>
      <c r="I300" s="70"/>
      <c r="J300" s="55"/>
      <c r="L300" s="56"/>
    </row>
    <row r="301" spans="1:12" x14ac:dyDescent="0.25">
      <c r="A301" s="76"/>
      <c r="F301" s="70"/>
      <c r="G301" s="70"/>
      <c r="H301" s="70"/>
      <c r="I301" s="70"/>
      <c r="J301" s="55"/>
      <c r="L301" s="56"/>
    </row>
    <row r="302" spans="1:12" x14ac:dyDescent="0.25">
      <c r="A302" s="76"/>
      <c r="F302" s="70"/>
      <c r="G302" s="70"/>
      <c r="H302" s="70"/>
      <c r="I302" s="70"/>
      <c r="J302" s="55"/>
      <c r="L302" s="56"/>
    </row>
    <row r="303" spans="1:12" x14ac:dyDescent="0.25">
      <c r="A303" s="76"/>
      <c r="F303" s="70"/>
      <c r="G303" s="70"/>
      <c r="H303" s="70"/>
      <c r="I303" s="70"/>
      <c r="J303" s="55"/>
      <c r="L303" s="56"/>
    </row>
    <row r="304" spans="1:12" x14ac:dyDescent="0.25">
      <c r="A304" s="76"/>
      <c r="F304" s="70"/>
      <c r="G304" s="70"/>
      <c r="H304" s="70"/>
      <c r="I304" s="70"/>
      <c r="J304" s="55"/>
      <c r="L304" s="56"/>
    </row>
    <row r="305" spans="1:12" x14ac:dyDescent="0.25">
      <c r="A305" s="76"/>
      <c r="F305" s="70"/>
      <c r="G305" s="70"/>
      <c r="H305" s="70"/>
      <c r="I305" s="70"/>
      <c r="J305" s="55"/>
      <c r="L305" s="56"/>
    </row>
    <row r="306" spans="1:12" x14ac:dyDescent="0.25">
      <c r="A306" s="76"/>
      <c r="F306" s="70"/>
      <c r="G306" s="70"/>
      <c r="H306" s="70"/>
      <c r="I306" s="70"/>
      <c r="J306" s="55"/>
      <c r="L306" s="56"/>
    </row>
    <row r="307" spans="1:12" x14ac:dyDescent="0.25">
      <c r="A307" s="76"/>
      <c r="F307" s="70"/>
      <c r="G307" s="70"/>
      <c r="H307" s="70"/>
      <c r="I307" s="70"/>
      <c r="J307" s="55"/>
      <c r="L307" s="56"/>
    </row>
    <row r="308" spans="1:12" x14ac:dyDescent="0.25">
      <c r="A308" s="76"/>
      <c r="F308" s="70"/>
      <c r="G308" s="70"/>
      <c r="H308" s="70"/>
      <c r="I308" s="70"/>
      <c r="J308" s="55"/>
      <c r="L308" s="56"/>
    </row>
    <row r="309" spans="1:12" x14ac:dyDescent="0.25">
      <c r="A309" s="76"/>
      <c r="F309" s="70"/>
      <c r="G309" s="70"/>
      <c r="H309" s="70"/>
      <c r="I309" s="70"/>
      <c r="J309" s="55"/>
      <c r="L309" s="56"/>
    </row>
    <row r="310" spans="1:12" x14ac:dyDescent="0.25">
      <c r="A310" s="76"/>
      <c r="F310" s="70"/>
      <c r="G310" s="70"/>
      <c r="H310" s="70"/>
      <c r="I310" s="70"/>
      <c r="J310" s="55"/>
      <c r="L310" s="56"/>
    </row>
    <row r="311" spans="1:12" x14ac:dyDescent="0.25">
      <c r="A311" s="76"/>
      <c r="F311" s="70"/>
      <c r="G311" s="70"/>
      <c r="H311" s="70"/>
      <c r="I311" s="70"/>
      <c r="J311" s="55"/>
      <c r="L311" s="56"/>
    </row>
    <row r="312" spans="1:12" x14ac:dyDescent="0.25">
      <c r="A312" s="76"/>
      <c r="F312" s="70"/>
      <c r="G312" s="70"/>
      <c r="H312" s="70"/>
      <c r="I312" s="70"/>
      <c r="J312" s="55"/>
      <c r="L312" s="56"/>
    </row>
    <row r="313" spans="1:12" x14ac:dyDescent="0.25">
      <c r="A313" s="76"/>
      <c r="F313" s="70"/>
      <c r="G313" s="70"/>
      <c r="H313" s="70"/>
      <c r="I313" s="70"/>
      <c r="J313" s="55"/>
      <c r="L313" s="56"/>
    </row>
    <row r="314" spans="1:12" x14ac:dyDescent="0.25">
      <c r="A314" s="76"/>
      <c r="F314" s="70"/>
      <c r="G314" s="70"/>
      <c r="H314" s="70"/>
      <c r="I314" s="70"/>
      <c r="J314" s="55"/>
      <c r="L314" s="56"/>
    </row>
    <row r="315" spans="1:12" x14ac:dyDescent="0.25">
      <c r="A315" s="76"/>
      <c r="F315" s="70"/>
      <c r="G315" s="70"/>
      <c r="H315" s="70"/>
      <c r="I315" s="70"/>
      <c r="J315" s="55"/>
      <c r="L315" s="56"/>
    </row>
    <row r="316" spans="1:12" x14ac:dyDescent="0.25">
      <c r="A316" s="76"/>
      <c r="F316" s="70"/>
      <c r="G316" s="70"/>
      <c r="H316" s="70"/>
      <c r="I316" s="70"/>
      <c r="J316" s="55"/>
      <c r="L316" s="56"/>
    </row>
    <row r="317" spans="1:12" x14ac:dyDescent="0.25">
      <c r="A317" s="76"/>
      <c r="F317" s="70"/>
      <c r="G317" s="70"/>
      <c r="H317" s="70"/>
      <c r="I317" s="70"/>
      <c r="J317" s="55"/>
      <c r="L317" s="56"/>
    </row>
    <row r="318" spans="1:12" x14ac:dyDescent="0.25">
      <c r="A318" s="76"/>
      <c r="F318" s="70"/>
      <c r="G318" s="70"/>
      <c r="H318" s="70"/>
      <c r="I318" s="70"/>
      <c r="J318" s="55"/>
      <c r="L318" s="56"/>
    </row>
    <row r="319" spans="1:12" x14ac:dyDescent="0.25">
      <c r="A319" s="76"/>
      <c r="F319" s="70"/>
      <c r="G319" s="70"/>
      <c r="H319" s="70"/>
      <c r="I319" s="70"/>
      <c r="J319" s="55"/>
      <c r="L319" s="56"/>
    </row>
    <row r="320" spans="1:12" x14ac:dyDescent="0.25">
      <c r="A320" s="76"/>
      <c r="F320" s="70"/>
      <c r="G320" s="70"/>
      <c r="H320" s="70"/>
      <c r="I320" s="70"/>
      <c r="J320" s="55"/>
      <c r="L320" s="56"/>
    </row>
    <row r="321" spans="1:12" x14ac:dyDescent="0.25">
      <c r="A321" s="76"/>
      <c r="F321" s="70"/>
      <c r="G321" s="70"/>
      <c r="H321" s="70"/>
      <c r="I321" s="70"/>
      <c r="J321" s="55"/>
      <c r="L321" s="56"/>
    </row>
    <row r="322" spans="1:12" x14ac:dyDescent="0.25">
      <c r="A322" s="76"/>
      <c r="F322" s="70"/>
      <c r="G322" s="70"/>
      <c r="H322" s="70"/>
      <c r="I322" s="70"/>
      <c r="J322" s="55"/>
      <c r="L322" s="56"/>
    </row>
    <row r="323" spans="1:12" x14ac:dyDescent="0.25">
      <c r="A323" s="76"/>
      <c r="F323" s="70"/>
      <c r="G323" s="70"/>
      <c r="H323" s="70"/>
      <c r="I323" s="70"/>
      <c r="J323" s="55"/>
      <c r="L323" s="56"/>
    </row>
    <row r="324" spans="1:12" x14ac:dyDescent="0.25">
      <c r="A324" s="76"/>
      <c r="F324" s="70"/>
      <c r="G324" s="70"/>
      <c r="H324" s="70"/>
      <c r="I324" s="70"/>
      <c r="J324" s="55"/>
      <c r="L324" s="56"/>
    </row>
    <row r="325" spans="1:12" x14ac:dyDescent="0.25">
      <c r="A325" s="76"/>
      <c r="F325" s="70"/>
      <c r="G325" s="70"/>
      <c r="H325" s="70"/>
      <c r="I325" s="70"/>
      <c r="J325" s="55"/>
      <c r="L325" s="56"/>
    </row>
    <row r="326" spans="1:12" x14ac:dyDescent="0.25">
      <c r="A326" s="76"/>
      <c r="F326" s="70"/>
      <c r="G326" s="70"/>
      <c r="H326" s="70"/>
      <c r="I326" s="70"/>
      <c r="J326" s="55"/>
      <c r="L326" s="56"/>
    </row>
    <row r="327" spans="1:12" x14ac:dyDescent="0.25">
      <c r="A327" s="76"/>
      <c r="F327" s="70"/>
      <c r="G327" s="70"/>
      <c r="H327" s="70"/>
      <c r="I327" s="70"/>
      <c r="J327" s="55"/>
      <c r="L327" s="56"/>
    </row>
    <row r="328" spans="1:12" x14ac:dyDescent="0.25">
      <c r="A328" s="76"/>
      <c r="F328" s="70"/>
      <c r="G328" s="70"/>
      <c r="H328" s="70"/>
      <c r="I328" s="70"/>
      <c r="J328" s="55"/>
      <c r="L328" s="56"/>
    </row>
    <row r="329" spans="1:12" x14ac:dyDescent="0.25">
      <c r="A329" s="76"/>
      <c r="F329" s="70"/>
      <c r="G329" s="70"/>
      <c r="H329" s="70"/>
      <c r="I329" s="70"/>
      <c r="J329" s="55"/>
      <c r="L329" s="56"/>
    </row>
    <row r="330" spans="1:12" x14ac:dyDescent="0.25">
      <c r="A330" s="76"/>
      <c r="F330" s="70"/>
      <c r="G330" s="70"/>
      <c r="H330" s="70"/>
      <c r="I330" s="70"/>
      <c r="J330" s="55"/>
      <c r="L330" s="56"/>
    </row>
    <row r="331" spans="1:12" x14ac:dyDescent="0.25">
      <c r="A331" s="76"/>
      <c r="F331" s="70"/>
      <c r="G331" s="70"/>
      <c r="H331" s="70"/>
      <c r="I331" s="70"/>
      <c r="J331" s="55"/>
      <c r="L331" s="56"/>
    </row>
    <row r="332" spans="1:12" x14ac:dyDescent="0.25">
      <c r="A332" s="76"/>
      <c r="F332" s="70"/>
      <c r="G332" s="70"/>
      <c r="H332" s="70"/>
      <c r="I332" s="70"/>
      <c r="J332" s="55"/>
      <c r="L332" s="56"/>
    </row>
    <row r="333" spans="1:12" x14ac:dyDescent="0.25">
      <c r="A333" s="76"/>
      <c r="F333" s="70"/>
      <c r="G333" s="70"/>
      <c r="H333" s="70"/>
      <c r="I333" s="70"/>
      <c r="J333" s="55"/>
      <c r="L333" s="56"/>
    </row>
    <row r="334" spans="1:12" x14ac:dyDescent="0.25">
      <c r="A334" s="76"/>
      <c r="F334" s="70"/>
      <c r="G334" s="70"/>
      <c r="H334" s="70"/>
      <c r="I334" s="70"/>
      <c r="J334" s="55"/>
      <c r="L334" s="56"/>
    </row>
    <row r="335" spans="1:12" x14ac:dyDescent="0.25">
      <c r="A335" s="76"/>
      <c r="F335" s="70"/>
      <c r="G335" s="70"/>
      <c r="H335" s="70"/>
      <c r="I335" s="70"/>
      <c r="J335" s="55"/>
      <c r="L335" s="56"/>
    </row>
    <row r="336" spans="1:12" x14ac:dyDescent="0.25">
      <c r="A336" s="76"/>
      <c r="F336" s="70"/>
      <c r="G336" s="70"/>
      <c r="H336" s="70"/>
      <c r="I336" s="70"/>
      <c r="J336" s="55"/>
      <c r="L336" s="56"/>
    </row>
    <row r="337" spans="1:12" x14ac:dyDescent="0.25">
      <c r="A337" s="76"/>
      <c r="F337" s="70"/>
      <c r="G337" s="70"/>
      <c r="H337" s="70"/>
      <c r="I337" s="70"/>
      <c r="J337" s="55"/>
      <c r="L337" s="56"/>
    </row>
    <row r="338" spans="1:12" x14ac:dyDescent="0.25">
      <c r="A338" s="76"/>
      <c r="F338" s="70"/>
      <c r="G338" s="70"/>
      <c r="H338" s="70"/>
      <c r="I338" s="70"/>
      <c r="J338" s="55"/>
      <c r="L338" s="56"/>
    </row>
    <row r="339" spans="1:12" x14ac:dyDescent="0.25">
      <c r="A339" s="76"/>
      <c r="F339" s="70"/>
      <c r="G339" s="70"/>
      <c r="H339" s="70"/>
      <c r="I339" s="70"/>
      <c r="J339" s="55"/>
      <c r="L339" s="56"/>
    </row>
    <row r="340" spans="1:12" x14ac:dyDescent="0.25">
      <c r="A340" s="76"/>
      <c r="F340" s="70"/>
      <c r="G340" s="70"/>
      <c r="H340" s="70"/>
      <c r="I340" s="70"/>
      <c r="J340" s="55"/>
      <c r="L340" s="56"/>
    </row>
    <row r="341" spans="1:12" x14ac:dyDescent="0.25">
      <c r="A341" s="76"/>
      <c r="F341" s="70"/>
      <c r="G341" s="70"/>
      <c r="H341" s="70"/>
      <c r="I341" s="70"/>
      <c r="J341" s="55"/>
      <c r="L341" s="56"/>
    </row>
    <row r="342" spans="1:12" x14ac:dyDescent="0.25">
      <c r="A342" s="76"/>
      <c r="F342" s="70"/>
      <c r="G342" s="70"/>
      <c r="H342" s="70"/>
      <c r="I342" s="70"/>
      <c r="J342" s="55"/>
      <c r="L342" s="56"/>
    </row>
    <row r="343" spans="1:12" x14ac:dyDescent="0.25">
      <c r="A343" s="76"/>
      <c r="F343" s="70"/>
      <c r="G343" s="70"/>
      <c r="H343" s="70"/>
      <c r="I343" s="70"/>
      <c r="J343" s="55"/>
      <c r="L343" s="56"/>
    </row>
    <row r="344" spans="1:12" x14ac:dyDescent="0.25">
      <c r="A344" s="76"/>
      <c r="F344" s="70"/>
      <c r="G344" s="70"/>
      <c r="H344" s="70"/>
      <c r="I344" s="70"/>
      <c r="J344" s="55"/>
      <c r="L344" s="56"/>
    </row>
    <row r="345" spans="1:12" x14ac:dyDescent="0.25">
      <c r="A345" s="76"/>
      <c r="F345" s="70"/>
      <c r="G345" s="70"/>
      <c r="H345" s="70"/>
      <c r="I345" s="70"/>
      <c r="J345" s="55"/>
      <c r="L345" s="56"/>
    </row>
    <row r="346" spans="1:12" x14ac:dyDescent="0.25">
      <c r="A346" s="76"/>
      <c r="F346" s="70"/>
      <c r="G346" s="70"/>
      <c r="H346" s="70"/>
      <c r="I346" s="70"/>
      <c r="J346" s="55"/>
      <c r="L346" s="56"/>
    </row>
    <row r="347" spans="1:12" x14ac:dyDescent="0.25">
      <c r="A347" s="76"/>
      <c r="F347" s="70"/>
      <c r="G347" s="70"/>
      <c r="H347" s="70"/>
      <c r="I347" s="70"/>
      <c r="J347" s="55"/>
      <c r="L347" s="56"/>
    </row>
    <row r="348" spans="1:12" x14ac:dyDescent="0.25">
      <c r="A348" s="76"/>
      <c r="F348" s="70"/>
      <c r="G348" s="70"/>
      <c r="H348" s="70"/>
      <c r="I348" s="70"/>
      <c r="J348" s="55"/>
      <c r="L348" s="56"/>
    </row>
    <row r="349" spans="1:12" x14ac:dyDescent="0.25">
      <c r="A349" s="76"/>
      <c r="F349" s="70"/>
      <c r="G349" s="70"/>
      <c r="H349" s="70"/>
      <c r="I349" s="70"/>
      <c r="J349" s="55"/>
      <c r="L349" s="56"/>
    </row>
    <row r="350" spans="1:12" x14ac:dyDescent="0.25">
      <c r="A350" s="76"/>
      <c r="F350" s="70"/>
      <c r="G350" s="70"/>
      <c r="H350" s="70"/>
      <c r="I350" s="70"/>
      <c r="J350" s="55"/>
      <c r="L350" s="56"/>
    </row>
    <row r="351" spans="1:12" x14ac:dyDescent="0.25">
      <c r="A351" s="76"/>
      <c r="F351" s="70"/>
      <c r="G351" s="70"/>
      <c r="H351" s="70"/>
      <c r="I351" s="70"/>
      <c r="J351" s="55"/>
      <c r="L351" s="56"/>
    </row>
    <row r="352" spans="1:12" x14ac:dyDescent="0.25">
      <c r="A352" s="76"/>
      <c r="F352" s="70"/>
      <c r="G352" s="70"/>
      <c r="H352" s="70"/>
      <c r="I352" s="70"/>
      <c r="J352" s="55"/>
      <c r="L352" s="56"/>
    </row>
    <row r="353" spans="1:12" x14ac:dyDescent="0.25">
      <c r="A353" s="76"/>
      <c r="F353" s="70"/>
      <c r="G353" s="70"/>
      <c r="H353" s="70"/>
      <c r="I353" s="70"/>
      <c r="L353" s="56"/>
    </row>
    <row r="354" spans="1:12" x14ac:dyDescent="0.25">
      <c r="A354" s="76"/>
      <c r="F354" s="70"/>
      <c r="G354" s="70"/>
      <c r="H354" s="70"/>
      <c r="I354" s="70"/>
      <c r="L354" s="56"/>
    </row>
    <row r="355" spans="1:12" x14ac:dyDescent="0.25">
      <c r="A355" s="76"/>
      <c r="F355" s="70"/>
      <c r="G355" s="70"/>
      <c r="H355" s="70"/>
      <c r="I355" s="70"/>
      <c r="L355" s="56"/>
    </row>
    <row r="356" spans="1:12" x14ac:dyDescent="0.25">
      <c r="A356" s="76"/>
      <c r="F356" s="70"/>
      <c r="G356" s="70"/>
      <c r="H356" s="70"/>
      <c r="I356" s="70"/>
      <c r="L356" s="56"/>
    </row>
    <row r="357" spans="1:12" x14ac:dyDescent="0.25">
      <c r="A357" s="76"/>
      <c r="F357" s="70"/>
      <c r="G357" s="70"/>
      <c r="H357" s="70"/>
      <c r="I357" s="70"/>
      <c r="L357" s="56"/>
    </row>
    <row r="358" spans="1:12" x14ac:dyDescent="0.25">
      <c r="A358" s="76"/>
      <c r="F358" s="70"/>
      <c r="G358" s="70"/>
      <c r="H358" s="70"/>
      <c r="I358" s="70"/>
      <c r="L358" s="56"/>
    </row>
    <row r="359" spans="1:12" x14ac:dyDescent="0.25">
      <c r="A359" s="76"/>
      <c r="F359" s="70"/>
      <c r="G359" s="70"/>
      <c r="H359" s="70"/>
      <c r="I359" s="70"/>
      <c r="L359" s="56"/>
    </row>
    <row r="360" spans="1:12" x14ac:dyDescent="0.25">
      <c r="A360" s="76"/>
      <c r="F360" s="70"/>
      <c r="G360" s="70"/>
      <c r="H360" s="70"/>
      <c r="I360" s="70"/>
      <c r="L360" s="56"/>
    </row>
    <row r="361" spans="1:12" x14ac:dyDescent="0.25">
      <c r="A361" s="76"/>
      <c r="F361" s="70"/>
      <c r="G361" s="70"/>
      <c r="H361" s="70"/>
      <c r="I361" s="70"/>
      <c r="L361" s="56"/>
    </row>
    <row r="362" spans="1:12" x14ac:dyDescent="0.25">
      <c r="A362" s="76"/>
      <c r="F362" s="70"/>
      <c r="G362" s="70"/>
      <c r="H362" s="70"/>
      <c r="I362" s="70"/>
      <c r="L362" s="56"/>
    </row>
    <row r="363" spans="1:12" x14ac:dyDescent="0.25">
      <c r="A363" s="76"/>
      <c r="F363" s="70"/>
      <c r="G363" s="70"/>
      <c r="H363" s="70"/>
      <c r="I363" s="70"/>
      <c r="L363" s="56"/>
    </row>
    <row r="364" spans="1:12" x14ac:dyDescent="0.25">
      <c r="A364" s="76"/>
      <c r="F364" s="70"/>
      <c r="G364" s="70"/>
      <c r="H364" s="70"/>
      <c r="I364" s="70"/>
      <c r="L364" s="56"/>
    </row>
    <row r="365" spans="1:12" x14ac:dyDescent="0.25">
      <c r="A365" s="76"/>
      <c r="F365" s="70"/>
      <c r="G365" s="70"/>
      <c r="H365" s="70"/>
      <c r="I365" s="70"/>
      <c r="L365" s="56"/>
    </row>
    <row r="366" spans="1:12" x14ac:dyDescent="0.25">
      <c r="A366" s="76"/>
      <c r="F366" s="70"/>
      <c r="G366" s="70"/>
      <c r="H366" s="70"/>
      <c r="I366" s="70"/>
      <c r="L366" s="56"/>
    </row>
    <row r="367" spans="1:12" x14ac:dyDescent="0.25">
      <c r="A367" s="76"/>
      <c r="F367" s="70"/>
      <c r="G367" s="70"/>
      <c r="H367" s="70"/>
      <c r="I367" s="70"/>
      <c r="L367" s="56"/>
    </row>
    <row r="368" spans="1:12" x14ac:dyDescent="0.25">
      <c r="A368" s="76"/>
      <c r="F368" s="70"/>
      <c r="G368" s="70"/>
      <c r="H368" s="70"/>
      <c r="I368" s="70"/>
      <c r="L368" s="56"/>
    </row>
    <row r="369" spans="1:12" x14ac:dyDescent="0.25">
      <c r="A369" s="76"/>
      <c r="F369" s="70"/>
      <c r="G369" s="70"/>
      <c r="H369" s="70"/>
      <c r="I369" s="70"/>
      <c r="L369" s="56"/>
    </row>
    <row r="370" spans="1:12" x14ac:dyDescent="0.25">
      <c r="A370" s="76"/>
      <c r="F370" s="70"/>
      <c r="G370" s="70"/>
      <c r="H370" s="70"/>
      <c r="I370" s="70"/>
      <c r="L370" s="56"/>
    </row>
    <row r="371" spans="1:12" x14ac:dyDescent="0.25">
      <c r="A371" s="76"/>
      <c r="F371" s="70"/>
      <c r="G371" s="70"/>
      <c r="H371" s="70"/>
      <c r="I371" s="70"/>
      <c r="L371" s="56"/>
    </row>
    <row r="372" spans="1:12" x14ac:dyDescent="0.25">
      <c r="A372" s="76"/>
      <c r="F372" s="70"/>
      <c r="G372" s="70"/>
      <c r="H372" s="70"/>
      <c r="I372" s="70"/>
      <c r="L372" s="56"/>
    </row>
    <row r="373" spans="1:12" x14ac:dyDescent="0.25">
      <c r="A373" s="76"/>
      <c r="F373" s="70"/>
      <c r="G373" s="70"/>
      <c r="H373" s="70"/>
      <c r="I373" s="70"/>
      <c r="L373" s="56"/>
    </row>
    <row r="374" spans="1:12" x14ac:dyDescent="0.25">
      <c r="A374" s="76"/>
      <c r="F374" s="70"/>
      <c r="G374" s="70"/>
      <c r="H374" s="70"/>
      <c r="I374" s="70"/>
      <c r="L374" s="56"/>
    </row>
    <row r="375" spans="1:12" x14ac:dyDescent="0.25">
      <c r="A375" s="76"/>
      <c r="F375" s="70"/>
      <c r="G375" s="70"/>
      <c r="H375" s="70"/>
      <c r="I375" s="70"/>
      <c r="L375" s="56"/>
    </row>
    <row r="376" spans="1:12" x14ac:dyDescent="0.25">
      <c r="A376" s="76"/>
      <c r="F376" s="70"/>
      <c r="G376" s="70"/>
      <c r="H376" s="70"/>
      <c r="I376" s="70"/>
      <c r="L376" s="56"/>
    </row>
    <row r="377" spans="1:12" x14ac:dyDescent="0.25">
      <c r="A377" s="76"/>
      <c r="F377" s="70"/>
      <c r="G377" s="70"/>
      <c r="H377" s="70"/>
      <c r="I377" s="70"/>
      <c r="L377" s="56"/>
    </row>
    <row r="378" spans="1:12" x14ac:dyDescent="0.25">
      <c r="A378" s="76"/>
      <c r="F378" s="70"/>
      <c r="G378" s="70"/>
      <c r="H378" s="70"/>
      <c r="I378" s="70"/>
      <c r="L378" s="56"/>
    </row>
    <row r="379" spans="1:12" x14ac:dyDescent="0.25">
      <c r="A379" s="76"/>
      <c r="F379" s="70"/>
      <c r="G379" s="70"/>
      <c r="H379" s="70"/>
      <c r="I379" s="70"/>
      <c r="L379" s="56"/>
    </row>
    <row r="380" spans="1:12" x14ac:dyDescent="0.25">
      <c r="A380" s="76"/>
      <c r="F380" s="70"/>
      <c r="G380" s="70"/>
      <c r="H380" s="70"/>
      <c r="I380" s="70"/>
      <c r="L380" s="56"/>
    </row>
    <row r="381" spans="1:12" x14ac:dyDescent="0.25">
      <c r="A381" s="76"/>
      <c r="F381" s="70"/>
      <c r="G381" s="70"/>
      <c r="H381" s="70"/>
      <c r="I381" s="70"/>
      <c r="L381" s="56"/>
    </row>
    <row r="382" spans="1:12" x14ac:dyDescent="0.25">
      <c r="A382" s="76"/>
      <c r="F382" s="70"/>
      <c r="G382" s="70"/>
      <c r="H382" s="70"/>
      <c r="I382" s="70"/>
      <c r="L382" s="56"/>
    </row>
    <row r="383" spans="1:12" x14ac:dyDescent="0.25">
      <c r="A383" s="76"/>
      <c r="F383" s="70"/>
      <c r="G383" s="70"/>
      <c r="H383" s="70"/>
      <c r="I383" s="70"/>
      <c r="L383" s="56"/>
    </row>
    <row r="384" spans="1:12" x14ac:dyDescent="0.25">
      <c r="A384" s="76"/>
      <c r="F384" s="70"/>
      <c r="G384" s="70"/>
      <c r="H384" s="70"/>
      <c r="I384" s="70"/>
      <c r="L384" s="56"/>
    </row>
    <row r="385" spans="1:12" x14ac:dyDescent="0.25">
      <c r="A385" s="76"/>
      <c r="F385" s="70"/>
      <c r="G385" s="70"/>
      <c r="H385" s="70"/>
      <c r="I385" s="70"/>
      <c r="L385" s="56"/>
    </row>
    <row r="386" spans="1:12" x14ac:dyDescent="0.25">
      <c r="A386" s="76"/>
      <c r="F386" s="70"/>
      <c r="G386" s="70"/>
      <c r="H386" s="70"/>
      <c r="I386" s="70"/>
      <c r="L386" s="56"/>
    </row>
    <row r="387" spans="1:12" x14ac:dyDescent="0.25">
      <c r="A387" s="76"/>
      <c r="F387" s="70"/>
      <c r="G387" s="70"/>
      <c r="H387" s="70"/>
      <c r="I387" s="70"/>
      <c r="L387" s="56"/>
    </row>
    <row r="388" spans="1:12" x14ac:dyDescent="0.25">
      <c r="A388" s="76"/>
      <c r="F388" s="70"/>
      <c r="G388" s="70"/>
      <c r="H388" s="70"/>
      <c r="I388" s="70"/>
      <c r="L388" s="56"/>
    </row>
    <row r="389" spans="1:12" x14ac:dyDescent="0.25">
      <c r="A389" s="76"/>
      <c r="F389" s="70"/>
      <c r="G389" s="70"/>
      <c r="H389" s="70"/>
      <c r="I389" s="70"/>
      <c r="L389" s="56"/>
    </row>
    <row r="390" spans="1:12" x14ac:dyDescent="0.25">
      <c r="A390" s="76"/>
      <c r="F390" s="70"/>
      <c r="G390" s="70"/>
      <c r="H390" s="70"/>
      <c r="I390" s="70"/>
      <c r="L390" s="56"/>
    </row>
    <row r="391" spans="1:12" x14ac:dyDescent="0.25">
      <c r="A391" s="76"/>
      <c r="F391" s="70"/>
      <c r="G391" s="70"/>
      <c r="H391" s="70"/>
      <c r="I391" s="70"/>
      <c r="L391" s="56"/>
    </row>
    <row r="392" spans="1:12" x14ac:dyDescent="0.25">
      <c r="A392" s="76"/>
      <c r="F392" s="70"/>
      <c r="G392" s="70"/>
      <c r="H392" s="70"/>
      <c r="I392" s="70"/>
      <c r="L392" s="56"/>
    </row>
    <row r="393" spans="1:12" x14ac:dyDescent="0.25">
      <c r="A393" s="76"/>
      <c r="F393" s="70"/>
      <c r="G393" s="70"/>
      <c r="H393" s="70"/>
      <c r="I393" s="70"/>
      <c r="L393" s="56"/>
    </row>
    <row r="394" spans="1:12" x14ac:dyDescent="0.25">
      <c r="A394" s="76"/>
      <c r="F394" s="70"/>
      <c r="G394" s="70"/>
      <c r="H394" s="70"/>
      <c r="I394" s="70"/>
      <c r="L394" s="56"/>
    </row>
    <row r="395" spans="1:12" x14ac:dyDescent="0.25">
      <c r="A395" s="76"/>
      <c r="F395" s="70"/>
      <c r="G395" s="70"/>
      <c r="H395" s="70"/>
      <c r="I395" s="70"/>
      <c r="L395" s="56"/>
    </row>
    <row r="396" spans="1:12" x14ac:dyDescent="0.25">
      <c r="A396" s="76"/>
      <c r="F396" s="70"/>
      <c r="G396" s="70"/>
      <c r="H396" s="70"/>
      <c r="I396" s="70"/>
      <c r="L396" s="56"/>
    </row>
    <row r="397" spans="1:12" x14ac:dyDescent="0.25">
      <c r="A397" s="76"/>
      <c r="F397" s="70"/>
      <c r="G397" s="70"/>
      <c r="H397" s="70"/>
      <c r="I397" s="70"/>
      <c r="L397" s="56"/>
    </row>
    <row r="398" spans="1:12" x14ac:dyDescent="0.25">
      <c r="A398" s="76"/>
      <c r="F398" s="70"/>
      <c r="G398" s="70"/>
      <c r="H398" s="70"/>
      <c r="I398" s="70"/>
      <c r="L398" s="56"/>
    </row>
    <row r="399" spans="1:12" x14ac:dyDescent="0.25">
      <c r="A399" s="76"/>
      <c r="F399" s="70"/>
      <c r="G399" s="70"/>
      <c r="H399" s="70"/>
      <c r="I399" s="70"/>
      <c r="L399" s="56"/>
    </row>
    <row r="400" spans="1:12" x14ac:dyDescent="0.25">
      <c r="A400" s="76"/>
      <c r="F400" s="70"/>
      <c r="G400" s="70"/>
      <c r="H400" s="70"/>
      <c r="I400" s="70"/>
      <c r="L400" s="56"/>
    </row>
    <row r="401" spans="1:12" x14ac:dyDescent="0.25">
      <c r="A401" s="76"/>
      <c r="F401" s="70"/>
      <c r="G401" s="70"/>
      <c r="H401" s="70"/>
      <c r="I401" s="70"/>
      <c r="L401" s="56"/>
    </row>
    <row r="402" spans="1:12" x14ac:dyDescent="0.25">
      <c r="A402" s="76"/>
      <c r="F402" s="70"/>
      <c r="G402" s="70"/>
      <c r="H402" s="70"/>
      <c r="I402" s="70"/>
      <c r="L402" s="56"/>
    </row>
    <row r="403" spans="1:12" x14ac:dyDescent="0.25">
      <c r="A403" s="76"/>
      <c r="F403" s="70"/>
      <c r="G403" s="70"/>
      <c r="H403" s="70"/>
      <c r="I403" s="70"/>
      <c r="L403" s="56"/>
    </row>
    <row r="404" spans="1:12" x14ac:dyDescent="0.25">
      <c r="A404" s="76"/>
      <c r="F404" s="70"/>
      <c r="G404" s="70"/>
      <c r="H404" s="70"/>
      <c r="I404" s="70"/>
      <c r="L404" s="56"/>
    </row>
    <row r="405" spans="1:12" x14ac:dyDescent="0.25">
      <c r="A405" s="76"/>
      <c r="F405" s="70"/>
      <c r="G405" s="70"/>
      <c r="H405" s="70"/>
      <c r="I405" s="70"/>
      <c r="L405" s="56"/>
    </row>
    <row r="406" spans="1:12" x14ac:dyDescent="0.25">
      <c r="A406" s="76"/>
      <c r="F406" s="70"/>
      <c r="G406" s="70"/>
      <c r="H406" s="70"/>
      <c r="I406" s="70"/>
      <c r="L406" s="56"/>
    </row>
    <row r="407" spans="1:12" x14ac:dyDescent="0.25">
      <c r="A407" s="76"/>
      <c r="F407" s="70"/>
      <c r="G407" s="70"/>
      <c r="H407" s="70"/>
      <c r="I407" s="70"/>
      <c r="L407" s="56"/>
    </row>
    <row r="408" spans="1:12" x14ac:dyDescent="0.25">
      <c r="A408" s="76"/>
      <c r="F408" s="70"/>
      <c r="G408" s="70"/>
      <c r="H408" s="70"/>
      <c r="I408" s="70"/>
      <c r="L408" s="56"/>
    </row>
    <row r="409" spans="1:12" x14ac:dyDescent="0.25">
      <c r="A409" s="76"/>
      <c r="F409" s="70"/>
      <c r="G409" s="70"/>
      <c r="H409" s="70"/>
      <c r="I409" s="70"/>
      <c r="L409" s="56"/>
    </row>
    <row r="410" spans="1:12" x14ac:dyDescent="0.25">
      <c r="A410" s="76"/>
      <c r="F410" s="70"/>
      <c r="G410" s="70"/>
      <c r="H410" s="70"/>
      <c r="I410" s="70"/>
      <c r="L410" s="56"/>
    </row>
    <row r="411" spans="1:12" x14ac:dyDescent="0.25">
      <c r="A411" s="76"/>
      <c r="F411" s="70"/>
      <c r="G411" s="70"/>
      <c r="H411" s="70"/>
      <c r="I411" s="70"/>
      <c r="L411" s="56"/>
    </row>
    <row r="412" spans="1:12" x14ac:dyDescent="0.25">
      <c r="A412" s="76"/>
      <c r="F412" s="70"/>
      <c r="G412" s="70"/>
      <c r="H412" s="70"/>
      <c r="I412" s="70"/>
      <c r="L412" s="56"/>
    </row>
    <row r="413" spans="1:12" x14ac:dyDescent="0.25">
      <c r="A413" s="76"/>
      <c r="F413" s="70"/>
      <c r="G413" s="70"/>
      <c r="H413" s="70"/>
      <c r="I413" s="70"/>
      <c r="L413" s="56"/>
    </row>
    <row r="414" spans="1:12" x14ac:dyDescent="0.25">
      <c r="A414" s="76"/>
      <c r="F414" s="70"/>
      <c r="G414" s="70"/>
      <c r="H414" s="70"/>
      <c r="I414" s="70"/>
      <c r="L414" s="56"/>
    </row>
    <row r="415" spans="1:12" x14ac:dyDescent="0.25">
      <c r="A415" s="76"/>
      <c r="F415" s="70"/>
      <c r="G415" s="70"/>
      <c r="H415" s="70"/>
      <c r="I415" s="70"/>
      <c r="L415" s="56"/>
    </row>
    <row r="416" spans="1:12" x14ac:dyDescent="0.25">
      <c r="A416" s="76"/>
      <c r="F416" s="70"/>
      <c r="G416" s="70"/>
      <c r="H416" s="70"/>
      <c r="I416" s="70"/>
      <c r="L416" s="56"/>
    </row>
    <row r="417" spans="1:12" x14ac:dyDescent="0.25">
      <c r="A417" s="76"/>
      <c r="F417" s="70"/>
      <c r="G417" s="70"/>
      <c r="H417" s="70"/>
      <c r="I417" s="70"/>
      <c r="L417" s="56"/>
    </row>
    <row r="418" spans="1:12" x14ac:dyDescent="0.25">
      <c r="A418" s="76"/>
      <c r="F418" s="70"/>
      <c r="G418" s="70"/>
      <c r="H418" s="70"/>
      <c r="I418" s="70"/>
      <c r="L418" s="56"/>
    </row>
    <row r="419" spans="1:12" x14ac:dyDescent="0.25">
      <c r="A419" s="76"/>
      <c r="F419" s="70"/>
      <c r="G419" s="70"/>
      <c r="H419" s="70"/>
      <c r="I419" s="70"/>
      <c r="L419" s="56"/>
    </row>
    <row r="420" spans="1:12" x14ac:dyDescent="0.25">
      <c r="A420" s="76"/>
      <c r="F420" s="70"/>
      <c r="G420" s="70"/>
      <c r="H420" s="70"/>
      <c r="I420" s="70"/>
    </row>
    <row r="421" spans="1:12" x14ac:dyDescent="0.25">
      <c r="A421" s="76"/>
      <c r="F421" s="70"/>
      <c r="G421" s="70"/>
      <c r="H421" s="70"/>
      <c r="I421" s="70"/>
    </row>
    <row r="422" spans="1:12" x14ac:dyDescent="0.25">
      <c r="A422" s="76"/>
      <c r="F422" s="70"/>
      <c r="G422" s="70"/>
      <c r="H422" s="70"/>
      <c r="I422" s="70"/>
    </row>
    <row r="423" spans="1:12" x14ac:dyDescent="0.25">
      <c r="A423" s="76"/>
      <c r="F423" s="70"/>
      <c r="G423" s="70"/>
      <c r="H423" s="70"/>
      <c r="I423" s="70"/>
    </row>
    <row r="424" spans="1:12" x14ac:dyDescent="0.25">
      <c r="A424" s="76"/>
      <c r="F424" s="70"/>
      <c r="G424" s="70"/>
      <c r="H424" s="70"/>
      <c r="I424" s="70"/>
    </row>
    <row r="425" spans="1:12" x14ac:dyDescent="0.25">
      <c r="A425" s="76"/>
      <c r="F425" s="70"/>
      <c r="G425" s="70"/>
      <c r="H425" s="70"/>
      <c r="I425" s="70"/>
    </row>
    <row r="426" spans="1:12" x14ac:dyDescent="0.25">
      <c r="A426" s="76"/>
      <c r="F426" s="70"/>
      <c r="G426" s="70"/>
      <c r="H426" s="70"/>
      <c r="I426" s="70"/>
    </row>
    <row r="427" spans="1:12" x14ac:dyDescent="0.25">
      <c r="A427" s="76"/>
      <c r="F427" s="70"/>
      <c r="G427" s="70"/>
      <c r="H427" s="70"/>
      <c r="I427" s="70"/>
    </row>
    <row r="428" spans="1:12" x14ac:dyDescent="0.25">
      <c r="A428" s="76"/>
      <c r="F428" s="70"/>
      <c r="G428" s="70"/>
      <c r="H428" s="70"/>
      <c r="I428" s="70"/>
    </row>
    <row r="429" spans="1:12" x14ac:dyDescent="0.25">
      <c r="A429" s="76"/>
      <c r="F429" s="70"/>
      <c r="G429" s="70"/>
      <c r="H429" s="70"/>
      <c r="I429" s="70"/>
    </row>
    <row r="430" spans="1:12" x14ac:dyDescent="0.25">
      <c r="A430" s="76"/>
      <c r="F430" s="70"/>
      <c r="G430" s="70"/>
      <c r="H430" s="70"/>
      <c r="I430" s="70"/>
    </row>
    <row r="431" spans="1:12" x14ac:dyDescent="0.25">
      <c r="A431" s="76"/>
      <c r="F431" s="70"/>
      <c r="G431" s="70"/>
      <c r="H431" s="70"/>
      <c r="I431" s="70"/>
    </row>
    <row r="432" spans="1:12" x14ac:dyDescent="0.25">
      <c r="A432" s="76"/>
      <c r="F432" s="70"/>
      <c r="G432" s="70"/>
      <c r="H432" s="70"/>
      <c r="I432" s="70"/>
    </row>
    <row r="433" spans="1:9" x14ac:dyDescent="0.25">
      <c r="A433" s="76"/>
      <c r="F433" s="70"/>
      <c r="G433" s="70"/>
      <c r="H433" s="70"/>
      <c r="I433" s="70"/>
    </row>
    <row r="434" spans="1:9" x14ac:dyDescent="0.25">
      <c r="A434" s="76"/>
      <c r="F434" s="70"/>
      <c r="G434" s="70"/>
      <c r="H434" s="70"/>
      <c r="I434" s="70"/>
    </row>
    <row r="435" spans="1:9" x14ac:dyDescent="0.25">
      <c r="A435" s="76"/>
      <c r="F435" s="70"/>
      <c r="G435" s="70"/>
      <c r="H435" s="70"/>
      <c r="I435" s="70"/>
    </row>
    <row r="436" spans="1:9" x14ac:dyDescent="0.25">
      <c r="A436" s="76"/>
      <c r="F436" s="70"/>
      <c r="G436" s="70"/>
      <c r="H436" s="70"/>
      <c r="I436" s="70"/>
    </row>
    <row r="437" spans="1:9" x14ac:dyDescent="0.25">
      <c r="A437" s="76"/>
      <c r="F437" s="70"/>
      <c r="G437" s="70"/>
      <c r="H437" s="70"/>
      <c r="I437" s="70"/>
    </row>
    <row r="438" spans="1:9" x14ac:dyDescent="0.25">
      <c r="A438" s="76"/>
      <c r="F438" s="70"/>
      <c r="G438" s="70"/>
      <c r="H438" s="70"/>
      <c r="I438" s="70"/>
    </row>
    <row r="439" spans="1:9" x14ac:dyDescent="0.25">
      <c r="A439" s="76"/>
      <c r="F439" s="70"/>
      <c r="G439" s="70"/>
      <c r="H439" s="70"/>
      <c r="I439" s="70"/>
    </row>
    <row r="440" spans="1:9" x14ac:dyDescent="0.25">
      <c r="A440" s="76"/>
      <c r="F440" s="70"/>
      <c r="G440" s="70"/>
      <c r="H440" s="70"/>
      <c r="I440" s="70"/>
    </row>
    <row r="441" spans="1:9" x14ac:dyDescent="0.25">
      <c r="A441" s="76"/>
      <c r="F441" s="70"/>
      <c r="G441" s="70"/>
      <c r="H441" s="70"/>
      <c r="I441" s="70"/>
    </row>
    <row r="442" spans="1:9" x14ac:dyDescent="0.25">
      <c r="A442" s="76"/>
      <c r="F442" s="70"/>
      <c r="G442" s="70"/>
      <c r="H442" s="70"/>
      <c r="I442" s="70"/>
    </row>
    <row r="443" spans="1:9" x14ac:dyDescent="0.25">
      <c r="A443" s="76"/>
      <c r="F443" s="70"/>
      <c r="G443" s="70"/>
      <c r="H443" s="70"/>
      <c r="I443" s="70"/>
    </row>
    <row r="444" spans="1:9" x14ac:dyDescent="0.25">
      <c r="A444" s="76"/>
      <c r="F444" s="70"/>
      <c r="G444" s="70"/>
      <c r="H444" s="70"/>
      <c r="I444" s="70"/>
    </row>
    <row r="445" spans="1:9" x14ac:dyDescent="0.25">
      <c r="A445" s="76"/>
      <c r="F445" s="70"/>
      <c r="G445" s="70"/>
      <c r="H445" s="70"/>
      <c r="I445" s="70"/>
    </row>
    <row r="446" spans="1:9" x14ac:dyDescent="0.25">
      <c r="A446" s="76"/>
      <c r="F446" s="70"/>
      <c r="G446" s="70"/>
      <c r="H446" s="70"/>
      <c r="I446" s="70"/>
    </row>
    <row r="447" spans="1:9" x14ac:dyDescent="0.25">
      <c r="A447" s="76"/>
      <c r="F447" s="70"/>
      <c r="G447" s="70"/>
      <c r="H447" s="70"/>
      <c r="I447" s="70"/>
    </row>
    <row r="448" spans="1:9" x14ac:dyDescent="0.25">
      <c r="A448" s="76"/>
      <c r="F448" s="70"/>
      <c r="G448" s="70"/>
      <c r="H448" s="70"/>
      <c r="I448" s="70"/>
    </row>
    <row r="449" spans="1:9" x14ac:dyDescent="0.25">
      <c r="A449" s="76"/>
      <c r="F449" s="70"/>
      <c r="G449" s="70"/>
      <c r="H449" s="70"/>
      <c r="I449" s="70"/>
    </row>
    <row r="450" spans="1:9" x14ac:dyDescent="0.25">
      <c r="A450" s="76"/>
      <c r="F450" s="70"/>
      <c r="G450" s="70"/>
      <c r="H450" s="70"/>
      <c r="I450" s="70"/>
    </row>
    <row r="451" spans="1:9" x14ac:dyDescent="0.25">
      <c r="A451" s="76"/>
      <c r="F451" s="70"/>
      <c r="G451" s="70"/>
      <c r="H451" s="70"/>
      <c r="I451" s="70"/>
    </row>
    <row r="452" spans="1:9" x14ac:dyDescent="0.25">
      <c r="A452" s="76"/>
      <c r="F452" s="70"/>
      <c r="G452" s="70"/>
      <c r="H452" s="70"/>
      <c r="I452" s="70"/>
    </row>
    <row r="453" spans="1:9" x14ac:dyDescent="0.25">
      <c r="A453" s="76"/>
      <c r="F453" s="70"/>
      <c r="G453" s="70"/>
      <c r="H453" s="70"/>
      <c r="I453" s="70"/>
    </row>
    <row r="454" spans="1:9" x14ac:dyDescent="0.25">
      <c r="A454" s="76"/>
      <c r="F454" s="70"/>
      <c r="G454" s="70"/>
      <c r="H454" s="70"/>
      <c r="I454" s="70"/>
    </row>
    <row r="455" spans="1:9" x14ac:dyDescent="0.25">
      <c r="A455" s="76"/>
      <c r="F455" s="70"/>
      <c r="G455" s="70"/>
      <c r="H455" s="70"/>
      <c r="I455" s="70"/>
    </row>
    <row r="456" spans="1:9" x14ac:dyDescent="0.25">
      <c r="A456" s="76"/>
      <c r="F456" s="70"/>
      <c r="G456" s="70"/>
      <c r="H456" s="70"/>
      <c r="I456" s="70"/>
    </row>
    <row r="457" spans="1:9" x14ac:dyDescent="0.25">
      <c r="A457" s="76"/>
      <c r="F457" s="70"/>
      <c r="G457" s="70"/>
      <c r="H457" s="70"/>
      <c r="I457" s="70"/>
    </row>
    <row r="458" spans="1:9" x14ac:dyDescent="0.25">
      <c r="A458" s="76"/>
      <c r="F458" s="70"/>
      <c r="G458" s="70"/>
      <c r="H458" s="70"/>
      <c r="I458" s="70"/>
    </row>
    <row r="459" spans="1:9" x14ac:dyDescent="0.25">
      <c r="A459" s="76"/>
      <c r="F459" s="70"/>
      <c r="G459" s="70"/>
      <c r="H459" s="70"/>
      <c r="I459" s="70"/>
    </row>
    <row r="460" spans="1:9" x14ac:dyDescent="0.25">
      <c r="A460" s="76"/>
      <c r="F460" s="70"/>
      <c r="G460" s="70"/>
      <c r="H460" s="70"/>
      <c r="I460" s="70"/>
    </row>
    <row r="461" spans="1:9" x14ac:dyDescent="0.25">
      <c r="A461" s="76"/>
      <c r="F461" s="70"/>
      <c r="G461" s="70"/>
      <c r="H461" s="70"/>
      <c r="I461" s="70"/>
    </row>
    <row r="462" spans="1:9" x14ac:dyDescent="0.25">
      <c r="A462" s="76"/>
      <c r="F462" s="70"/>
      <c r="G462" s="70"/>
      <c r="H462" s="70"/>
      <c r="I462" s="70"/>
    </row>
    <row r="463" spans="1:9" x14ac:dyDescent="0.25">
      <c r="A463" s="76"/>
      <c r="F463" s="70"/>
      <c r="G463" s="70"/>
      <c r="H463" s="70"/>
      <c r="I463" s="70"/>
    </row>
    <row r="464" spans="1:9" x14ac:dyDescent="0.25">
      <c r="A464" s="76"/>
      <c r="F464" s="70"/>
      <c r="G464" s="70"/>
      <c r="H464" s="70"/>
      <c r="I464" s="70"/>
    </row>
    <row r="465" spans="1:9" x14ac:dyDescent="0.25">
      <c r="A465" s="76"/>
      <c r="F465" s="70"/>
      <c r="G465" s="70"/>
      <c r="H465" s="70"/>
      <c r="I465" s="70"/>
    </row>
    <row r="466" spans="1:9" x14ac:dyDescent="0.25">
      <c r="A466" s="76"/>
      <c r="F466" s="70"/>
      <c r="G466" s="70"/>
      <c r="H466" s="70"/>
      <c r="I466" s="70"/>
    </row>
    <row r="467" spans="1:9" x14ac:dyDescent="0.25">
      <c r="A467" s="76"/>
      <c r="F467" s="70"/>
      <c r="G467" s="70"/>
      <c r="H467" s="70"/>
      <c r="I467" s="70"/>
    </row>
    <row r="468" spans="1:9" x14ac:dyDescent="0.25">
      <c r="A468" s="76"/>
      <c r="F468" s="70"/>
      <c r="G468" s="70"/>
      <c r="H468" s="70"/>
      <c r="I468" s="70"/>
    </row>
    <row r="469" spans="1:9" x14ac:dyDescent="0.25">
      <c r="A469" s="76"/>
      <c r="F469" s="70"/>
      <c r="G469" s="70"/>
      <c r="H469" s="70"/>
      <c r="I469" s="70"/>
    </row>
    <row r="470" spans="1:9" x14ac:dyDescent="0.25">
      <c r="A470" s="76"/>
      <c r="F470" s="70"/>
      <c r="G470" s="70"/>
      <c r="H470" s="70"/>
      <c r="I470" s="70"/>
    </row>
    <row r="471" spans="1:9" x14ac:dyDescent="0.25">
      <c r="A471" s="76"/>
      <c r="F471" s="70"/>
      <c r="G471" s="70"/>
      <c r="H471" s="70"/>
      <c r="I471" s="70"/>
    </row>
    <row r="472" spans="1:9" x14ac:dyDescent="0.25">
      <c r="A472" s="76"/>
      <c r="F472" s="70"/>
      <c r="G472" s="70"/>
      <c r="H472" s="70"/>
      <c r="I472" s="70"/>
    </row>
    <row r="473" spans="1:9" x14ac:dyDescent="0.25">
      <c r="A473" s="76"/>
      <c r="F473" s="70"/>
      <c r="G473" s="70"/>
      <c r="H473" s="70"/>
      <c r="I473" s="70"/>
    </row>
    <row r="474" spans="1:9" x14ac:dyDescent="0.25">
      <c r="A474" s="76"/>
      <c r="F474" s="70"/>
      <c r="G474" s="70"/>
      <c r="H474" s="70"/>
      <c r="I474" s="70"/>
    </row>
    <row r="475" spans="1:9" x14ac:dyDescent="0.25">
      <c r="A475" s="76"/>
      <c r="F475" s="70"/>
      <c r="G475" s="70"/>
      <c r="H475" s="70"/>
      <c r="I475" s="70"/>
    </row>
    <row r="476" spans="1:9" x14ac:dyDescent="0.25">
      <c r="A476" s="76"/>
      <c r="F476" s="70"/>
      <c r="G476" s="70"/>
      <c r="H476" s="70"/>
      <c r="I476" s="70"/>
    </row>
    <row r="477" spans="1:9" x14ac:dyDescent="0.25">
      <c r="A477" s="76"/>
      <c r="F477" s="70"/>
      <c r="G477" s="70"/>
      <c r="H477" s="70"/>
      <c r="I477" s="70"/>
    </row>
    <row r="478" spans="1:9" x14ac:dyDescent="0.25">
      <c r="A478" s="76"/>
      <c r="F478" s="70"/>
      <c r="G478" s="70"/>
      <c r="H478" s="70"/>
      <c r="I478" s="70"/>
    </row>
    <row r="479" spans="1:9" x14ac:dyDescent="0.25">
      <c r="A479" s="76"/>
      <c r="F479" s="70"/>
      <c r="G479" s="70"/>
      <c r="H479" s="70"/>
      <c r="I479" s="70"/>
    </row>
    <row r="480" spans="1:9" x14ac:dyDescent="0.25">
      <c r="A480" s="76"/>
      <c r="F480" s="70"/>
      <c r="G480" s="70"/>
      <c r="H480" s="70"/>
      <c r="I480" s="70"/>
    </row>
    <row r="481" spans="1:9" x14ac:dyDescent="0.25">
      <c r="A481" s="76"/>
      <c r="F481" s="70"/>
      <c r="G481" s="70"/>
      <c r="H481" s="70"/>
      <c r="I481" s="70"/>
    </row>
    <row r="482" spans="1:9" x14ac:dyDescent="0.25">
      <c r="A482" s="76"/>
      <c r="F482" s="70"/>
      <c r="G482" s="70"/>
      <c r="H482" s="70"/>
      <c r="I482" s="70"/>
    </row>
    <row r="483" spans="1:9" x14ac:dyDescent="0.25">
      <c r="A483" s="76"/>
      <c r="F483" s="70"/>
      <c r="G483" s="70"/>
      <c r="H483" s="70"/>
      <c r="I483" s="70"/>
    </row>
    <row r="484" spans="1:9" x14ac:dyDescent="0.25">
      <c r="A484" s="76"/>
      <c r="F484" s="70"/>
      <c r="G484" s="70"/>
      <c r="H484" s="70"/>
      <c r="I484" s="70"/>
    </row>
    <row r="485" spans="1:9" x14ac:dyDescent="0.25">
      <c r="A485" s="76"/>
      <c r="F485" s="70"/>
      <c r="G485" s="70"/>
      <c r="H485" s="70"/>
      <c r="I485" s="70"/>
    </row>
    <row r="486" spans="1:9" x14ac:dyDescent="0.25">
      <c r="A486" s="76"/>
      <c r="F486" s="70"/>
      <c r="G486" s="70"/>
      <c r="H486" s="70"/>
      <c r="I486" s="70"/>
    </row>
    <row r="487" spans="1:9" x14ac:dyDescent="0.25">
      <c r="A487" s="76"/>
      <c r="F487" s="70"/>
      <c r="G487" s="70"/>
      <c r="H487" s="70"/>
      <c r="I487" s="70"/>
    </row>
    <row r="488" spans="1:9" x14ac:dyDescent="0.25">
      <c r="A488" s="76"/>
      <c r="F488" s="70"/>
      <c r="G488" s="70"/>
      <c r="H488" s="70"/>
      <c r="I488" s="70"/>
    </row>
    <row r="489" spans="1:9" x14ac:dyDescent="0.25">
      <c r="A489" s="76"/>
      <c r="F489" s="70"/>
      <c r="G489" s="70"/>
      <c r="H489" s="70"/>
      <c r="I489" s="70"/>
    </row>
    <row r="490" spans="1:9" x14ac:dyDescent="0.25">
      <c r="A490" s="76"/>
      <c r="F490" s="70"/>
      <c r="G490" s="70"/>
      <c r="H490" s="70"/>
      <c r="I490" s="70"/>
    </row>
    <row r="491" spans="1:9" x14ac:dyDescent="0.25">
      <c r="A491" s="76"/>
      <c r="F491" s="70"/>
      <c r="G491" s="70"/>
      <c r="H491" s="70"/>
      <c r="I491" s="70"/>
    </row>
    <row r="492" spans="1:9" x14ac:dyDescent="0.25">
      <c r="A492" s="76"/>
      <c r="F492" s="70"/>
      <c r="G492" s="70"/>
      <c r="H492" s="70"/>
      <c r="I492" s="70"/>
    </row>
    <row r="493" spans="1:9" x14ac:dyDescent="0.25">
      <c r="A493" s="76"/>
      <c r="F493" s="70"/>
      <c r="G493" s="70"/>
      <c r="H493" s="70"/>
      <c r="I493" s="70"/>
    </row>
    <row r="494" spans="1:9" x14ac:dyDescent="0.25">
      <c r="A494" s="76"/>
      <c r="F494" s="70"/>
      <c r="G494" s="70"/>
      <c r="H494" s="70"/>
      <c r="I494" s="70"/>
    </row>
    <row r="495" spans="1:9" x14ac:dyDescent="0.25">
      <c r="A495" s="76"/>
      <c r="F495" s="70"/>
      <c r="G495" s="70"/>
      <c r="H495" s="70"/>
      <c r="I495" s="70"/>
    </row>
    <row r="496" spans="1:9" x14ac:dyDescent="0.25">
      <c r="A496" s="76"/>
      <c r="F496" s="70"/>
      <c r="G496" s="70"/>
      <c r="H496" s="70"/>
      <c r="I496" s="70"/>
    </row>
    <row r="497" spans="1:9" x14ac:dyDescent="0.25">
      <c r="A497" s="76"/>
      <c r="F497" s="70"/>
      <c r="G497" s="70"/>
      <c r="H497" s="70"/>
      <c r="I497" s="70"/>
    </row>
    <row r="498" spans="1:9" x14ac:dyDescent="0.25">
      <c r="A498" s="76"/>
      <c r="F498" s="70"/>
      <c r="G498" s="70"/>
      <c r="H498" s="70"/>
      <c r="I498" s="70"/>
    </row>
    <row r="499" spans="1:9" x14ac:dyDescent="0.25">
      <c r="A499" s="76"/>
      <c r="F499" s="70"/>
      <c r="G499" s="70"/>
      <c r="H499" s="70"/>
      <c r="I499" s="70"/>
    </row>
    <row r="500" spans="1:9" x14ac:dyDescent="0.25">
      <c r="A500" s="76"/>
      <c r="F500" s="70"/>
      <c r="G500" s="70"/>
      <c r="H500" s="70"/>
      <c r="I500" s="70"/>
    </row>
    <row r="501" spans="1:9" x14ac:dyDescent="0.25">
      <c r="A501" s="76"/>
      <c r="F501" s="70"/>
      <c r="G501" s="70"/>
      <c r="H501" s="70"/>
      <c r="I501" s="70"/>
    </row>
    <row r="502" spans="1:9" x14ac:dyDescent="0.25">
      <c r="A502" s="76"/>
      <c r="F502" s="70"/>
      <c r="G502" s="70"/>
      <c r="H502" s="70"/>
      <c r="I502" s="70"/>
    </row>
    <row r="503" spans="1:9" x14ac:dyDescent="0.25">
      <c r="A503" s="76"/>
      <c r="F503" s="70"/>
      <c r="G503" s="70"/>
      <c r="H503" s="70"/>
      <c r="I503" s="70"/>
    </row>
    <row r="504" spans="1:9" x14ac:dyDescent="0.25">
      <c r="A504" s="76"/>
      <c r="F504" s="70"/>
      <c r="G504" s="70"/>
      <c r="H504" s="70"/>
      <c r="I504" s="70"/>
    </row>
    <row r="505" spans="1:9" x14ac:dyDescent="0.25">
      <c r="A505" s="76"/>
      <c r="F505" s="70"/>
      <c r="G505" s="70"/>
      <c r="H505" s="70"/>
      <c r="I505" s="70"/>
    </row>
    <row r="506" spans="1:9" x14ac:dyDescent="0.25">
      <c r="A506" s="76"/>
      <c r="F506" s="70"/>
      <c r="G506" s="70"/>
      <c r="H506" s="70"/>
      <c r="I506" s="70"/>
    </row>
    <row r="507" spans="1:9" x14ac:dyDescent="0.25">
      <c r="A507" s="76"/>
      <c r="F507" s="70"/>
      <c r="G507" s="70"/>
      <c r="H507" s="70"/>
      <c r="I507" s="70"/>
    </row>
    <row r="508" spans="1:9" x14ac:dyDescent="0.25">
      <c r="A508" s="76"/>
      <c r="F508" s="70"/>
      <c r="G508" s="70"/>
      <c r="H508" s="70"/>
      <c r="I508" s="70"/>
    </row>
    <row r="509" spans="1:9" x14ac:dyDescent="0.25">
      <c r="A509" s="76"/>
      <c r="F509" s="70"/>
      <c r="G509" s="70"/>
      <c r="H509" s="70"/>
      <c r="I509" s="70"/>
    </row>
    <row r="510" spans="1:9" x14ac:dyDescent="0.25">
      <c r="A510" s="76"/>
      <c r="F510" s="70"/>
      <c r="G510" s="70"/>
      <c r="H510" s="70"/>
      <c r="I510" s="70"/>
    </row>
    <row r="511" spans="1:9" x14ac:dyDescent="0.25">
      <c r="A511" s="76"/>
      <c r="F511" s="70"/>
      <c r="G511" s="70"/>
      <c r="H511" s="70"/>
      <c r="I511" s="70"/>
    </row>
    <row r="512" spans="1:9" x14ac:dyDescent="0.25">
      <c r="A512" s="76"/>
      <c r="F512" s="70"/>
      <c r="G512" s="70"/>
      <c r="H512" s="70"/>
      <c r="I512" s="70"/>
    </row>
    <row r="513" spans="1:9" x14ac:dyDescent="0.25">
      <c r="A513" s="76"/>
      <c r="F513" s="70"/>
      <c r="G513" s="70"/>
      <c r="H513" s="70"/>
      <c r="I513" s="70"/>
    </row>
    <row r="514" spans="1:9" x14ac:dyDescent="0.25">
      <c r="A514" s="76"/>
      <c r="F514" s="70"/>
      <c r="G514" s="70"/>
      <c r="H514" s="70"/>
      <c r="I514" s="70"/>
    </row>
    <row r="515" spans="1:9" x14ac:dyDescent="0.25">
      <c r="A515" s="76"/>
      <c r="F515" s="70"/>
      <c r="G515" s="70"/>
      <c r="H515" s="70"/>
      <c r="I515" s="70"/>
    </row>
    <row r="516" spans="1:9" x14ac:dyDescent="0.25">
      <c r="A516" s="76"/>
      <c r="F516" s="70"/>
      <c r="G516" s="70"/>
      <c r="H516" s="70"/>
      <c r="I516" s="70"/>
    </row>
    <row r="517" spans="1:9" x14ac:dyDescent="0.25">
      <c r="A517" s="76"/>
      <c r="F517" s="70"/>
      <c r="G517" s="70"/>
      <c r="H517" s="70"/>
      <c r="I517" s="70"/>
    </row>
    <row r="518" spans="1:9" x14ac:dyDescent="0.25">
      <c r="A518" s="76"/>
      <c r="F518" s="70"/>
      <c r="G518" s="70"/>
      <c r="H518" s="70"/>
      <c r="I518" s="70"/>
    </row>
    <row r="519" spans="1:9" x14ac:dyDescent="0.25">
      <c r="A519" s="76"/>
      <c r="F519" s="70"/>
      <c r="G519" s="70"/>
      <c r="H519" s="70"/>
      <c r="I519" s="70"/>
    </row>
    <row r="520" spans="1:9" x14ac:dyDescent="0.25">
      <c r="A520" s="76"/>
      <c r="F520" s="70"/>
      <c r="G520" s="70"/>
      <c r="H520" s="70"/>
      <c r="I520" s="70"/>
    </row>
    <row r="521" spans="1:9" x14ac:dyDescent="0.25">
      <c r="A521" s="76"/>
      <c r="F521" s="70"/>
      <c r="G521" s="70"/>
      <c r="H521" s="70"/>
      <c r="I521" s="70"/>
    </row>
    <row r="522" spans="1:9" x14ac:dyDescent="0.25">
      <c r="A522" s="76"/>
      <c r="F522" s="70"/>
      <c r="G522" s="70"/>
      <c r="H522" s="70"/>
      <c r="I522" s="70"/>
    </row>
    <row r="523" spans="1:9" x14ac:dyDescent="0.25">
      <c r="A523" s="76"/>
      <c r="F523" s="70"/>
      <c r="G523" s="70"/>
      <c r="H523" s="70"/>
      <c r="I523" s="70"/>
    </row>
    <row r="524" spans="1:9" x14ac:dyDescent="0.25">
      <c r="A524" s="76"/>
      <c r="F524" s="70"/>
      <c r="G524" s="70"/>
      <c r="H524" s="70"/>
      <c r="I524" s="70"/>
    </row>
    <row r="525" spans="1:9" x14ac:dyDescent="0.25">
      <c r="A525" s="76"/>
      <c r="F525" s="70"/>
      <c r="G525" s="70"/>
      <c r="H525" s="70"/>
      <c r="I525" s="70"/>
    </row>
    <row r="526" spans="1:9" x14ac:dyDescent="0.25">
      <c r="A526" s="76"/>
      <c r="F526" s="70"/>
      <c r="G526" s="70"/>
      <c r="H526" s="70"/>
      <c r="I526" s="70"/>
    </row>
    <row r="527" spans="1:9" x14ac:dyDescent="0.25">
      <c r="A527" s="76"/>
      <c r="F527" s="70"/>
      <c r="G527" s="70"/>
      <c r="H527" s="70"/>
      <c r="I527" s="70"/>
    </row>
    <row r="528" spans="1:9" x14ac:dyDescent="0.25">
      <c r="A528" s="76"/>
      <c r="F528" s="70"/>
      <c r="G528" s="70"/>
      <c r="H528" s="70"/>
      <c r="I528" s="70"/>
    </row>
    <row r="529" spans="1:9" x14ac:dyDescent="0.25">
      <c r="A529" s="76"/>
      <c r="F529" s="70"/>
      <c r="G529" s="70"/>
      <c r="H529" s="70"/>
      <c r="I529" s="70"/>
    </row>
    <row r="530" spans="1:9" x14ac:dyDescent="0.25">
      <c r="A530" s="76"/>
      <c r="F530" s="70"/>
      <c r="G530" s="70"/>
      <c r="H530" s="70"/>
      <c r="I530" s="70"/>
    </row>
    <row r="531" spans="1:9" x14ac:dyDescent="0.25">
      <c r="A531" s="76"/>
      <c r="F531" s="70"/>
      <c r="G531" s="70"/>
      <c r="H531" s="70"/>
      <c r="I531" s="70"/>
    </row>
    <row r="532" spans="1:9" x14ac:dyDescent="0.25">
      <c r="A532" s="76"/>
      <c r="F532" s="70"/>
      <c r="G532" s="70"/>
      <c r="H532" s="70"/>
      <c r="I532" s="70"/>
    </row>
    <row r="533" spans="1:9" x14ac:dyDescent="0.25">
      <c r="A533" s="76"/>
      <c r="F533" s="70"/>
      <c r="G533" s="70"/>
      <c r="H533" s="70"/>
      <c r="I533" s="70"/>
    </row>
    <row r="534" spans="1:9" x14ac:dyDescent="0.25">
      <c r="A534" s="76"/>
      <c r="F534" s="70"/>
      <c r="G534" s="70"/>
      <c r="H534" s="70"/>
      <c r="I534" s="70"/>
    </row>
    <row r="535" spans="1:9" x14ac:dyDescent="0.25">
      <c r="A535" s="76"/>
      <c r="F535" s="70"/>
      <c r="G535" s="70"/>
      <c r="H535" s="70"/>
      <c r="I535" s="70"/>
    </row>
    <row r="536" spans="1:9" x14ac:dyDescent="0.25">
      <c r="A536" s="76"/>
      <c r="F536" s="70"/>
      <c r="G536" s="70"/>
      <c r="H536" s="70"/>
      <c r="I536" s="70"/>
    </row>
    <row r="537" spans="1:9" x14ac:dyDescent="0.25">
      <c r="A537" s="76"/>
      <c r="F537" s="70"/>
      <c r="G537" s="70"/>
      <c r="H537" s="70"/>
      <c r="I537" s="70"/>
    </row>
    <row r="538" spans="1:9" x14ac:dyDescent="0.25">
      <c r="A538" s="76"/>
      <c r="F538" s="70"/>
      <c r="G538" s="70"/>
      <c r="H538" s="70"/>
      <c r="I538" s="70"/>
    </row>
    <row r="539" spans="1:9" x14ac:dyDescent="0.25">
      <c r="A539" s="76"/>
      <c r="F539" s="70"/>
      <c r="G539" s="70"/>
      <c r="H539" s="70"/>
      <c r="I539" s="70"/>
    </row>
    <row r="540" spans="1:9" x14ac:dyDescent="0.25">
      <c r="A540" s="76"/>
      <c r="F540" s="70"/>
      <c r="G540" s="70"/>
      <c r="H540" s="70"/>
      <c r="I540" s="70"/>
    </row>
    <row r="541" spans="1:9" x14ac:dyDescent="0.25">
      <c r="A541" s="76"/>
      <c r="F541" s="70"/>
      <c r="G541" s="70"/>
      <c r="H541" s="70"/>
      <c r="I541" s="70"/>
    </row>
    <row r="542" spans="1:9" x14ac:dyDescent="0.25">
      <c r="A542" s="76"/>
      <c r="F542" s="70"/>
      <c r="G542" s="70"/>
      <c r="H542" s="70"/>
      <c r="I542" s="70"/>
    </row>
    <row r="543" spans="1:9" x14ac:dyDescent="0.25">
      <c r="A543" s="76"/>
      <c r="F543" s="70"/>
      <c r="G543" s="70"/>
      <c r="H543" s="70"/>
      <c r="I543" s="70"/>
    </row>
    <row r="544" spans="1:9" x14ac:dyDescent="0.25">
      <c r="A544" s="76"/>
      <c r="F544" s="70"/>
      <c r="G544" s="70"/>
      <c r="H544" s="70"/>
      <c r="I544" s="70"/>
    </row>
    <row r="545" spans="1:9" x14ac:dyDescent="0.25">
      <c r="A545" s="76"/>
      <c r="F545" s="70"/>
      <c r="G545" s="70"/>
      <c r="H545" s="70"/>
      <c r="I545" s="70"/>
    </row>
    <row r="546" spans="1:9" x14ac:dyDescent="0.25">
      <c r="A546" s="76"/>
      <c r="F546" s="70"/>
      <c r="G546" s="70"/>
      <c r="H546" s="70"/>
      <c r="I546" s="70"/>
    </row>
    <row r="547" spans="1:9" x14ac:dyDescent="0.25">
      <c r="A547" s="76"/>
      <c r="F547" s="70"/>
      <c r="G547" s="70"/>
      <c r="H547" s="70"/>
      <c r="I547" s="70"/>
    </row>
    <row r="548" spans="1:9" x14ac:dyDescent="0.25">
      <c r="A548" s="76"/>
      <c r="F548" s="70"/>
      <c r="G548" s="70"/>
      <c r="H548" s="70"/>
      <c r="I548" s="70"/>
    </row>
    <row r="549" spans="1:9" x14ac:dyDescent="0.25">
      <c r="A549" s="76"/>
      <c r="F549" s="70"/>
      <c r="G549" s="70"/>
      <c r="H549" s="70"/>
      <c r="I549" s="70"/>
    </row>
    <row r="550" spans="1:9" x14ac:dyDescent="0.25">
      <c r="A550" s="76"/>
      <c r="F550" s="70"/>
      <c r="G550" s="70"/>
      <c r="H550" s="70"/>
      <c r="I550" s="70"/>
    </row>
    <row r="551" spans="1:9" x14ac:dyDescent="0.25">
      <c r="A551" s="76"/>
      <c r="F551" s="70"/>
      <c r="G551" s="70"/>
      <c r="H551" s="70"/>
      <c r="I551" s="70"/>
    </row>
    <row r="552" spans="1:9" x14ac:dyDescent="0.25">
      <c r="A552" s="76"/>
      <c r="F552" s="70"/>
      <c r="G552" s="70"/>
      <c r="H552" s="70"/>
      <c r="I552" s="70"/>
    </row>
    <row r="553" spans="1:9" x14ac:dyDescent="0.25">
      <c r="A553" s="76"/>
      <c r="F553" s="70"/>
      <c r="G553" s="70"/>
      <c r="H553" s="70"/>
      <c r="I553" s="70"/>
    </row>
    <row r="554" spans="1:9" x14ac:dyDescent="0.25">
      <c r="A554" s="76"/>
      <c r="F554" s="70"/>
      <c r="G554" s="70"/>
      <c r="H554" s="70"/>
      <c r="I554" s="70"/>
    </row>
    <row r="555" spans="1:9" x14ac:dyDescent="0.25">
      <c r="A555" s="76"/>
      <c r="F555" s="70"/>
      <c r="G555" s="70"/>
      <c r="H555" s="70"/>
      <c r="I555" s="70"/>
    </row>
    <row r="556" spans="1:9" x14ac:dyDescent="0.25">
      <c r="A556" s="76"/>
      <c r="F556" s="70"/>
      <c r="G556" s="70"/>
      <c r="H556" s="70"/>
      <c r="I556" s="70"/>
    </row>
    <row r="557" spans="1:9" x14ac:dyDescent="0.25">
      <c r="A557" s="76"/>
      <c r="F557" s="70"/>
      <c r="G557" s="70"/>
      <c r="H557" s="70"/>
      <c r="I557" s="70"/>
    </row>
    <row r="558" spans="1:9" x14ac:dyDescent="0.25">
      <c r="A558" s="76"/>
      <c r="F558" s="70"/>
      <c r="G558" s="70"/>
      <c r="H558" s="70"/>
      <c r="I558" s="70"/>
    </row>
    <row r="559" spans="1:9" x14ac:dyDescent="0.25">
      <c r="A559" s="76"/>
      <c r="F559" s="70"/>
      <c r="G559" s="70"/>
      <c r="H559" s="70"/>
      <c r="I559" s="70"/>
    </row>
    <row r="560" spans="1:9" x14ac:dyDescent="0.25">
      <c r="A560" s="76"/>
      <c r="F560" s="70"/>
      <c r="G560" s="70"/>
      <c r="H560" s="70"/>
      <c r="I560" s="70"/>
    </row>
    <row r="561" spans="1:9" x14ac:dyDescent="0.25">
      <c r="A561" s="76"/>
      <c r="F561" s="70"/>
      <c r="G561" s="70"/>
      <c r="H561" s="70"/>
      <c r="I561" s="70"/>
    </row>
    <row r="562" spans="1:9" x14ac:dyDescent="0.25">
      <c r="A562" s="76"/>
      <c r="F562" s="70"/>
      <c r="G562" s="70"/>
      <c r="H562" s="70"/>
      <c r="I562" s="70"/>
    </row>
    <row r="563" spans="1:9" x14ac:dyDescent="0.25">
      <c r="A563" s="76"/>
      <c r="F563" s="70"/>
      <c r="G563" s="70"/>
      <c r="H563" s="70"/>
      <c r="I563" s="70"/>
    </row>
    <row r="564" spans="1:9" x14ac:dyDescent="0.25">
      <c r="A564" s="76"/>
      <c r="F564" s="70"/>
      <c r="G564" s="70"/>
      <c r="H564" s="70"/>
      <c r="I564" s="70"/>
    </row>
    <row r="565" spans="1:9" x14ac:dyDescent="0.25">
      <c r="A565" s="76"/>
      <c r="F565" s="70"/>
      <c r="G565" s="70"/>
      <c r="H565" s="70"/>
      <c r="I565" s="70"/>
    </row>
    <row r="566" spans="1:9" x14ac:dyDescent="0.25">
      <c r="A566" s="76"/>
      <c r="F566" s="70"/>
      <c r="G566" s="70"/>
      <c r="H566" s="70"/>
      <c r="I566" s="70"/>
    </row>
    <row r="567" spans="1:9" x14ac:dyDescent="0.25">
      <c r="A567" s="76"/>
      <c r="F567" s="70"/>
      <c r="G567" s="70"/>
      <c r="H567" s="70"/>
      <c r="I567" s="70"/>
    </row>
    <row r="568" spans="1:9" x14ac:dyDescent="0.25">
      <c r="A568" s="76"/>
      <c r="F568" s="70"/>
      <c r="G568" s="70"/>
      <c r="H568" s="70"/>
      <c r="I568" s="70"/>
    </row>
    <row r="569" spans="1:9" x14ac:dyDescent="0.25">
      <c r="A569" s="76"/>
      <c r="F569" s="70"/>
      <c r="G569" s="70"/>
      <c r="H569" s="70"/>
      <c r="I569" s="70"/>
    </row>
    <row r="570" spans="1:9" x14ac:dyDescent="0.25">
      <c r="A570" s="76"/>
      <c r="F570" s="70"/>
      <c r="G570" s="70"/>
      <c r="H570" s="70"/>
      <c r="I570" s="70"/>
    </row>
    <row r="571" spans="1:9" x14ac:dyDescent="0.25">
      <c r="A571" s="76"/>
      <c r="F571" s="70"/>
      <c r="G571" s="70"/>
      <c r="H571" s="70"/>
      <c r="I571" s="70"/>
    </row>
    <row r="572" spans="1:9" x14ac:dyDescent="0.25">
      <c r="A572" s="76"/>
      <c r="F572" s="70"/>
      <c r="G572" s="70"/>
      <c r="H572" s="70"/>
      <c r="I572" s="70"/>
    </row>
    <row r="573" spans="1:9" x14ac:dyDescent="0.25">
      <c r="A573" s="76"/>
      <c r="F573" s="70"/>
      <c r="G573" s="70"/>
      <c r="H573" s="70"/>
      <c r="I573" s="70"/>
    </row>
    <row r="574" spans="1:9" x14ac:dyDescent="0.25">
      <c r="A574" s="76"/>
      <c r="F574" s="70"/>
      <c r="G574" s="70"/>
      <c r="H574" s="70"/>
      <c r="I574" s="70"/>
    </row>
    <row r="575" spans="1:9" x14ac:dyDescent="0.25">
      <c r="A575" s="76"/>
      <c r="F575" s="70"/>
      <c r="G575" s="70"/>
      <c r="H575" s="70"/>
      <c r="I575" s="70"/>
    </row>
    <row r="576" spans="1:9" x14ac:dyDescent="0.25">
      <c r="A576" s="76"/>
      <c r="F576" s="70"/>
      <c r="G576" s="70"/>
      <c r="H576" s="70"/>
      <c r="I576" s="70"/>
    </row>
    <row r="577" spans="1:9" x14ac:dyDescent="0.25">
      <c r="A577" s="76"/>
      <c r="F577" s="70"/>
      <c r="G577" s="70"/>
      <c r="H577" s="70"/>
      <c r="I577" s="70"/>
    </row>
    <row r="578" spans="1:9" x14ac:dyDescent="0.25">
      <c r="A578" s="76"/>
      <c r="F578" s="70"/>
      <c r="G578" s="70"/>
      <c r="H578" s="70"/>
      <c r="I578" s="70"/>
    </row>
    <row r="579" spans="1:9" x14ac:dyDescent="0.25">
      <c r="A579" s="76"/>
      <c r="F579" s="70"/>
      <c r="G579" s="70"/>
      <c r="H579" s="70"/>
      <c r="I579" s="70"/>
    </row>
    <row r="580" spans="1:9" x14ac:dyDescent="0.25">
      <c r="A580" s="76"/>
      <c r="F580" s="70"/>
      <c r="G580" s="70"/>
      <c r="H580" s="70"/>
      <c r="I580" s="70"/>
    </row>
    <row r="581" spans="1:9" x14ac:dyDescent="0.25">
      <c r="A581" s="76"/>
      <c r="F581" s="70"/>
      <c r="G581" s="70"/>
      <c r="H581" s="70"/>
      <c r="I581" s="70"/>
    </row>
    <row r="582" spans="1:9" x14ac:dyDescent="0.25">
      <c r="A582" s="76"/>
      <c r="F582" s="70"/>
      <c r="G582" s="70"/>
      <c r="H582" s="70"/>
      <c r="I582" s="70"/>
    </row>
    <row r="583" spans="1:9" x14ac:dyDescent="0.25">
      <c r="A583" s="76"/>
      <c r="F583" s="70"/>
      <c r="G583" s="70"/>
      <c r="H583" s="70"/>
      <c r="I583" s="70"/>
    </row>
    <row r="584" spans="1:9" x14ac:dyDescent="0.25">
      <c r="A584" s="76"/>
      <c r="F584" s="70"/>
      <c r="G584" s="70"/>
      <c r="H584" s="70"/>
      <c r="I584" s="70"/>
    </row>
    <row r="585" spans="1:9" x14ac:dyDescent="0.25">
      <c r="A585" s="76"/>
      <c r="F585" s="70"/>
      <c r="G585" s="70"/>
      <c r="H585" s="70"/>
      <c r="I585" s="70"/>
    </row>
    <row r="586" spans="1:9" x14ac:dyDescent="0.25">
      <c r="A586" s="76"/>
      <c r="F586" s="70"/>
      <c r="G586" s="70"/>
      <c r="H586" s="70"/>
      <c r="I586" s="70"/>
    </row>
    <row r="587" spans="1:9" x14ac:dyDescent="0.25">
      <c r="A587" s="76"/>
      <c r="F587" s="70"/>
      <c r="G587" s="70"/>
      <c r="H587" s="70"/>
      <c r="I587" s="70"/>
    </row>
    <row r="588" spans="1:9" x14ac:dyDescent="0.25">
      <c r="A588" s="76"/>
      <c r="F588" s="70"/>
      <c r="G588" s="70"/>
      <c r="H588" s="70"/>
      <c r="I588" s="70"/>
    </row>
    <row r="589" spans="1:9" x14ac:dyDescent="0.25">
      <c r="A589" s="76"/>
      <c r="F589" s="70"/>
      <c r="G589" s="70"/>
      <c r="H589" s="70"/>
      <c r="I589" s="70"/>
    </row>
    <row r="590" spans="1:9" x14ac:dyDescent="0.25">
      <c r="A590" s="76"/>
      <c r="F590" s="70"/>
      <c r="G590" s="70"/>
      <c r="H590" s="70"/>
      <c r="I590" s="70"/>
    </row>
    <row r="591" spans="1:9" x14ac:dyDescent="0.25">
      <c r="A591" s="76"/>
      <c r="F591" s="70"/>
      <c r="G591" s="70"/>
      <c r="H591" s="70"/>
      <c r="I591" s="70"/>
    </row>
    <row r="592" spans="1:9" x14ac:dyDescent="0.25">
      <c r="A592" s="76"/>
      <c r="F592" s="70"/>
      <c r="G592" s="70"/>
      <c r="H592" s="70"/>
      <c r="I592" s="70"/>
    </row>
    <row r="593" spans="1:9" x14ac:dyDescent="0.25">
      <c r="A593" s="76"/>
      <c r="F593" s="70"/>
      <c r="G593" s="70"/>
      <c r="H593" s="70"/>
      <c r="I593" s="70"/>
    </row>
    <row r="594" spans="1:9" x14ac:dyDescent="0.25">
      <c r="A594" s="76"/>
      <c r="F594" s="70"/>
      <c r="G594" s="70"/>
      <c r="H594" s="70"/>
      <c r="I594" s="70"/>
    </row>
    <row r="595" spans="1:9" x14ac:dyDescent="0.25">
      <c r="A595" s="76"/>
      <c r="F595" s="70"/>
      <c r="G595" s="70"/>
      <c r="H595" s="70"/>
      <c r="I595" s="70"/>
    </row>
    <row r="596" spans="1:9" x14ac:dyDescent="0.25">
      <c r="A596" s="76"/>
      <c r="F596" s="70"/>
      <c r="G596" s="70"/>
      <c r="H596" s="70"/>
      <c r="I596" s="70"/>
    </row>
    <row r="597" spans="1:9" x14ac:dyDescent="0.25">
      <c r="A597" s="76"/>
      <c r="F597" s="70"/>
      <c r="G597" s="70"/>
      <c r="H597" s="70"/>
      <c r="I597" s="70"/>
    </row>
    <row r="598" spans="1:9" x14ac:dyDescent="0.25">
      <c r="A598" s="76"/>
      <c r="F598" s="70"/>
      <c r="G598" s="70"/>
      <c r="H598" s="70"/>
      <c r="I598" s="70"/>
    </row>
    <row r="599" spans="1:9" x14ac:dyDescent="0.25">
      <c r="A599" s="76"/>
      <c r="F599" s="70"/>
      <c r="G599" s="70"/>
      <c r="H599" s="70"/>
      <c r="I599" s="70"/>
    </row>
    <row r="600" spans="1:9" x14ac:dyDescent="0.25">
      <c r="A600" s="76"/>
      <c r="F600" s="70"/>
      <c r="G600" s="70"/>
      <c r="H600" s="70"/>
      <c r="I600" s="70"/>
    </row>
    <row r="601" spans="1:9" x14ac:dyDescent="0.25">
      <c r="A601" s="76"/>
      <c r="F601" s="70"/>
      <c r="G601" s="70"/>
      <c r="H601" s="70"/>
      <c r="I601" s="70"/>
    </row>
    <row r="602" spans="1:9" x14ac:dyDescent="0.25">
      <c r="A602" s="76"/>
      <c r="F602" s="70"/>
      <c r="G602" s="70"/>
      <c r="H602" s="70"/>
      <c r="I602" s="70"/>
    </row>
    <row r="603" spans="1:9" x14ac:dyDescent="0.25">
      <c r="A603" s="76"/>
      <c r="F603" s="70"/>
      <c r="G603" s="70"/>
      <c r="H603" s="70"/>
      <c r="I603" s="70"/>
    </row>
    <row r="604" spans="1:9" x14ac:dyDescent="0.25">
      <c r="A604" s="76"/>
      <c r="F604" s="70"/>
      <c r="G604" s="70"/>
      <c r="H604" s="70"/>
      <c r="I604" s="70"/>
    </row>
    <row r="605" spans="1:9" x14ac:dyDescent="0.25">
      <c r="A605" s="76"/>
      <c r="F605" s="70"/>
      <c r="G605" s="70"/>
      <c r="H605" s="70"/>
      <c r="I605" s="70"/>
    </row>
    <row r="606" spans="1:9" x14ac:dyDescent="0.25">
      <c r="A606" s="76"/>
      <c r="F606" s="70"/>
      <c r="G606" s="70"/>
      <c r="H606" s="70"/>
      <c r="I606" s="70"/>
    </row>
    <row r="607" spans="1:9" x14ac:dyDescent="0.25">
      <c r="A607" s="76"/>
      <c r="F607" s="70"/>
      <c r="G607" s="70"/>
      <c r="H607" s="70"/>
      <c r="I607" s="70"/>
    </row>
    <row r="608" spans="1:9" x14ac:dyDescent="0.25">
      <c r="A608" s="76"/>
      <c r="F608" s="70"/>
      <c r="G608" s="70"/>
      <c r="H608" s="70"/>
      <c r="I608" s="70"/>
    </row>
    <row r="609" spans="1:9" x14ac:dyDescent="0.25">
      <c r="A609" s="76"/>
      <c r="F609" s="70"/>
      <c r="G609" s="70"/>
      <c r="H609" s="70"/>
      <c r="I609" s="70"/>
    </row>
    <row r="610" spans="1:9" x14ac:dyDescent="0.25">
      <c r="A610" s="76"/>
      <c r="F610" s="70"/>
      <c r="G610" s="70"/>
      <c r="H610" s="70"/>
      <c r="I610" s="70"/>
    </row>
    <row r="611" spans="1:9" x14ac:dyDescent="0.25">
      <c r="A611" s="76"/>
      <c r="F611" s="70"/>
      <c r="G611" s="70"/>
      <c r="H611" s="70"/>
      <c r="I611" s="70"/>
    </row>
    <row r="612" spans="1:9" x14ac:dyDescent="0.25">
      <c r="A612" s="76"/>
      <c r="F612" s="70"/>
      <c r="G612" s="70"/>
      <c r="H612" s="70"/>
      <c r="I612" s="70"/>
    </row>
    <row r="613" spans="1:9" x14ac:dyDescent="0.25">
      <c r="A613" s="76"/>
      <c r="F613" s="70"/>
      <c r="G613" s="70"/>
      <c r="H613" s="70"/>
      <c r="I613" s="70"/>
    </row>
    <row r="614" spans="1:9" x14ac:dyDescent="0.25">
      <c r="A614" s="76"/>
      <c r="F614" s="70"/>
      <c r="G614" s="70"/>
      <c r="H614" s="70"/>
      <c r="I614" s="70"/>
    </row>
    <row r="615" spans="1:9" x14ac:dyDescent="0.25">
      <c r="A615" s="76"/>
      <c r="F615" s="70"/>
      <c r="G615" s="70"/>
      <c r="H615" s="70"/>
      <c r="I615" s="70"/>
    </row>
    <row r="616" spans="1:9" x14ac:dyDescent="0.25">
      <c r="A616" s="76"/>
      <c r="F616" s="70"/>
      <c r="G616" s="70"/>
      <c r="H616" s="70"/>
      <c r="I616" s="70"/>
    </row>
    <row r="617" spans="1:9" x14ac:dyDescent="0.25">
      <c r="A617" s="76"/>
      <c r="F617" s="70"/>
      <c r="G617" s="70"/>
      <c r="H617" s="70"/>
      <c r="I617" s="70"/>
    </row>
    <row r="618" spans="1:9" x14ac:dyDescent="0.25">
      <c r="A618" s="76"/>
      <c r="F618" s="70"/>
      <c r="G618" s="70"/>
      <c r="H618" s="70"/>
      <c r="I618" s="70"/>
    </row>
    <row r="619" spans="1:9" x14ac:dyDescent="0.25">
      <c r="A619" s="76"/>
      <c r="F619" s="70"/>
      <c r="G619" s="70"/>
      <c r="H619" s="70"/>
      <c r="I619" s="70"/>
    </row>
    <row r="620" spans="1:9" x14ac:dyDescent="0.25">
      <c r="A620" s="76"/>
      <c r="F620" s="70"/>
      <c r="G620" s="70"/>
      <c r="H620" s="70"/>
      <c r="I620" s="70"/>
    </row>
    <row r="621" spans="1:9" x14ac:dyDescent="0.25">
      <c r="A621" s="76"/>
      <c r="F621" s="70"/>
      <c r="G621" s="70"/>
      <c r="H621" s="70"/>
      <c r="I621" s="70"/>
    </row>
    <row r="622" spans="1:9" x14ac:dyDescent="0.25">
      <c r="A622" s="76"/>
      <c r="F622" s="70"/>
      <c r="G622" s="70"/>
      <c r="H622" s="70"/>
      <c r="I622" s="70"/>
    </row>
    <row r="623" spans="1:9" x14ac:dyDescent="0.25">
      <c r="A623" s="76"/>
      <c r="F623" s="70"/>
      <c r="G623" s="70"/>
      <c r="H623" s="70"/>
      <c r="I623" s="70"/>
    </row>
    <row r="624" spans="1:9" x14ac:dyDescent="0.25">
      <c r="A624" s="76"/>
      <c r="F624" s="70"/>
      <c r="G624" s="70"/>
      <c r="H624" s="70"/>
      <c r="I624" s="70"/>
    </row>
    <row r="625" spans="1:9" x14ac:dyDescent="0.25">
      <c r="A625" s="76"/>
      <c r="F625" s="70"/>
      <c r="G625" s="70"/>
      <c r="H625" s="70"/>
      <c r="I625" s="70"/>
    </row>
    <row r="626" spans="1:9" x14ac:dyDescent="0.25">
      <c r="A626" s="76"/>
      <c r="F626" s="70"/>
      <c r="G626" s="70"/>
      <c r="H626" s="70"/>
      <c r="I626" s="70"/>
    </row>
    <row r="627" spans="1:9" x14ac:dyDescent="0.25">
      <c r="A627" s="76"/>
      <c r="F627" s="70"/>
      <c r="G627" s="70"/>
      <c r="H627" s="70"/>
      <c r="I627" s="70"/>
    </row>
    <row r="628" spans="1:9" x14ac:dyDescent="0.25">
      <c r="A628" s="76"/>
      <c r="F628" s="70"/>
      <c r="G628" s="70"/>
      <c r="H628" s="70"/>
      <c r="I628" s="70"/>
    </row>
    <row r="629" spans="1:9" x14ac:dyDescent="0.25">
      <c r="A629" s="76"/>
      <c r="F629" s="70"/>
      <c r="G629" s="70"/>
      <c r="H629" s="70"/>
      <c r="I629" s="70"/>
    </row>
    <row r="630" spans="1:9" x14ac:dyDescent="0.25">
      <c r="A630" s="76"/>
      <c r="F630" s="70"/>
      <c r="G630" s="70"/>
      <c r="H630" s="70"/>
      <c r="I630" s="70"/>
    </row>
    <row r="631" spans="1:9" x14ac:dyDescent="0.25">
      <c r="A631" s="76"/>
      <c r="F631" s="70"/>
      <c r="G631" s="70"/>
      <c r="H631" s="70"/>
      <c r="I631" s="70"/>
    </row>
    <row r="632" spans="1:9" x14ac:dyDescent="0.25">
      <c r="A632" s="76"/>
      <c r="F632" s="70"/>
      <c r="G632" s="70"/>
      <c r="H632" s="70"/>
      <c r="I632" s="70"/>
    </row>
    <row r="633" spans="1:9" x14ac:dyDescent="0.25">
      <c r="A633" s="76"/>
      <c r="F633" s="70"/>
      <c r="G633" s="70"/>
      <c r="H633" s="70"/>
      <c r="I633" s="70"/>
    </row>
    <row r="634" spans="1:9" x14ac:dyDescent="0.25">
      <c r="A634" s="76"/>
      <c r="F634" s="70"/>
      <c r="G634" s="70"/>
      <c r="H634" s="70"/>
      <c r="I634" s="70"/>
    </row>
    <row r="635" spans="1:9" x14ac:dyDescent="0.25">
      <c r="A635" s="76"/>
      <c r="F635" s="70"/>
      <c r="G635" s="70"/>
      <c r="H635" s="70"/>
      <c r="I635" s="70"/>
    </row>
    <row r="636" spans="1:9" x14ac:dyDescent="0.25">
      <c r="A636" s="76"/>
      <c r="F636" s="70"/>
      <c r="G636" s="70"/>
      <c r="H636" s="70"/>
      <c r="I636" s="70"/>
    </row>
    <row r="637" spans="1:9" x14ac:dyDescent="0.25">
      <c r="A637" s="76"/>
      <c r="F637" s="70"/>
      <c r="G637" s="70"/>
      <c r="H637" s="70"/>
      <c r="I637" s="70"/>
    </row>
    <row r="638" spans="1:9" x14ac:dyDescent="0.25">
      <c r="A638" s="76"/>
      <c r="F638" s="70"/>
      <c r="G638" s="70"/>
      <c r="H638" s="70"/>
      <c r="I638" s="70"/>
    </row>
    <row r="639" spans="1:9" x14ac:dyDescent="0.25">
      <c r="A639" s="76"/>
      <c r="F639" s="70"/>
      <c r="G639" s="70"/>
      <c r="H639" s="70"/>
      <c r="I639" s="70"/>
    </row>
    <row r="640" spans="1:9" x14ac:dyDescent="0.25">
      <c r="A640" s="76"/>
      <c r="F640" s="70"/>
      <c r="G640" s="70"/>
      <c r="H640" s="70"/>
      <c r="I640" s="70"/>
    </row>
    <row r="641" spans="1:9" x14ac:dyDescent="0.25">
      <c r="A641" s="76"/>
      <c r="F641" s="70"/>
      <c r="G641" s="70"/>
      <c r="H641" s="70"/>
      <c r="I641" s="70"/>
    </row>
    <row r="642" spans="1:9" x14ac:dyDescent="0.25">
      <c r="A642" s="76"/>
      <c r="F642" s="70"/>
      <c r="G642" s="70"/>
      <c r="H642" s="70"/>
      <c r="I642" s="70"/>
    </row>
    <row r="643" spans="1:9" x14ac:dyDescent="0.25">
      <c r="A643" s="76"/>
      <c r="F643" s="70"/>
      <c r="G643" s="70"/>
      <c r="H643" s="70"/>
      <c r="I643" s="70"/>
    </row>
    <row r="644" spans="1:9" x14ac:dyDescent="0.25">
      <c r="A644" s="76"/>
      <c r="F644" s="70"/>
      <c r="G644" s="70"/>
      <c r="H644" s="70"/>
      <c r="I644" s="70"/>
    </row>
    <row r="645" spans="1:9" x14ac:dyDescent="0.25">
      <c r="A645" s="76"/>
      <c r="F645" s="70"/>
      <c r="G645" s="70"/>
      <c r="H645" s="70"/>
      <c r="I645" s="70"/>
    </row>
    <row r="646" spans="1:9" x14ac:dyDescent="0.25">
      <c r="A646" s="76"/>
      <c r="F646" s="70"/>
      <c r="G646" s="70"/>
      <c r="H646" s="70"/>
      <c r="I646" s="70"/>
    </row>
    <row r="647" spans="1:9" x14ac:dyDescent="0.25">
      <c r="A647" s="76"/>
      <c r="F647" s="70"/>
      <c r="G647" s="70"/>
      <c r="H647" s="70"/>
      <c r="I647" s="70"/>
    </row>
    <row r="648" spans="1:9" x14ac:dyDescent="0.25">
      <c r="A648" s="76"/>
      <c r="F648" s="70"/>
      <c r="G648" s="70"/>
      <c r="H648" s="70"/>
      <c r="I648" s="70"/>
    </row>
    <row r="649" spans="1:9" x14ac:dyDescent="0.25">
      <c r="A649" s="76"/>
      <c r="F649" s="70"/>
      <c r="G649" s="70"/>
      <c r="H649" s="70"/>
      <c r="I649" s="70"/>
    </row>
    <row r="650" spans="1:9" x14ac:dyDescent="0.25">
      <c r="A650" s="76"/>
      <c r="F650" s="70"/>
      <c r="G650" s="70"/>
      <c r="H650" s="70"/>
      <c r="I650" s="70"/>
    </row>
    <row r="651" spans="1:9" x14ac:dyDescent="0.25">
      <c r="A651" s="76"/>
      <c r="F651" s="70"/>
      <c r="G651" s="70"/>
      <c r="H651" s="70"/>
      <c r="I651" s="70"/>
    </row>
    <row r="652" spans="1:9" x14ac:dyDescent="0.25">
      <c r="A652" s="76"/>
      <c r="F652" s="70"/>
      <c r="G652" s="70"/>
      <c r="H652" s="70"/>
      <c r="I652" s="70"/>
    </row>
    <row r="653" spans="1:9" x14ac:dyDescent="0.25">
      <c r="A653" s="76"/>
      <c r="F653" s="70"/>
      <c r="G653" s="70"/>
      <c r="H653" s="70"/>
      <c r="I653" s="70"/>
    </row>
    <row r="654" spans="1:9" x14ac:dyDescent="0.25">
      <c r="A654" s="76"/>
      <c r="F654" s="70"/>
      <c r="G654" s="70"/>
      <c r="H654" s="70"/>
      <c r="I654" s="70"/>
    </row>
    <row r="655" spans="1:9" x14ac:dyDescent="0.25">
      <c r="A655" s="76"/>
      <c r="F655" s="70"/>
      <c r="G655" s="70"/>
      <c r="H655" s="70"/>
      <c r="I655" s="70"/>
    </row>
    <row r="656" spans="1:9" x14ac:dyDescent="0.25">
      <c r="A656" s="76"/>
      <c r="F656" s="70"/>
      <c r="G656" s="70"/>
      <c r="H656" s="70"/>
      <c r="I656" s="70"/>
    </row>
    <row r="657" spans="1:9" x14ac:dyDescent="0.25">
      <c r="A657" s="76"/>
      <c r="F657" s="70"/>
      <c r="G657" s="70"/>
      <c r="H657" s="70"/>
      <c r="I657" s="70"/>
    </row>
    <row r="658" spans="1:9" x14ac:dyDescent="0.25">
      <c r="A658" s="76"/>
      <c r="F658" s="70"/>
      <c r="G658" s="70"/>
      <c r="H658" s="70"/>
      <c r="I658" s="70"/>
    </row>
    <row r="659" spans="1:9" x14ac:dyDescent="0.25">
      <c r="A659" s="76"/>
      <c r="F659" s="70"/>
      <c r="G659" s="70"/>
      <c r="H659" s="70"/>
      <c r="I659" s="70"/>
    </row>
    <row r="660" spans="1:9" x14ac:dyDescent="0.25">
      <c r="A660" s="76"/>
      <c r="F660" s="70"/>
      <c r="G660" s="70"/>
      <c r="H660" s="70"/>
      <c r="I660" s="70"/>
    </row>
    <row r="661" spans="1:9" x14ac:dyDescent="0.25">
      <c r="A661" s="76"/>
      <c r="F661" s="70"/>
      <c r="G661" s="70"/>
      <c r="H661" s="70"/>
      <c r="I661" s="70"/>
    </row>
    <row r="662" spans="1:9" x14ac:dyDescent="0.25">
      <c r="A662" s="76"/>
      <c r="F662" s="70"/>
      <c r="G662" s="70"/>
      <c r="H662" s="70"/>
      <c r="I662" s="70"/>
    </row>
    <row r="663" spans="1:9" x14ac:dyDescent="0.25">
      <c r="A663" s="76"/>
      <c r="F663" s="70"/>
      <c r="G663" s="70"/>
      <c r="H663" s="70"/>
      <c r="I663" s="70"/>
    </row>
    <row r="664" spans="1:9" x14ac:dyDescent="0.25">
      <c r="A664" s="76"/>
      <c r="F664" s="70"/>
      <c r="G664" s="70"/>
      <c r="H664" s="70"/>
      <c r="I664" s="70"/>
    </row>
    <row r="665" spans="1:9" x14ac:dyDescent="0.25">
      <c r="A665" s="76"/>
      <c r="F665" s="70"/>
      <c r="G665" s="70"/>
      <c r="H665" s="70"/>
      <c r="I665" s="70"/>
    </row>
    <row r="666" spans="1:9" x14ac:dyDescent="0.25">
      <c r="A666" s="76"/>
      <c r="F666" s="70"/>
      <c r="G666" s="70"/>
      <c r="H666" s="70"/>
      <c r="I666" s="70"/>
    </row>
    <row r="667" spans="1:9" x14ac:dyDescent="0.25">
      <c r="A667" s="76"/>
      <c r="F667" s="70"/>
      <c r="G667" s="70"/>
      <c r="H667" s="70"/>
      <c r="I667" s="70"/>
    </row>
    <row r="668" spans="1:9" x14ac:dyDescent="0.25">
      <c r="A668" s="76"/>
      <c r="F668" s="70"/>
      <c r="G668" s="70"/>
      <c r="H668" s="70"/>
      <c r="I668" s="70"/>
    </row>
    <row r="669" spans="1:9" x14ac:dyDescent="0.25">
      <c r="A669" s="76"/>
      <c r="F669" s="70"/>
      <c r="G669" s="70"/>
      <c r="H669" s="70"/>
      <c r="I669" s="70"/>
    </row>
    <row r="670" spans="1:9" x14ac:dyDescent="0.25">
      <c r="A670" s="76"/>
      <c r="F670" s="70"/>
      <c r="G670" s="70"/>
      <c r="H670" s="70"/>
      <c r="I670" s="70"/>
    </row>
    <row r="671" spans="1:9" x14ac:dyDescent="0.25">
      <c r="A671" s="76"/>
      <c r="F671" s="70"/>
      <c r="G671" s="70"/>
      <c r="H671" s="70"/>
      <c r="I671" s="70"/>
    </row>
    <row r="672" spans="1:9" x14ac:dyDescent="0.25">
      <c r="A672" s="76"/>
      <c r="F672" s="70"/>
      <c r="G672" s="70"/>
      <c r="H672" s="70"/>
      <c r="I672" s="70"/>
    </row>
    <row r="673" spans="1:9" x14ac:dyDescent="0.25">
      <c r="A673" s="76"/>
      <c r="F673" s="70"/>
      <c r="G673" s="70"/>
      <c r="H673" s="70"/>
      <c r="I673" s="70"/>
    </row>
    <row r="674" spans="1:9" x14ac:dyDescent="0.25">
      <c r="A674" s="76"/>
      <c r="F674" s="70"/>
      <c r="G674" s="70"/>
      <c r="H674" s="70"/>
      <c r="I674" s="70"/>
    </row>
    <row r="675" spans="1:9" x14ac:dyDescent="0.25">
      <c r="A675" s="76"/>
      <c r="F675" s="70"/>
      <c r="G675" s="70"/>
      <c r="H675" s="70"/>
      <c r="I675" s="70"/>
    </row>
    <row r="676" spans="1:9" x14ac:dyDescent="0.25">
      <c r="A676" s="76"/>
      <c r="F676" s="70"/>
      <c r="G676" s="70"/>
      <c r="H676" s="70"/>
      <c r="I676" s="70"/>
    </row>
    <row r="677" spans="1:9" x14ac:dyDescent="0.25">
      <c r="A677" s="76"/>
      <c r="F677" s="70"/>
      <c r="G677" s="70"/>
      <c r="H677" s="70"/>
      <c r="I677" s="70"/>
    </row>
    <row r="678" spans="1:9" x14ac:dyDescent="0.25">
      <c r="A678" s="76"/>
      <c r="F678" s="70"/>
      <c r="G678" s="70"/>
      <c r="H678" s="70"/>
      <c r="I678" s="70"/>
    </row>
    <row r="679" spans="1:9" x14ac:dyDescent="0.25">
      <c r="A679" s="76"/>
      <c r="F679" s="70"/>
      <c r="G679" s="70"/>
      <c r="H679" s="70"/>
      <c r="I679" s="70"/>
    </row>
    <row r="680" spans="1:9" x14ac:dyDescent="0.25">
      <c r="A680" s="76"/>
      <c r="F680" s="70"/>
      <c r="G680" s="70"/>
      <c r="H680" s="70"/>
      <c r="I680" s="70"/>
    </row>
    <row r="681" spans="1:9" x14ac:dyDescent="0.25">
      <c r="A681" s="76"/>
      <c r="F681" s="70"/>
      <c r="G681" s="70"/>
      <c r="H681" s="70"/>
      <c r="I681" s="70"/>
    </row>
    <row r="682" spans="1:9" x14ac:dyDescent="0.25">
      <c r="A682" s="76"/>
      <c r="F682" s="70"/>
      <c r="G682" s="70"/>
      <c r="H682" s="70"/>
      <c r="I682" s="70"/>
    </row>
    <row r="683" spans="1:9" x14ac:dyDescent="0.25">
      <c r="A683" s="76"/>
      <c r="F683" s="70"/>
      <c r="G683" s="70"/>
      <c r="H683" s="70"/>
      <c r="I683" s="70"/>
    </row>
    <row r="684" spans="1:9" x14ac:dyDescent="0.25">
      <c r="A684" s="76"/>
      <c r="F684" s="70"/>
      <c r="G684" s="70"/>
      <c r="H684" s="70"/>
      <c r="I684" s="70"/>
    </row>
    <row r="685" spans="1:9" x14ac:dyDescent="0.25">
      <c r="A685" s="76"/>
      <c r="F685" s="70"/>
      <c r="G685" s="70"/>
      <c r="H685" s="70"/>
      <c r="I685" s="70"/>
    </row>
    <row r="686" spans="1:9" x14ac:dyDescent="0.25">
      <c r="A686" s="76"/>
      <c r="F686" s="70"/>
      <c r="G686" s="70"/>
      <c r="H686" s="70"/>
      <c r="I686" s="70"/>
    </row>
    <row r="687" spans="1:9" x14ac:dyDescent="0.25">
      <c r="A687" s="76"/>
      <c r="F687" s="70"/>
      <c r="G687" s="70"/>
      <c r="H687" s="70"/>
      <c r="I687" s="70"/>
    </row>
    <row r="688" spans="1:9" x14ac:dyDescent="0.25">
      <c r="A688" s="76"/>
      <c r="F688" s="70"/>
      <c r="G688" s="70"/>
      <c r="H688" s="70"/>
      <c r="I688" s="70"/>
    </row>
    <row r="689" spans="1:9" x14ac:dyDescent="0.25">
      <c r="A689" s="76"/>
      <c r="F689" s="70"/>
      <c r="G689" s="70"/>
      <c r="H689" s="70"/>
      <c r="I689" s="70"/>
    </row>
    <row r="690" spans="1:9" x14ac:dyDescent="0.25">
      <c r="A690" s="76"/>
      <c r="F690" s="70"/>
      <c r="G690" s="70"/>
      <c r="H690" s="70"/>
      <c r="I690" s="70"/>
    </row>
    <row r="691" spans="1:9" x14ac:dyDescent="0.25">
      <c r="A691" s="76"/>
      <c r="F691" s="70"/>
      <c r="G691" s="70"/>
      <c r="H691" s="70"/>
      <c r="I691" s="70"/>
    </row>
    <row r="692" spans="1:9" x14ac:dyDescent="0.25">
      <c r="A692" s="76"/>
      <c r="F692" s="70"/>
      <c r="G692" s="70"/>
      <c r="H692" s="70"/>
      <c r="I692" s="70"/>
    </row>
    <row r="693" spans="1:9" x14ac:dyDescent="0.25">
      <c r="A693" s="76"/>
      <c r="F693" s="70"/>
      <c r="G693" s="70"/>
      <c r="H693" s="70"/>
      <c r="I693" s="70"/>
    </row>
    <row r="694" spans="1:9" x14ac:dyDescent="0.25">
      <c r="A694" s="76"/>
      <c r="F694" s="70"/>
      <c r="G694" s="70"/>
      <c r="H694" s="70"/>
      <c r="I694" s="70"/>
    </row>
    <row r="695" spans="1:9" x14ac:dyDescent="0.25">
      <c r="A695" s="76"/>
      <c r="F695" s="70"/>
      <c r="G695" s="70"/>
      <c r="H695" s="70"/>
      <c r="I695" s="70"/>
    </row>
    <row r="696" spans="1:9" x14ac:dyDescent="0.25">
      <c r="A696" s="76"/>
      <c r="F696" s="70"/>
      <c r="G696" s="70"/>
      <c r="H696" s="70"/>
      <c r="I696" s="70"/>
    </row>
    <row r="697" spans="1:9" x14ac:dyDescent="0.25">
      <c r="A697" s="76"/>
      <c r="F697" s="70"/>
      <c r="G697" s="70"/>
      <c r="H697" s="70"/>
      <c r="I697" s="70"/>
    </row>
    <row r="698" spans="1:9" x14ac:dyDescent="0.25">
      <c r="A698" s="76"/>
      <c r="F698" s="70"/>
      <c r="G698" s="70"/>
      <c r="H698" s="70"/>
      <c r="I698" s="70"/>
    </row>
    <row r="699" spans="1:9" x14ac:dyDescent="0.25">
      <c r="A699" s="76"/>
      <c r="F699" s="70"/>
      <c r="G699" s="70"/>
      <c r="H699" s="70"/>
      <c r="I699" s="70"/>
    </row>
    <row r="700" spans="1:9" x14ac:dyDescent="0.25">
      <c r="A700" s="76"/>
      <c r="F700" s="70"/>
      <c r="G700" s="70"/>
      <c r="H700" s="70"/>
      <c r="I700" s="70"/>
    </row>
    <row r="701" spans="1:9" x14ac:dyDescent="0.25">
      <c r="A701" s="76"/>
      <c r="F701" s="70"/>
      <c r="G701" s="70"/>
      <c r="H701" s="70"/>
      <c r="I701" s="70"/>
    </row>
    <row r="702" spans="1:9" x14ac:dyDescent="0.25">
      <c r="A702" s="76"/>
      <c r="F702" s="70"/>
      <c r="G702" s="70"/>
      <c r="H702" s="70"/>
      <c r="I702" s="70"/>
    </row>
    <row r="703" spans="1:9" x14ac:dyDescent="0.25">
      <c r="A703" s="76"/>
      <c r="F703" s="70"/>
      <c r="G703" s="70"/>
      <c r="H703" s="70"/>
      <c r="I703" s="70"/>
    </row>
    <row r="704" spans="1:9" x14ac:dyDescent="0.25">
      <c r="A704" s="76"/>
      <c r="F704" s="70"/>
      <c r="G704" s="70"/>
      <c r="H704" s="70"/>
      <c r="I704" s="70"/>
    </row>
    <row r="705" spans="1:9" x14ac:dyDescent="0.25">
      <c r="A705" s="76"/>
      <c r="F705" s="70"/>
      <c r="G705" s="70"/>
      <c r="H705" s="70"/>
      <c r="I705" s="70"/>
    </row>
    <row r="706" spans="1:9" x14ac:dyDescent="0.25">
      <c r="A706" s="76"/>
      <c r="F706" s="70"/>
      <c r="G706" s="70"/>
      <c r="H706" s="70"/>
      <c r="I706" s="70"/>
    </row>
    <row r="707" spans="1:9" x14ac:dyDescent="0.25">
      <c r="A707" s="76"/>
      <c r="F707" s="70"/>
      <c r="G707" s="70"/>
      <c r="H707" s="70"/>
      <c r="I707" s="70"/>
    </row>
    <row r="708" spans="1:9" x14ac:dyDescent="0.25">
      <c r="A708" s="76"/>
      <c r="F708" s="70"/>
      <c r="G708" s="70"/>
      <c r="H708" s="70"/>
      <c r="I708" s="70"/>
    </row>
    <row r="709" spans="1:9" x14ac:dyDescent="0.25">
      <c r="A709" s="76"/>
      <c r="F709" s="70"/>
      <c r="G709" s="70"/>
      <c r="H709" s="70"/>
      <c r="I709" s="70"/>
    </row>
    <row r="710" spans="1:9" x14ac:dyDescent="0.25">
      <c r="A710" s="76"/>
      <c r="F710" s="70"/>
      <c r="G710" s="70"/>
      <c r="H710" s="70"/>
      <c r="I710" s="70"/>
    </row>
    <row r="711" spans="1:9" x14ac:dyDescent="0.25">
      <c r="A711" s="76"/>
      <c r="F711" s="70"/>
      <c r="G711" s="70"/>
      <c r="H711" s="70"/>
      <c r="I711" s="70"/>
    </row>
    <row r="712" spans="1:9" x14ac:dyDescent="0.25">
      <c r="A712" s="76"/>
      <c r="F712" s="70"/>
      <c r="G712" s="70"/>
      <c r="H712" s="70"/>
      <c r="I712" s="70"/>
    </row>
    <row r="713" spans="1:9" x14ac:dyDescent="0.25">
      <c r="A713" s="76"/>
      <c r="F713" s="70"/>
      <c r="G713" s="70"/>
      <c r="H713" s="70"/>
      <c r="I713" s="70"/>
    </row>
    <row r="714" spans="1:9" x14ac:dyDescent="0.25">
      <c r="A714" s="76"/>
      <c r="F714" s="70"/>
      <c r="G714" s="70"/>
      <c r="H714" s="70"/>
      <c r="I714" s="70"/>
    </row>
    <row r="715" spans="1:9" x14ac:dyDescent="0.25">
      <c r="A715" s="76"/>
      <c r="F715" s="70"/>
      <c r="G715" s="70"/>
      <c r="H715" s="70"/>
      <c r="I715" s="70"/>
    </row>
    <row r="716" spans="1:9" x14ac:dyDescent="0.25">
      <c r="A716" s="76"/>
      <c r="F716" s="70"/>
      <c r="G716" s="70"/>
      <c r="H716" s="70"/>
      <c r="I716" s="70"/>
    </row>
    <row r="717" spans="1:9" x14ac:dyDescent="0.25">
      <c r="A717" s="76"/>
      <c r="F717" s="70"/>
      <c r="G717" s="70"/>
      <c r="H717" s="70"/>
      <c r="I717" s="70"/>
    </row>
    <row r="718" spans="1:9" x14ac:dyDescent="0.25">
      <c r="A718" s="76"/>
      <c r="F718" s="70"/>
      <c r="G718" s="70"/>
      <c r="H718" s="70"/>
      <c r="I718" s="70"/>
    </row>
    <row r="719" spans="1:9" x14ac:dyDescent="0.25">
      <c r="A719" s="76"/>
      <c r="F719" s="70"/>
      <c r="G719" s="70"/>
      <c r="H719" s="70"/>
      <c r="I719" s="70"/>
    </row>
    <row r="720" spans="1:9" x14ac:dyDescent="0.25">
      <c r="A720" s="76"/>
      <c r="F720" s="70"/>
      <c r="G720" s="70"/>
      <c r="H720" s="70"/>
      <c r="I720" s="70"/>
    </row>
    <row r="721" spans="1:9" x14ac:dyDescent="0.25">
      <c r="A721" s="76"/>
      <c r="F721" s="70"/>
      <c r="G721" s="70"/>
      <c r="H721" s="70"/>
      <c r="I721" s="70"/>
    </row>
    <row r="722" spans="1:9" x14ac:dyDescent="0.25">
      <c r="A722" s="76"/>
      <c r="F722" s="70"/>
      <c r="G722" s="70"/>
      <c r="H722" s="70"/>
      <c r="I722" s="70"/>
    </row>
    <row r="723" spans="1:9" x14ac:dyDescent="0.25">
      <c r="A723" s="76"/>
      <c r="F723" s="70"/>
      <c r="G723" s="70"/>
      <c r="H723" s="70"/>
      <c r="I723" s="70"/>
    </row>
    <row r="724" spans="1:9" x14ac:dyDescent="0.25">
      <c r="A724" s="76"/>
      <c r="F724" s="70"/>
      <c r="G724" s="70"/>
      <c r="H724" s="70"/>
      <c r="I724" s="70"/>
    </row>
    <row r="725" spans="1:9" x14ac:dyDescent="0.25">
      <c r="A725" s="76"/>
      <c r="F725" s="70"/>
      <c r="G725" s="70"/>
      <c r="H725" s="70"/>
      <c r="I725" s="70"/>
    </row>
    <row r="726" spans="1:9" x14ac:dyDescent="0.25">
      <c r="A726" s="76"/>
      <c r="F726" s="70"/>
      <c r="G726" s="70"/>
      <c r="H726" s="70"/>
      <c r="I726" s="70"/>
    </row>
    <row r="727" spans="1:9" x14ac:dyDescent="0.25">
      <c r="A727" s="76"/>
      <c r="F727" s="70"/>
      <c r="G727" s="70"/>
      <c r="H727" s="70"/>
      <c r="I727" s="70"/>
    </row>
    <row r="728" spans="1:9" x14ac:dyDescent="0.25">
      <c r="A728" s="76"/>
      <c r="F728" s="70"/>
      <c r="G728" s="70"/>
      <c r="H728" s="70"/>
      <c r="I728" s="70"/>
    </row>
    <row r="729" spans="1:9" x14ac:dyDescent="0.25">
      <c r="A729" s="76"/>
      <c r="F729" s="70"/>
      <c r="G729" s="70"/>
      <c r="H729" s="70"/>
      <c r="I729" s="70"/>
    </row>
    <row r="730" spans="1:9" x14ac:dyDescent="0.25">
      <c r="A730" s="76"/>
      <c r="F730" s="70"/>
      <c r="G730" s="70"/>
      <c r="H730" s="70"/>
      <c r="I730" s="70"/>
    </row>
    <row r="731" spans="1:9" x14ac:dyDescent="0.25">
      <c r="A731" s="76"/>
      <c r="F731" s="70"/>
      <c r="G731" s="70"/>
      <c r="H731" s="70"/>
      <c r="I731" s="70"/>
    </row>
    <row r="732" spans="1:9" x14ac:dyDescent="0.25">
      <c r="A732" s="76"/>
      <c r="F732" s="70"/>
      <c r="G732" s="70"/>
      <c r="H732" s="70"/>
      <c r="I732" s="70"/>
    </row>
    <row r="733" spans="1:9" x14ac:dyDescent="0.25">
      <c r="A733" s="76"/>
      <c r="F733" s="70"/>
      <c r="G733" s="70"/>
      <c r="H733" s="70"/>
      <c r="I733" s="70"/>
    </row>
    <row r="734" spans="1:9" x14ac:dyDescent="0.25">
      <c r="A734" s="76"/>
      <c r="F734" s="70"/>
      <c r="G734" s="70"/>
      <c r="H734" s="70"/>
      <c r="I734" s="70"/>
    </row>
    <row r="735" spans="1:9" x14ac:dyDescent="0.25">
      <c r="A735" s="76"/>
      <c r="F735" s="70"/>
      <c r="G735" s="70"/>
      <c r="H735" s="70"/>
      <c r="I735" s="70"/>
    </row>
    <row r="736" spans="1:9" x14ac:dyDescent="0.25">
      <c r="A736" s="76"/>
      <c r="F736" s="70"/>
      <c r="G736" s="70"/>
      <c r="H736" s="70"/>
      <c r="I736" s="70"/>
    </row>
    <row r="737" spans="1:9" x14ac:dyDescent="0.25">
      <c r="A737" s="76"/>
      <c r="F737" s="70"/>
      <c r="G737" s="70"/>
      <c r="H737" s="70"/>
      <c r="I737" s="70"/>
    </row>
    <row r="738" spans="1:9" x14ac:dyDescent="0.25">
      <c r="A738" s="76"/>
      <c r="F738" s="70"/>
      <c r="G738" s="70"/>
      <c r="H738" s="70"/>
      <c r="I738" s="70"/>
    </row>
    <row r="739" spans="1:9" x14ac:dyDescent="0.25">
      <c r="A739" s="76"/>
      <c r="F739" s="70"/>
      <c r="G739" s="70"/>
      <c r="H739" s="70"/>
      <c r="I739" s="70"/>
    </row>
    <row r="740" spans="1:9" x14ac:dyDescent="0.25">
      <c r="A740" s="76"/>
      <c r="F740" s="70"/>
      <c r="G740" s="70"/>
      <c r="H740" s="70"/>
      <c r="I740" s="70"/>
    </row>
    <row r="741" spans="1:9" x14ac:dyDescent="0.25">
      <c r="A741" s="76"/>
      <c r="F741" s="70"/>
      <c r="G741" s="70"/>
      <c r="H741" s="70"/>
      <c r="I741" s="70"/>
    </row>
    <row r="742" spans="1:9" x14ac:dyDescent="0.25">
      <c r="A742" s="76"/>
      <c r="F742" s="70"/>
      <c r="G742" s="70"/>
      <c r="H742" s="70"/>
      <c r="I742" s="70"/>
    </row>
    <row r="743" spans="1:9" x14ac:dyDescent="0.25">
      <c r="A743" s="76"/>
      <c r="F743" s="70"/>
      <c r="G743" s="70"/>
      <c r="H743" s="70"/>
      <c r="I743" s="70"/>
    </row>
    <row r="744" spans="1:9" x14ac:dyDescent="0.25">
      <c r="A744" s="76"/>
      <c r="F744" s="70"/>
      <c r="G744" s="70"/>
      <c r="H744" s="70"/>
      <c r="I744" s="70"/>
    </row>
    <row r="745" spans="1:9" x14ac:dyDescent="0.25">
      <c r="A745" s="76"/>
      <c r="F745" s="70"/>
      <c r="G745" s="70"/>
      <c r="H745" s="70"/>
      <c r="I745" s="70"/>
    </row>
    <row r="746" spans="1:9" x14ac:dyDescent="0.25">
      <c r="A746" s="76"/>
      <c r="F746" s="70"/>
      <c r="G746" s="70"/>
      <c r="H746" s="70"/>
      <c r="I746" s="70"/>
    </row>
    <row r="747" spans="1:9" x14ac:dyDescent="0.25">
      <c r="A747" s="76"/>
      <c r="F747" s="70"/>
      <c r="G747" s="70"/>
      <c r="H747" s="70"/>
      <c r="I747" s="70"/>
    </row>
    <row r="748" spans="1:9" x14ac:dyDescent="0.25">
      <c r="A748" s="76"/>
      <c r="F748" s="70"/>
      <c r="G748" s="70"/>
      <c r="H748" s="70"/>
      <c r="I748" s="70"/>
    </row>
    <row r="749" spans="1:9" x14ac:dyDescent="0.25">
      <c r="A749" s="76"/>
      <c r="F749" s="70"/>
      <c r="G749" s="70"/>
      <c r="H749" s="70"/>
      <c r="I749" s="70"/>
    </row>
    <row r="750" spans="1:9" x14ac:dyDescent="0.25">
      <c r="A750" s="76"/>
      <c r="F750" s="70"/>
      <c r="G750" s="70"/>
      <c r="H750" s="70"/>
      <c r="I750" s="70"/>
    </row>
    <row r="751" spans="1:9" x14ac:dyDescent="0.25">
      <c r="A751" s="76"/>
      <c r="F751" s="70"/>
      <c r="G751" s="70"/>
      <c r="H751" s="70"/>
      <c r="I751" s="70"/>
    </row>
    <row r="752" spans="1:9" x14ac:dyDescent="0.25">
      <c r="A752" s="76"/>
      <c r="F752" s="70"/>
      <c r="G752" s="70"/>
      <c r="H752" s="70"/>
      <c r="I752" s="70"/>
    </row>
    <row r="753" spans="1:9" x14ac:dyDescent="0.25">
      <c r="A753" s="76"/>
      <c r="F753" s="70"/>
      <c r="G753" s="70"/>
      <c r="H753" s="70"/>
      <c r="I753" s="70"/>
    </row>
    <row r="754" spans="1:9" x14ac:dyDescent="0.25">
      <c r="A754" s="76"/>
      <c r="F754" s="70"/>
      <c r="G754" s="70"/>
      <c r="H754" s="70"/>
      <c r="I754" s="70"/>
    </row>
    <row r="755" spans="1:9" x14ac:dyDescent="0.25">
      <c r="A755" s="76"/>
      <c r="F755" s="70"/>
      <c r="G755" s="70"/>
      <c r="H755" s="70"/>
      <c r="I755" s="70"/>
    </row>
    <row r="756" spans="1:9" x14ac:dyDescent="0.25">
      <c r="A756" s="76"/>
      <c r="F756" s="70"/>
      <c r="G756" s="70"/>
      <c r="H756" s="70"/>
      <c r="I756" s="70"/>
    </row>
    <row r="757" spans="1:9" x14ac:dyDescent="0.25">
      <c r="A757" s="76"/>
      <c r="F757" s="70"/>
      <c r="G757" s="70"/>
      <c r="H757" s="70"/>
      <c r="I757" s="70"/>
    </row>
    <row r="758" spans="1:9" x14ac:dyDescent="0.25">
      <c r="A758" s="76"/>
      <c r="F758" s="70"/>
      <c r="G758" s="70"/>
      <c r="H758" s="70"/>
      <c r="I758" s="70"/>
    </row>
    <row r="759" spans="1:9" x14ac:dyDescent="0.25">
      <c r="A759" s="76"/>
      <c r="F759" s="70"/>
      <c r="G759" s="70"/>
      <c r="H759" s="70"/>
      <c r="I759" s="70"/>
    </row>
    <row r="760" spans="1:9" x14ac:dyDescent="0.25">
      <c r="A760" s="76"/>
      <c r="F760" s="70"/>
      <c r="G760" s="70"/>
      <c r="H760" s="70"/>
      <c r="I760" s="70"/>
    </row>
    <row r="761" spans="1:9" x14ac:dyDescent="0.25">
      <c r="A761" s="76"/>
      <c r="F761" s="70"/>
      <c r="G761" s="70"/>
      <c r="H761" s="70"/>
      <c r="I761" s="70"/>
    </row>
    <row r="762" spans="1:9" x14ac:dyDescent="0.25">
      <c r="A762" s="76"/>
      <c r="F762" s="70"/>
      <c r="G762" s="70"/>
      <c r="H762" s="70"/>
      <c r="I762" s="70"/>
    </row>
    <row r="763" spans="1:9" x14ac:dyDescent="0.25">
      <c r="A763" s="76"/>
      <c r="F763" s="70"/>
      <c r="G763" s="70"/>
      <c r="H763" s="70"/>
      <c r="I763" s="70"/>
    </row>
    <row r="764" spans="1:9" x14ac:dyDescent="0.25">
      <c r="A764" s="76"/>
      <c r="F764" s="70"/>
      <c r="G764" s="70"/>
      <c r="H764" s="70"/>
      <c r="I764" s="70"/>
    </row>
    <row r="765" spans="1:9" x14ac:dyDescent="0.25">
      <c r="A765" s="76"/>
      <c r="F765" s="70"/>
      <c r="G765" s="70"/>
      <c r="H765" s="70"/>
      <c r="I765" s="70"/>
    </row>
    <row r="766" spans="1:9" x14ac:dyDescent="0.25">
      <c r="A766" s="76"/>
      <c r="F766" s="70"/>
      <c r="G766" s="70"/>
      <c r="H766" s="70"/>
      <c r="I766" s="70"/>
    </row>
    <row r="767" spans="1:9" x14ac:dyDescent="0.25">
      <c r="A767" s="76"/>
      <c r="F767" s="70"/>
      <c r="G767" s="70"/>
      <c r="H767" s="70"/>
      <c r="I767" s="70"/>
    </row>
    <row r="768" spans="1:9" x14ac:dyDescent="0.25">
      <c r="A768" s="76"/>
      <c r="F768" s="70"/>
      <c r="G768" s="70"/>
      <c r="H768" s="70"/>
      <c r="I768" s="70"/>
    </row>
    <row r="769" spans="1:9" x14ac:dyDescent="0.25">
      <c r="A769" s="76"/>
      <c r="F769" s="70"/>
      <c r="G769" s="70"/>
      <c r="H769" s="70"/>
      <c r="I769" s="70"/>
    </row>
    <row r="770" spans="1:9" x14ac:dyDescent="0.25">
      <c r="A770" s="76"/>
      <c r="F770" s="70"/>
      <c r="G770" s="70"/>
      <c r="H770" s="70"/>
      <c r="I770" s="70"/>
    </row>
    <row r="771" spans="1:9" x14ac:dyDescent="0.25">
      <c r="A771" s="76"/>
      <c r="F771" s="70"/>
      <c r="G771" s="70"/>
      <c r="H771" s="70"/>
      <c r="I771" s="70"/>
    </row>
    <row r="772" spans="1:9" x14ac:dyDescent="0.25">
      <c r="A772" s="76"/>
      <c r="F772" s="70"/>
      <c r="G772" s="70"/>
      <c r="H772" s="70"/>
      <c r="I772" s="70"/>
    </row>
    <row r="773" spans="1:9" x14ac:dyDescent="0.25">
      <c r="A773" s="76"/>
      <c r="F773" s="70"/>
      <c r="G773" s="70"/>
      <c r="H773" s="70"/>
      <c r="I773" s="70"/>
    </row>
    <row r="774" spans="1:9" x14ac:dyDescent="0.25">
      <c r="A774" s="76"/>
      <c r="F774" s="70"/>
      <c r="G774" s="70"/>
      <c r="H774" s="70"/>
      <c r="I774" s="70"/>
    </row>
    <row r="775" spans="1:9" x14ac:dyDescent="0.25">
      <c r="A775" s="76"/>
      <c r="F775" s="70"/>
      <c r="G775" s="70"/>
      <c r="H775" s="70"/>
      <c r="I775" s="70"/>
    </row>
    <row r="776" spans="1:9" x14ac:dyDescent="0.25">
      <c r="A776" s="76"/>
      <c r="F776" s="70"/>
      <c r="G776" s="70"/>
      <c r="H776" s="70"/>
      <c r="I776" s="70"/>
    </row>
    <row r="777" spans="1:9" x14ac:dyDescent="0.25">
      <c r="A777" s="76"/>
      <c r="F777" s="70"/>
      <c r="G777" s="70"/>
      <c r="H777" s="70"/>
      <c r="I777" s="70"/>
    </row>
    <row r="778" spans="1:9" x14ac:dyDescent="0.25">
      <c r="A778" s="76"/>
      <c r="F778" s="70"/>
      <c r="G778" s="70"/>
      <c r="H778" s="70"/>
      <c r="I778" s="70"/>
    </row>
    <row r="779" spans="1:9" x14ac:dyDescent="0.25">
      <c r="A779" s="76"/>
      <c r="F779" s="70"/>
      <c r="G779" s="70"/>
      <c r="H779" s="70"/>
      <c r="I779" s="70"/>
    </row>
    <row r="780" spans="1:9" x14ac:dyDescent="0.25">
      <c r="A780" s="76"/>
      <c r="F780" s="70"/>
      <c r="G780" s="70"/>
      <c r="H780" s="70"/>
      <c r="I780" s="70"/>
    </row>
    <row r="781" spans="1:9" x14ac:dyDescent="0.25">
      <c r="A781" s="76"/>
      <c r="F781" s="70"/>
      <c r="G781" s="70"/>
      <c r="H781" s="70"/>
      <c r="I781" s="70"/>
    </row>
    <row r="782" spans="1:9" x14ac:dyDescent="0.25">
      <c r="A782" s="76"/>
      <c r="F782" s="70"/>
      <c r="G782" s="70"/>
      <c r="H782" s="70"/>
      <c r="I782" s="70"/>
    </row>
    <row r="783" spans="1:9" x14ac:dyDescent="0.25">
      <c r="A783" s="76"/>
      <c r="F783" s="70"/>
      <c r="G783" s="70"/>
      <c r="H783" s="70"/>
      <c r="I783" s="70"/>
    </row>
    <row r="784" spans="1:9" x14ac:dyDescent="0.25">
      <c r="A784" s="76"/>
      <c r="F784" s="70"/>
      <c r="G784" s="70"/>
      <c r="H784" s="70"/>
      <c r="I784" s="70"/>
    </row>
    <row r="785" spans="1:9" x14ac:dyDescent="0.25">
      <c r="A785" s="76"/>
      <c r="F785" s="70"/>
      <c r="G785" s="70"/>
      <c r="H785" s="70"/>
      <c r="I785" s="70"/>
    </row>
    <row r="786" spans="1:9" x14ac:dyDescent="0.25">
      <c r="A786" s="76"/>
      <c r="F786" s="70"/>
      <c r="G786" s="70"/>
      <c r="H786" s="70"/>
      <c r="I786" s="70"/>
    </row>
    <row r="787" spans="1:9" x14ac:dyDescent="0.25">
      <c r="A787" s="76"/>
      <c r="F787" s="70"/>
      <c r="G787" s="70"/>
      <c r="H787" s="70"/>
      <c r="I787" s="70"/>
    </row>
    <row r="788" spans="1:9" x14ac:dyDescent="0.25">
      <c r="A788" s="76"/>
      <c r="F788" s="70"/>
      <c r="G788" s="70"/>
      <c r="H788" s="70"/>
      <c r="I788" s="70"/>
    </row>
    <row r="789" spans="1:9" x14ac:dyDescent="0.25">
      <c r="A789" s="76"/>
      <c r="F789" s="70"/>
      <c r="G789" s="70"/>
      <c r="H789" s="70"/>
      <c r="I789" s="70"/>
    </row>
    <row r="790" spans="1:9" x14ac:dyDescent="0.25">
      <c r="A790" s="76"/>
      <c r="F790" s="70"/>
      <c r="G790" s="70"/>
      <c r="H790" s="70"/>
      <c r="I790" s="70"/>
    </row>
    <row r="791" spans="1:9" x14ac:dyDescent="0.25">
      <c r="A791" s="76"/>
      <c r="F791" s="70"/>
      <c r="G791" s="70"/>
      <c r="H791" s="70"/>
      <c r="I791" s="70"/>
    </row>
    <row r="792" spans="1:9" x14ac:dyDescent="0.25">
      <c r="A792" s="76"/>
      <c r="F792" s="70"/>
      <c r="G792" s="70"/>
      <c r="H792" s="70"/>
      <c r="I792" s="70"/>
    </row>
    <row r="793" spans="1:9" x14ac:dyDescent="0.25">
      <c r="A793" s="76"/>
      <c r="F793" s="70"/>
      <c r="G793" s="70"/>
      <c r="H793" s="70"/>
      <c r="I793" s="70"/>
    </row>
    <row r="794" spans="1:9" x14ac:dyDescent="0.25">
      <c r="A794" s="76"/>
      <c r="F794" s="70"/>
      <c r="G794" s="70"/>
      <c r="H794" s="70"/>
      <c r="I794" s="70"/>
    </row>
    <row r="795" spans="1:9" x14ac:dyDescent="0.25">
      <c r="A795" s="76"/>
      <c r="F795" s="70"/>
      <c r="G795" s="70"/>
      <c r="H795" s="70"/>
      <c r="I795" s="70"/>
    </row>
    <row r="796" spans="1:9" x14ac:dyDescent="0.25">
      <c r="A796" s="76"/>
      <c r="F796" s="70"/>
      <c r="G796" s="70"/>
      <c r="H796" s="70"/>
      <c r="I796" s="70"/>
    </row>
    <row r="797" spans="1:9" x14ac:dyDescent="0.25">
      <c r="A797" s="76"/>
      <c r="F797" s="70"/>
      <c r="G797" s="70"/>
      <c r="H797" s="70"/>
      <c r="I797" s="70"/>
    </row>
    <row r="798" spans="1:9" x14ac:dyDescent="0.25">
      <c r="A798" s="76"/>
      <c r="F798" s="70"/>
      <c r="G798" s="70"/>
      <c r="H798" s="70"/>
      <c r="I798" s="70"/>
    </row>
    <row r="799" spans="1:9" x14ac:dyDescent="0.25">
      <c r="A799" s="76"/>
      <c r="F799" s="70"/>
      <c r="G799" s="70"/>
      <c r="H799" s="70"/>
      <c r="I799" s="70"/>
    </row>
    <row r="800" spans="1:9" x14ac:dyDescent="0.25">
      <c r="A800" s="76"/>
      <c r="F800" s="70"/>
      <c r="G800" s="70"/>
      <c r="H800" s="70"/>
      <c r="I800" s="70"/>
    </row>
    <row r="801" spans="1:9" x14ac:dyDescent="0.25">
      <c r="A801" s="76"/>
      <c r="F801" s="70"/>
      <c r="G801" s="70"/>
      <c r="H801" s="70"/>
      <c r="I801" s="70"/>
    </row>
    <row r="802" spans="1:9" x14ac:dyDescent="0.25">
      <c r="A802" s="76"/>
      <c r="F802" s="70"/>
      <c r="G802" s="70"/>
      <c r="H802" s="70"/>
      <c r="I802" s="70"/>
    </row>
    <row r="803" spans="1:9" x14ac:dyDescent="0.25">
      <c r="A803" s="76"/>
      <c r="F803" s="70"/>
      <c r="G803" s="70"/>
      <c r="H803" s="70"/>
      <c r="I803" s="70"/>
    </row>
    <row r="804" spans="1:9" x14ac:dyDescent="0.25">
      <c r="A804" s="76"/>
      <c r="F804" s="70"/>
      <c r="G804" s="70"/>
      <c r="H804" s="70"/>
      <c r="I804" s="70"/>
    </row>
    <row r="805" spans="1:9" x14ac:dyDescent="0.25">
      <c r="A805" s="76"/>
      <c r="F805" s="70"/>
      <c r="G805" s="70"/>
      <c r="H805" s="70"/>
      <c r="I805" s="70"/>
    </row>
    <row r="806" spans="1:9" x14ac:dyDescent="0.25">
      <c r="A806" s="76"/>
      <c r="F806" s="70"/>
      <c r="G806" s="70"/>
      <c r="H806" s="70"/>
      <c r="I806" s="70"/>
    </row>
    <row r="807" spans="1:9" x14ac:dyDescent="0.25">
      <c r="A807" s="76"/>
      <c r="F807" s="70"/>
      <c r="G807" s="70"/>
      <c r="H807" s="70"/>
      <c r="I807" s="70"/>
    </row>
    <row r="808" spans="1:9" x14ac:dyDescent="0.25">
      <c r="A808" s="76"/>
      <c r="F808" s="70"/>
      <c r="G808" s="70"/>
      <c r="H808" s="70"/>
      <c r="I808" s="70"/>
    </row>
    <row r="809" spans="1:9" x14ac:dyDescent="0.25">
      <c r="A809" s="76"/>
      <c r="F809" s="70"/>
      <c r="G809" s="70"/>
      <c r="H809" s="70"/>
      <c r="I809" s="70"/>
    </row>
    <row r="810" spans="1:9" x14ac:dyDescent="0.25">
      <c r="A810" s="76"/>
      <c r="F810" s="70"/>
      <c r="G810" s="70"/>
      <c r="H810" s="70"/>
      <c r="I810" s="70"/>
    </row>
    <row r="811" spans="1:9" x14ac:dyDescent="0.25">
      <c r="A811" s="76"/>
      <c r="F811" s="70"/>
      <c r="G811" s="70"/>
      <c r="H811" s="70"/>
      <c r="I811" s="70"/>
    </row>
    <row r="812" spans="1:9" x14ac:dyDescent="0.25">
      <c r="A812" s="76"/>
      <c r="F812" s="70"/>
      <c r="G812" s="70"/>
      <c r="H812" s="70"/>
      <c r="I812" s="70"/>
    </row>
    <row r="813" spans="1:9" x14ac:dyDescent="0.25">
      <c r="A813" s="76"/>
      <c r="F813" s="70"/>
      <c r="G813" s="70"/>
      <c r="H813" s="70"/>
      <c r="I813" s="70"/>
    </row>
    <row r="814" spans="1:9" x14ac:dyDescent="0.25">
      <c r="A814" s="76"/>
      <c r="F814" s="70"/>
      <c r="G814" s="70"/>
      <c r="H814" s="70"/>
      <c r="I814" s="70"/>
    </row>
    <row r="815" spans="1:9" x14ac:dyDescent="0.25">
      <c r="A815" s="76"/>
      <c r="F815" s="70"/>
      <c r="G815" s="70"/>
      <c r="H815" s="70"/>
      <c r="I815" s="70"/>
    </row>
    <row r="816" spans="1:9" x14ac:dyDescent="0.25">
      <c r="A816" s="76"/>
      <c r="F816" s="70"/>
      <c r="G816" s="70"/>
      <c r="H816" s="70"/>
      <c r="I816" s="70"/>
    </row>
    <row r="817" spans="1:9" x14ac:dyDescent="0.25">
      <c r="A817" s="76"/>
      <c r="F817" s="70"/>
      <c r="G817" s="70"/>
      <c r="H817" s="70"/>
      <c r="I817" s="70"/>
    </row>
    <row r="818" spans="1:9" x14ac:dyDescent="0.25">
      <c r="A818" s="76"/>
      <c r="F818" s="70"/>
      <c r="G818" s="70"/>
      <c r="H818" s="70"/>
      <c r="I818" s="70"/>
    </row>
    <row r="819" spans="1:9" x14ac:dyDescent="0.25">
      <c r="A819" s="76"/>
      <c r="F819" s="70"/>
      <c r="G819" s="70"/>
      <c r="H819" s="70"/>
      <c r="I819" s="70"/>
    </row>
    <row r="820" spans="1:9" x14ac:dyDescent="0.25">
      <c r="A820" s="76"/>
      <c r="F820" s="70"/>
      <c r="G820" s="70"/>
      <c r="H820" s="70"/>
      <c r="I820" s="70"/>
    </row>
    <row r="821" spans="1:9" x14ac:dyDescent="0.25">
      <c r="A821" s="76"/>
      <c r="F821" s="70"/>
      <c r="G821" s="70"/>
      <c r="H821" s="70"/>
      <c r="I821" s="70"/>
    </row>
    <row r="822" spans="1:9" x14ac:dyDescent="0.25">
      <c r="A822" s="76"/>
      <c r="F822" s="70"/>
      <c r="G822" s="70"/>
      <c r="H822" s="70"/>
      <c r="I822" s="70"/>
    </row>
    <row r="823" spans="1:9" x14ac:dyDescent="0.25">
      <c r="A823" s="76"/>
      <c r="F823" s="70"/>
      <c r="G823" s="70"/>
      <c r="H823" s="70"/>
      <c r="I823" s="70"/>
    </row>
    <row r="824" spans="1:9" x14ac:dyDescent="0.25">
      <c r="A824" s="76"/>
      <c r="F824" s="70"/>
      <c r="G824" s="70"/>
      <c r="H824" s="70"/>
      <c r="I824" s="70"/>
    </row>
    <row r="825" spans="1:9" x14ac:dyDescent="0.25">
      <c r="A825" s="76"/>
      <c r="F825" s="70"/>
      <c r="G825" s="70"/>
      <c r="H825" s="70"/>
      <c r="I825" s="70"/>
    </row>
    <row r="826" spans="1:9" x14ac:dyDescent="0.25">
      <c r="A826" s="76"/>
      <c r="F826" s="70"/>
      <c r="G826" s="70"/>
      <c r="H826" s="70"/>
      <c r="I826" s="70"/>
    </row>
    <row r="827" spans="1:9" x14ac:dyDescent="0.25">
      <c r="A827" s="76"/>
      <c r="F827" s="70"/>
      <c r="G827" s="70"/>
      <c r="H827" s="70"/>
      <c r="I827" s="70"/>
    </row>
    <row r="828" spans="1:9" x14ac:dyDescent="0.25">
      <c r="A828" s="76"/>
      <c r="F828" s="70"/>
      <c r="G828" s="70"/>
      <c r="H828" s="70"/>
      <c r="I828" s="70"/>
    </row>
    <row r="829" spans="1:9" x14ac:dyDescent="0.25">
      <c r="A829" s="76"/>
      <c r="F829" s="70"/>
      <c r="G829" s="70"/>
      <c r="H829" s="70"/>
      <c r="I829" s="70"/>
    </row>
    <row r="830" spans="1:9" x14ac:dyDescent="0.25">
      <c r="A830" s="76"/>
      <c r="F830" s="70"/>
      <c r="G830" s="70"/>
      <c r="H830" s="70"/>
      <c r="I830" s="70"/>
    </row>
    <row r="831" spans="1:9" x14ac:dyDescent="0.25">
      <c r="A831" s="76"/>
      <c r="F831" s="70"/>
      <c r="G831" s="70"/>
      <c r="H831" s="70"/>
      <c r="I831" s="70"/>
    </row>
    <row r="832" spans="1:9" x14ac:dyDescent="0.25">
      <c r="A832" s="76"/>
      <c r="F832" s="70"/>
      <c r="G832" s="70"/>
      <c r="H832" s="70"/>
      <c r="I832" s="70"/>
    </row>
    <row r="833" spans="1:9" x14ac:dyDescent="0.25">
      <c r="A833" s="76"/>
      <c r="F833" s="70"/>
      <c r="G833" s="70"/>
      <c r="H833" s="70"/>
      <c r="I833" s="70"/>
    </row>
    <row r="834" spans="1:9" x14ac:dyDescent="0.25">
      <c r="A834" s="76"/>
      <c r="F834" s="70"/>
      <c r="G834" s="70"/>
      <c r="H834" s="70"/>
      <c r="I834" s="70"/>
    </row>
    <row r="835" spans="1:9" x14ac:dyDescent="0.25">
      <c r="A835" s="76"/>
      <c r="F835" s="70"/>
      <c r="G835" s="70"/>
      <c r="H835" s="70"/>
      <c r="I835" s="70"/>
    </row>
    <row r="836" spans="1:9" x14ac:dyDescent="0.25">
      <c r="A836" s="76"/>
      <c r="F836" s="70"/>
      <c r="G836" s="70"/>
      <c r="H836" s="70"/>
      <c r="I836" s="70"/>
    </row>
    <row r="837" spans="1:9" x14ac:dyDescent="0.25">
      <c r="A837" s="76"/>
      <c r="F837" s="70"/>
      <c r="G837" s="70"/>
      <c r="H837" s="70"/>
      <c r="I837" s="70"/>
    </row>
    <row r="838" spans="1:9" x14ac:dyDescent="0.25">
      <c r="A838" s="76"/>
      <c r="F838" s="70"/>
      <c r="G838" s="70"/>
      <c r="H838" s="70"/>
      <c r="I838" s="70"/>
    </row>
    <row r="839" spans="1:9" x14ac:dyDescent="0.25">
      <c r="A839" s="76"/>
      <c r="F839" s="70"/>
      <c r="G839" s="70"/>
      <c r="H839" s="70"/>
      <c r="I839" s="70"/>
    </row>
    <row r="840" spans="1:9" x14ac:dyDescent="0.25">
      <c r="A840" s="76"/>
      <c r="F840" s="70"/>
      <c r="G840" s="70"/>
      <c r="H840" s="70"/>
      <c r="I840" s="70"/>
    </row>
    <row r="841" spans="1:9" x14ac:dyDescent="0.25">
      <c r="A841" s="76"/>
      <c r="F841" s="70"/>
      <c r="G841" s="70"/>
      <c r="H841" s="70"/>
      <c r="I841" s="70"/>
    </row>
    <row r="842" spans="1:9" x14ac:dyDescent="0.25">
      <c r="A842" s="76"/>
      <c r="F842" s="70"/>
      <c r="G842" s="70"/>
      <c r="H842" s="70"/>
      <c r="I842" s="70"/>
    </row>
    <row r="843" spans="1:9" x14ac:dyDescent="0.25">
      <c r="A843" s="76"/>
      <c r="F843" s="70"/>
      <c r="G843" s="70"/>
      <c r="H843" s="70"/>
      <c r="I843" s="70"/>
    </row>
    <row r="844" spans="1:9" x14ac:dyDescent="0.25">
      <c r="A844" s="76"/>
      <c r="F844" s="70"/>
      <c r="G844" s="70"/>
      <c r="H844" s="70"/>
      <c r="I844" s="70"/>
    </row>
    <row r="845" spans="1:9" x14ac:dyDescent="0.25">
      <c r="A845" s="76"/>
      <c r="F845" s="70"/>
      <c r="G845" s="70"/>
      <c r="H845" s="70"/>
      <c r="I845" s="70"/>
    </row>
    <row r="846" spans="1:9" x14ac:dyDescent="0.25">
      <c r="A846" s="76"/>
      <c r="F846" s="70"/>
      <c r="G846" s="70"/>
      <c r="H846" s="70"/>
      <c r="I846" s="70"/>
    </row>
    <row r="847" spans="1:9" x14ac:dyDescent="0.25">
      <c r="A847" s="76"/>
      <c r="F847" s="70"/>
      <c r="G847" s="70"/>
      <c r="H847" s="70"/>
      <c r="I847" s="70"/>
    </row>
    <row r="848" spans="1:9" x14ac:dyDescent="0.25">
      <c r="A848" s="76"/>
      <c r="F848" s="70"/>
      <c r="G848" s="70"/>
      <c r="H848" s="70"/>
      <c r="I848" s="70"/>
    </row>
    <row r="849" spans="1:9" x14ac:dyDescent="0.25">
      <c r="A849" s="76"/>
      <c r="F849" s="70"/>
      <c r="G849" s="70"/>
      <c r="H849" s="70"/>
      <c r="I849" s="70"/>
    </row>
    <row r="850" spans="1:9" x14ac:dyDescent="0.25">
      <c r="A850" s="76"/>
      <c r="F850" s="70"/>
      <c r="G850" s="70"/>
      <c r="H850" s="70"/>
      <c r="I850" s="70"/>
    </row>
    <row r="851" spans="1:9" x14ac:dyDescent="0.25">
      <c r="A851" s="76"/>
      <c r="F851" s="70"/>
      <c r="G851" s="70"/>
      <c r="H851" s="70"/>
      <c r="I851" s="70"/>
    </row>
    <row r="852" spans="1:9" x14ac:dyDescent="0.25">
      <c r="A852" s="76"/>
      <c r="F852" s="70"/>
      <c r="G852" s="70"/>
      <c r="H852" s="70"/>
      <c r="I852" s="70"/>
    </row>
    <row r="853" spans="1:9" x14ac:dyDescent="0.25">
      <c r="A853" s="76"/>
      <c r="F853" s="70"/>
      <c r="G853" s="70"/>
      <c r="H853" s="70"/>
      <c r="I853" s="70"/>
    </row>
    <row r="854" spans="1:9" x14ac:dyDescent="0.25">
      <c r="A854" s="76"/>
      <c r="F854" s="70"/>
      <c r="G854" s="70"/>
      <c r="H854" s="70"/>
      <c r="I854" s="70"/>
    </row>
    <row r="855" spans="1:9" x14ac:dyDescent="0.25">
      <c r="A855" s="76"/>
      <c r="F855" s="70"/>
      <c r="G855" s="70"/>
      <c r="H855" s="70"/>
      <c r="I855" s="70"/>
    </row>
    <row r="856" spans="1:9" x14ac:dyDescent="0.25">
      <c r="A856" s="76"/>
      <c r="F856" s="70"/>
      <c r="G856" s="70"/>
      <c r="H856" s="70"/>
      <c r="I856" s="70"/>
    </row>
    <row r="857" spans="1:9" x14ac:dyDescent="0.25">
      <c r="A857" s="76"/>
      <c r="F857" s="70"/>
      <c r="G857" s="70"/>
      <c r="H857" s="70"/>
      <c r="I857" s="70"/>
    </row>
    <row r="858" spans="1:9" x14ac:dyDescent="0.25">
      <c r="A858" s="76"/>
      <c r="F858" s="70"/>
      <c r="G858" s="70"/>
      <c r="H858" s="70"/>
      <c r="I858" s="70"/>
    </row>
    <row r="859" spans="1:9" x14ac:dyDescent="0.25">
      <c r="A859" s="76"/>
      <c r="F859" s="70"/>
      <c r="G859" s="70"/>
      <c r="H859" s="70"/>
      <c r="I859" s="70"/>
    </row>
    <row r="860" spans="1:9" x14ac:dyDescent="0.25">
      <c r="A860" s="76"/>
      <c r="F860" s="70"/>
      <c r="G860" s="70"/>
      <c r="H860" s="70"/>
      <c r="I860" s="70"/>
    </row>
    <row r="861" spans="1:9" x14ac:dyDescent="0.25">
      <c r="A861" s="76"/>
      <c r="F861" s="70"/>
      <c r="G861" s="70"/>
      <c r="H861" s="70"/>
      <c r="I861" s="70"/>
    </row>
    <row r="862" spans="1:9" x14ac:dyDescent="0.25">
      <c r="A862" s="76"/>
      <c r="F862" s="70"/>
      <c r="G862" s="70"/>
      <c r="H862" s="70"/>
      <c r="I862" s="70"/>
    </row>
    <row r="863" spans="1:9" x14ac:dyDescent="0.25">
      <c r="A863" s="76"/>
      <c r="F863" s="70"/>
      <c r="G863" s="70"/>
      <c r="H863" s="70"/>
      <c r="I863" s="70"/>
    </row>
    <row r="864" spans="1:9" x14ac:dyDescent="0.25">
      <c r="A864" s="76"/>
      <c r="F864" s="70"/>
      <c r="G864" s="70"/>
      <c r="H864" s="70"/>
      <c r="I864" s="70"/>
    </row>
    <row r="865" spans="1:9" x14ac:dyDescent="0.25">
      <c r="A865" s="76"/>
      <c r="F865" s="70"/>
      <c r="G865" s="70"/>
      <c r="H865" s="70"/>
      <c r="I865" s="70"/>
    </row>
    <row r="866" spans="1:9" x14ac:dyDescent="0.25">
      <c r="A866" s="76"/>
      <c r="F866" s="70"/>
      <c r="G866" s="70"/>
      <c r="H866" s="70"/>
      <c r="I866" s="70"/>
    </row>
    <row r="867" spans="1:9" x14ac:dyDescent="0.25">
      <c r="A867" s="76"/>
      <c r="F867" s="70"/>
      <c r="G867" s="70"/>
      <c r="H867" s="70"/>
      <c r="I867" s="70"/>
    </row>
    <row r="868" spans="1:9" x14ac:dyDescent="0.25">
      <c r="A868" s="76"/>
      <c r="F868" s="70"/>
      <c r="G868" s="70"/>
      <c r="H868" s="70"/>
      <c r="I868" s="70"/>
    </row>
    <row r="869" spans="1:9" x14ac:dyDescent="0.25">
      <c r="A869" s="76"/>
      <c r="F869" s="70"/>
      <c r="G869" s="70"/>
      <c r="H869" s="70"/>
      <c r="I869" s="70"/>
    </row>
    <row r="870" spans="1:9" x14ac:dyDescent="0.25">
      <c r="A870" s="76"/>
      <c r="F870" s="70"/>
      <c r="G870" s="70"/>
      <c r="H870" s="70"/>
      <c r="I870" s="70"/>
    </row>
    <row r="871" spans="1:9" x14ac:dyDescent="0.25">
      <c r="A871" s="76"/>
      <c r="F871" s="70"/>
      <c r="G871" s="70"/>
      <c r="H871" s="70"/>
      <c r="I871" s="70"/>
    </row>
    <row r="872" spans="1:9" x14ac:dyDescent="0.25">
      <c r="A872" s="76"/>
      <c r="F872" s="70"/>
      <c r="G872" s="70"/>
      <c r="H872" s="70"/>
      <c r="I872" s="70"/>
    </row>
    <row r="873" spans="1:9" x14ac:dyDescent="0.25">
      <c r="A873" s="76"/>
      <c r="F873" s="70"/>
      <c r="G873" s="70"/>
      <c r="H873" s="70"/>
      <c r="I873" s="70"/>
    </row>
    <row r="874" spans="1:9" x14ac:dyDescent="0.25">
      <c r="A874" s="76"/>
      <c r="F874" s="70"/>
      <c r="G874" s="70"/>
      <c r="H874" s="70"/>
      <c r="I874" s="70"/>
    </row>
    <row r="875" spans="1:9" x14ac:dyDescent="0.25">
      <c r="A875" s="76"/>
      <c r="F875" s="70"/>
      <c r="G875" s="70"/>
      <c r="H875" s="70"/>
      <c r="I875" s="70"/>
    </row>
    <row r="876" spans="1:9" x14ac:dyDescent="0.25">
      <c r="A876" s="76"/>
      <c r="F876" s="70"/>
      <c r="G876" s="70"/>
      <c r="H876" s="70"/>
      <c r="I876" s="70"/>
    </row>
    <row r="877" spans="1:9" x14ac:dyDescent="0.25">
      <c r="A877" s="76"/>
      <c r="F877" s="70"/>
      <c r="G877" s="70"/>
      <c r="H877" s="70"/>
      <c r="I877" s="70"/>
    </row>
    <row r="878" spans="1:9" x14ac:dyDescent="0.25">
      <c r="A878" s="76"/>
      <c r="F878" s="70"/>
      <c r="G878" s="70"/>
      <c r="H878" s="70"/>
      <c r="I878" s="70"/>
    </row>
    <row r="879" spans="1:9" x14ac:dyDescent="0.25">
      <c r="A879" s="76"/>
      <c r="F879" s="70"/>
      <c r="G879" s="70"/>
      <c r="H879" s="70"/>
      <c r="I879" s="70"/>
    </row>
    <row r="880" spans="1:9" x14ac:dyDescent="0.25">
      <c r="A880" s="76"/>
      <c r="F880" s="70"/>
      <c r="G880" s="70"/>
      <c r="H880" s="70"/>
      <c r="I880" s="70"/>
    </row>
    <row r="881" spans="1:9" x14ac:dyDescent="0.25">
      <c r="A881" s="76"/>
      <c r="F881" s="70"/>
      <c r="G881" s="70"/>
      <c r="H881" s="70"/>
      <c r="I881" s="70"/>
    </row>
    <row r="882" spans="1:9" x14ac:dyDescent="0.25">
      <c r="A882" s="76"/>
      <c r="F882" s="70"/>
      <c r="G882" s="70"/>
      <c r="H882" s="70"/>
      <c r="I882" s="70"/>
    </row>
    <row r="883" spans="1:9" x14ac:dyDescent="0.25">
      <c r="A883" s="76"/>
      <c r="F883" s="70"/>
      <c r="G883" s="70"/>
      <c r="H883" s="70"/>
      <c r="I883" s="70"/>
    </row>
    <row r="884" spans="1:9" x14ac:dyDescent="0.25">
      <c r="A884" s="76"/>
      <c r="F884" s="70"/>
      <c r="G884" s="70"/>
      <c r="H884" s="70"/>
      <c r="I884" s="70"/>
    </row>
    <row r="885" spans="1:9" x14ac:dyDescent="0.25">
      <c r="A885" s="76"/>
      <c r="F885" s="70"/>
      <c r="G885" s="70"/>
      <c r="H885" s="70"/>
      <c r="I885" s="70"/>
    </row>
    <row r="886" spans="1:9" x14ac:dyDescent="0.25">
      <c r="A886" s="76"/>
      <c r="F886" s="70"/>
      <c r="G886" s="70"/>
      <c r="H886" s="70"/>
      <c r="I886" s="70"/>
    </row>
    <row r="887" spans="1:9" x14ac:dyDescent="0.25">
      <c r="A887" s="76"/>
      <c r="F887" s="70"/>
      <c r="G887" s="70"/>
      <c r="H887" s="70"/>
      <c r="I887" s="70"/>
    </row>
    <row r="888" spans="1:9" x14ac:dyDescent="0.25">
      <c r="A888" s="76"/>
      <c r="F888" s="70"/>
      <c r="G888" s="70"/>
      <c r="H888" s="70"/>
      <c r="I888" s="70"/>
    </row>
    <row r="889" spans="1:9" x14ac:dyDescent="0.25">
      <c r="A889" s="76"/>
      <c r="F889" s="70"/>
      <c r="G889" s="70"/>
      <c r="H889" s="70"/>
      <c r="I889" s="70"/>
    </row>
    <row r="890" spans="1:9" x14ac:dyDescent="0.25">
      <c r="A890" s="76"/>
      <c r="F890" s="70"/>
      <c r="G890" s="70"/>
      <c r="H890" s="70"/>
      <c r="I890" s="70"/>
    </row>
    <row r="891" spans="1:9" x14ac:dyDescent="0.25">
      <c r="A891" s="76"/>
      <c r="F891" s="70"/>
      <c r="G891" s="70"/>
      <c r="H891" s="70"/>
      <c r="I891" s="70"/>
    </row>
    <row r="892" spans="1:9" x14ac:dyDescent="0.25">
      <c r="A892" s="76"/>
      <c r="F892" s="70"/>
      <c r="G892" s="70"/>
      <c r="H892" s="70"/>
      <c r="I892" s="70"/>
    </row>
    <row r="893" spans="1:9" x14ac:dyDescent="0.25">
      <c r="A893" s="76"/>
      <c r="F893" s="70"/>
      <c r="G893" s="70"/>
      <c r="H893" s="70"/>
      <c r="I893" s="70"/>
    </row>
    <row r="894" spans="1:9" x14ac:dyDescent="0.25">
      <c r="A894" s="76"/>
      <c r="F894" s="70"/>
      <c r="G894" s="70"/>
      <c r="H894" s="70"/>
      <c r="I894" s="70"/>
    </row>
    <row r="895" spans="1:9" x14ac:dyDescent="0.25">
      <c r="A895" s="76"/>
      <c r="F895" s="70"/>
      <c r="G895" s="70"/>
      <c r="H895" s="70"/>
      <c r="I895" s="70"/>
    </row>
    <row r="896" spans="1:9" x14ac:dyDescent="0.25">
      <c r="A896" s="76"/>
      <c r="F896" s="70"/>
      <c r="G896" s="70"/>
      <c r="H896" s="70"/>
      <c r="I896" s="70"/>
    </row>
    <row r="897" spans="1:9" x14ac:dyDescent="0.25">
      <c r="A897" s="76"/>
      <c r="F897" s="70"/>
      <c r="G897" s="70"/>
      <c r="H897" s="70"/>
      <c r="I897" s="70"/>
    </row>
    <row r="898" spans="1:9" x14ac:dyDescent="0.25">
      <c r="A898" s="76"/>
      <c r="F898" s="70"/>
      <c r="G898" s="70"/>
      <c r="H898" s="70"/>
      <c r="I898" s="70"/>
    </row>
    <row r="899" spans="1:9" x14ac:dyDescent="0.25">
      <c r="A899" s="76"/>
      <c r="F899" s="70"/>
      <c r="G899" s="70"/>
      <c r="H899" s="70"/>
      <c r="I899" s="70"/>
    </row>
    <row r="900" spans="1:9" x14ac:dyDescent="0.25">
      <c r="A900" s="76"/>
      <c r="F900" s="70"/>
      <c r="G900" s="70"/>
      <c r="H900" s="70"/>
      <c r="I900" s="70"/>
    </row>
    <row r="901" spans="1:9" x14ac:dyDescent="0.25">
      <c r="A901" s="76"/>
      <c r="F901" s="70"/>
      <c r="G901" s="70"/>
      <c r="H901" s="70"/>
      <c r="I901" s="70"/>
    </row>
    <row r="902" spans="1:9" x14ac:dyDescent="0.25">
      <c r="A902" s="76"/>
      <c r="F902" s="70"/>
      <c r="G902" s="70"/>
      <c r="H902" s="70"/>
      <c r="I902" s="70"/>
    </row>
    <row r="903" spans="1:9" x14ac:dyDescent="0.25">
      <c r="A903" s="76"/>
      <c r="F903" s="70"/>
      <c r="G903" s="70"/>
      <c r="H903" s="70"/>
      <c r="I903" s="70"/>
    </row>
    <row r="904" spans="1:9" x14ac:dyDescent="0.25">
      <c r="A904" s="76"/>
      <c r="F904" s="70"/>
      <c r="G904" s="70"/>
      <c r="H904" s="70"/>
      <c r="I904" s="70"/>
    </row>
    <row r="905" spans="1:9" x14ac:dyDescent="0.25">
      <c r="A905" s="76"/>
      <c r="F905" s="70"/>
      <c r="G905" s="70"/>
      <c r="H905" s="70"/>
      <c r="I905" s="70"/>
    </row>
    <row r="906" spans="1:9" x14ac:dyDescent="0.25">
      <c r="A906" s="76"/>
      <c r="F906" s="70"/>
      <c r="G906" s="70"/>
      <c r="H906" s="70"/>
      <c r="I906" s="70"/>
    </row>
    <row r="907" spans="1:9" x14ac:dyDescent="0.25">
      <c r="A907" s="76"/>
      <c r="F907" s="70"/>
      <c r="G907" s="70"/>
      <c r="H907" s="70"/>
      <c r="I907" s="70"/>
    </row>
    <row r="908" spans="1:9" x14ac:dyDescent="0.25">
      <c r="A908" s="76"/>
      <c r="F908" s="70"/>
      <c r="G908" s="70"/>
      <c r="H908" s="70"/>
      <c r="I908" s="70"/>
    </row>
    <row r="909" spans="1:9" x14ac:dyDescent="0.25">
      <c r="A909" s="76"/>
      <c r="F909" s="70"/>
      <c r="G909" s="70"/>
      <c r="H909" s="70"/>
      <c r="I909" s="70"/>
    </row>
    <row r="910" spans="1:9" x14ac:dyDescent="0.25">
      <c r="A910" s="76"/>
      <c r="F910" s="70"/>
      <c r="G910" s="70"/>
      <c r="H910" s="70"/>
      <c r="I910" s="70"/>
    </row>
    <row r="911" spans="1:9" x14ac:dyDescent="0.25">
      <c r="A911" s="76"/>
      <c r="F911" s="70"/>
      <c r="G911" s="70"/>
      <c r="H911" s="70"/>
      <c r="I911" s="70"/>
    </row>
    <row r="912" spans="1:9" x14ac:dyDescent="0.25">
      <c r="A912" s="76"/>
      <c r="F912" s="70"/>
      <c r="G912" s="70"/>
      <c r="H912" s="70"/>
      <c r="I912" s="70"/>
    </row>
    <row r="913" spans="1:9" x14ac:dyDescent="0.25">
      <c r="A913" s="76"/>
      <c r="F913" s="70"/>
      <c r="G913" s="70"/>
      <c r="H913" s="70"/>
      <c r="I913" s="70"/>
    </row>
    <row r="914" spans="1:9" x14ac:dyDescent="0.25">
      <c r="A914" s="76"/>
      <c r="F914" s="70"/>
      <c r="G914" s="70"/>
      <c r="H914" s="70"/>
      <c r="I914" s="70"/>
    </row>
    <row r="915" spans="1:9" x14ac:dyDescent="0.25">
      <c r="A915" s="76"/>
      <c r="F915" s="70"/>
      <c r="G915" s="70"/>
      <c r="H915" s="70"/>
      <c r="I915" s="70"/>
    </row>
    <row r="916" spans="1:9" x14ac:dyDescent="0.25">
      <c r="A916" s="76"/>
      <c r="F916" s="70"/>
      <c r="G916" s="70"/>
      <c r="H916" s="70"/>
      <c r="I916" s="70"/>
    </row>
    <row r="917" spans="1:9" x14ac:dyDescent="0.25">
      <c r="A917" s="76"/>
      <c r="F917" s="70"/>
      <c r="G917" s="70"/>
      <c r="H917" s="70"/>
      <c r="I917" s="70"/>
    </row>
    <row r="918" spans="1:9" x14ac:dyDescent="0.25">
      <c r="A918" s="76"/>
      <c r="F918" s="70"/>
      <c r="G918" s="70"/>
      <c r="H918" s="70"/>
      <c r="I918" s="70"/>
    </row>
    <row r="919" spans="1:9" x14ac:dyDescent="0.25">
      <c r="A919" s="76"/>
      <c r="F919" s="70"/>
      <c r="G919" s="70"/>
      <c r="H919" s="70"/>
      <c r="I919" s="70"/>
    </row>
    <row r="920" spans="1:9" x14ac:dyDescent="0.25">
      <c r="A920" s="76"/>
      <c r="F920" s="70"/>
      <c r="G920" s="70"/>
      <c r="H920" s="70"/>
      <c r="I920" s="70"/>
    </row>
    <row r="921" spans="1:9" x14ac:dyDescent="0.25">
      <c r="A921" s="76"/>
      <c r="F921" s="70"/>
      <c r="G921" s="70"/>
      <c r="H921" s="70"/>
      <c r="I921" s="70"/>
    </row>
    <row r="922" spans="1:9" x14ac:dyDescent="0.25">
      <c r="A922" s="76"/>
      <c r="F922" s="70"/>
      <c r="G922" s="70"/>
      <c r="H922" s="70"/>
      <c r="I922" s="70"/>
    </row>
    <row r="923" spans="1:9" x14ac:dyDescent="0.25">
      <c r="A923" s="76"/>
      <c r="F923" s="70"/>
      <c r="G923" s="70"/>
      <c r="H923" s="70"/>
      <c r="I923" s="70"/>
    </row>
    <row r="924" spans="1:9" x14ac:dyDescent="0.25">
      <c r="A924" s="76"/>
      <c r="F924" s="70"/>
      <c r="G924" s="70"/>
      <c r="H924" s="70"/>
      <c r="I924" s="70"/>
    </row>
    <row r="925" spans="1:9" x14ac:dyDescent="0.25">
      <c r="A925" s="76"/>
      <c r="F925" s="70"/>
      <c r="G925" s="70"/>
      <c r="H925" s="70"/>
      <c r="I925" s="70"/>
    </row>
    <row r="926" spans="1:9" x14ac:dyDescent="0.25">
      <c r="A926" s="76"/>
      <c r="F926" s="70"/>
      <c r="G926" s="70"/>
      <c r="H926" s="70"/>
      <c r="I926" s="70"/>
    </row>
    <row r="927" spans="1:9" x14ac:dyDescent="0.25">
      <c r="A927" s="76"/>
      <c r="F927" s="70"/>
      <c r="G927" s="70"/>
      <c r="H927" s="70"/>
      <c r="I927" s="70"/>
    </row>
    <row r="928" spans="1:9" x14ac:dyDescent="0.25">
      <c r="A928" s="76"/>
      <c r="F928" s="70"/>
      <c r="G928" s="70"/>
      <c r="H928" s="70"/>
      <c r="I928" s="70"/>
    </row>
    <row r="929" spans="1:9" x14ac:dyDescent="0.25">
      <c r="A929" s="76"/>
      <c r="F929" s="70"/>
      <c r="G929" s="70"/>
      <c r="H929" s="70"/>
      <c r="I929" s="70"/>
    </row>
    <row r="930" spans="1:9" x14ac:dyDescent="0.25">
      <c r="A930" s="76"/>
      <c r="F930" s="70"/>
      <c r="G930" s="70"/>
      <c r="H930" s="70"/>
      <c r="I930" s="70"/>
    </row>
    <row r="931" spans="1:9" x14ac:dyDescent="0.25">
      <c r="A931" s="76"/>
      <c r="F931" s="70"/>
      <c r="G931" s="70"/>
      <c r="H931" s="70"/>
      <c r="I931" s="70"/>
    </row>
    <row r="932" spans="1:9" x14ac:dyDescent="0.25">
      <c r="A932" s="76"/>
      <c r="F932" s="70"/>
      <c r="G932" s="70"/>
      <c r="H932" s="70"/>
      <c r="I932" s="70"/>
    </row>
    <row r="933" spans="1:9" x14ac:dyDescent="0.25">
      <c r="A933" s="76"/>
      <c r="F933" s="70"/>
      <c r="G933" s="70"/>
      <c r="H933" s="70"/>
      <c r="I933" s="70"/>
    </row>
    <row r="934" spans="1:9" x14ac:dyDescent="0.25">
      <c r="A934" s="76"/>
      <c r="F934" s="70"/>
      <c r="G934" s="70"/>
      <c r="H934" s="70"/>
      <c r="I934" s="70"/>
    </row>
    <row r="935" spans="1:9" x14ac:dyDescent="0.25">
      <c r="A935" s="76"/>
      <c r="F935" s="70"/>
      <c r="G935" s="70"/>
      <c r="H935" s="70"/>
      <c r="I935" s="70"/>
    </row>
    <row r="936" spans="1:9" x14ac:dyDescent="0.25">
      <c r="A936" s="76"/>
      <c r="F936" s="70"/>
      <c r="G936" s="70"/>
      <c r="H936" s="70"/>
      <c r="I936" s="70"/>
    </row>
    <row r="937" spans="1:9" x14ac:dyDescent="0.25">
      <c r="A937" s="76"/>
      <c r="F937" s="70"/>
      <c r="G937" s="70"/>
      <c r="H937" s="70"/>
      <c r="I937" s="70"/>
    </row>
    <row r="938" spans="1:9" x14ac:dyDescent="0.25">
      <c r="A938" s="76"/>
      <c r="F938" s="70"/>
      <c r="G938" s="70"/>
      <c r="H938" s="70"/>
      <c r="I938" s="70"/>
    </row>
    <row r="939" spans="1:9" x14ac:dyDescent="0.25">
      <c r="A939" s="76"/>
      <c r="F939" s="70"/>
      <c r="G939" s="70"/>
      <c r="H939" s="70"/>
      <c r="I939" s="70"/>
    </row>
    <row r="940" spans="1:9" x14ac:dyDescent="0.25">
      <c r="A940" s="76"/>
      <c r="F940" s="70"/>
      <c r="G940" s="70"/>
      <c r="H940" s="70"/>
      <c r="I940" s="70"/>
    </row>
    <row r="941" spans="1:9" x14ac:dyDescent="0.25">
      <c r="A941" s="76"/>
      <c r="F941" s="70"/>
      <c r="G941" s="70"/>
      <c r="H941" s="70"/>
      <c r="I941" s="70"/>
    </row>
    <row r="942" spans="1:9" x14ac:dyDescent="0.25">
      <c r="A942" s="76"/>
      <c r="F942" s="70"/>
      <c r="G942" s="70"/>
      <c r="H942" s="70"/>
      <c r="I942" s="70"/>
    </row>
    <row r="943" spans="1:9" x14ac:dyDescent="0.25">
      <c r="A943" s="76"/>
      <c r="F943" s="70"/>
      <c r="G943" s="70"/>
      <c r="H943" s="70"/>
      <c r="I943" s="70"/>
    </row>
    <row r="944" spans="1:9" x14ac:dyDescent="0.25">
      <c r="A944" s="76"/>
      <c r="F944" s="70"/>
      <c r="G944" s="70"/>
      <c r="H944" s="70"/>
      <c r="I944" s="70"/>
    </row>
    <row r="945" spans="1:9" x14ac:dyDescent="0.25">
      <c r="A945" s="76"/>
      <c r="F945" s="70"/>
      <c r="G945" s="70"/>
      <c r="H945" s="70"/>
      <c r="I945" s="70"/>
    </row>
    <row r="946" spans="1:9" x14ac:dyDescent="0.25">
      <c r="A946" s="76"/>
      <c r="F946" s="70"/>
      <c r="G946" s="70"/>
      <c r="H946" s="70"/>
      <c r="I946" s="70"/>
    </row>
    <row r="947" spans="1:9" x14ac:dyDescent="0.25">
      <c r="A947" s="76"/>
      <c r="F947" s="70"/>
      <c r="G947" s="70"/>
      <c r="H947" s="70"/>
      <c r="I947" s="70"/>
    </row>
    <row r="948" spans="1:9" x14ac:dyDescent="0.25">
      <c r="A948" s="76"/>
      <c r="F948" s="70"/>
      <c r="G948" s="70"/>
      <c r="H948" s="70"/>
      <c r="I948" s="70"/>
    </row>
    <row r="949" spans="1:9" x14ac:dyDescent="0.25">
      <c r="A949" s="76"/>
      <c r="F949" s="70"/>
      <c r="G949" s="70"/>
      <c r="H949" s="70"/>
      <c r="I949" s="70"/>
    </row>
    <row r="950" spans="1:9" x14ac:dyDescent="0.25">
      <c r="A950" s="76"/>
      <c r="F950" s="70"/>
      <c r="G950" s="70"/>
      <c r="H950" s="70"/>
      <c r="I950" s="70"/>
    </row>
    <row r="951" spans="1:9" x14ac:dyDescent="0.25">
      <c r="A951" s="76"/>
      <c r="F951" s="70"/>
      <c r="G951" s="70"/>
      <c r="H951" s="70"/>
      <c r="I951" s="70"/>
    </row>
    <row r="952" spans="1:9" x14ac:dyDescent="0.25">
      <c r="A952" s="76"/>
      <c r="F952" s="70"/>
      <c r="G952" s="70"/>
      <c r="H952" s="70"/>
      <c r="I952" s="70"/>
    </row>
    <row r="953" spans="1:9" x14ac:dyDescent="0.25">
      <c r="A953" s="76"/>
      <c r="F953" s="70"/>
      <c r="G953" s="70"/>
      <c r="H953" s="70"/>
      <c r="I953" s="70"/>
    </row>
    <row r="954" spans="1:9" x14ac:dyDescent="0.25">
      <c r="A954" s="76"/>
      <c r="F954" s="70"/>
      <c r="G954" s="70"/>
      <c r="H954" s="70"/>
      <c r="I954" s="70"/>
    </row>
    <row r="955" spans="1:9" x14ac:dyDescent="0.25">
      <c r="A955" s="76"/>
      <c r="F955" s="70"/>
      <c r="G955" s="70"/>
      <c r="H955" s="70"/>
      <c r="I955" s="70"/>
    </row>
    <row r="956" spans="1:9" x14ac:dyDescent="0.25">
      <c r="A956" s="76"/>
      <c r="F956" s="70"/>
      <c r="G956" s="70"/>
      <c r="H956" s="70"/>
      <c r="I956" s="70"/>
    </row>
    <row r="957" spans="1:9" x14ac:dyDescent="0.25">
      <c r="A957" s="76"/>
      <c r="F957" s="70"/>
      <c r="G957" s="70"/>
      <c r="H957" s="70"/>
      <c r="I957" s="70"/>
    </row>
    <row r="958" spans="1:9" x14ac:dyDescent="0.25">
      <c r="A958" s="76"/>
      <c r="F958" s="70"/>
      <c r="G958" s="70"/>
      <c r="H958" s="70"/>
      <c r="I958" s="70"/>
    </row>
    <row r="959" spans="1:9" x14ac:dyDescent="0.25">
      <c r="A959" s="76"/>
      <c r="F959" s="70"/>
      <c r="G959" s="70"/>
      <c r="H959" s="70"/>
      <c r="I959" s="70"/>
    </row>
    <row r="960" spans="1:9" x14ac:dyDescent="0.25">
      <c r="A960" s="76"/>
      <c r="F960" s="70"/>
      <c r="G960" s="70"/>
      <c r="H960" s="70"/>
      <c r="I960" s="70"/>
    </row>
    <row r="961" spans="1:9" x14ac:dyDescent="0.25">
      <c r="A961" s="76"/>
      <c r="F961" s="70"/>
      <c r="G961" s="70"/>
      <c r="H961" s="70"/>
      <c r="I961" s="70"/>
    </row>
    <row r="962" spans="1:9" x14ac:dyDescent="0.25">
      <c r="A962" s="76"/>
      <c r="F962" s="70"/>
      <c r="G962" s="70"/>
      <c r="H962" s="70"/>
      <c r="I962" s="70"/>
    </row>
    <row r="963" spans="1:9" x14ac:dyDescent="0.25">
      <c r="A963" s="76"/>
      <c r="F963" s="70"/>
      <c r="G963" s="70"/>
      <c r="H963" s="70"/>
      <c r="I963" s="70"/>
    </row>
    <row r="964" spans="1:9" x14ac:dyDescent="0.25">
      <c r="A964" s="76"/>
      <c r="F964" s="70"/>
      <c r="G964" s="70"/>
      <c r="H964" s="70"/>
      <c r="I964" s="70"/>
    </row>
    <row r="965" spans="1:9" x14ac:dyDescent="0.25">
      <c r="A965" s="76"/>
      <c r="F965" s="70"/>
      <c r="G965" s="70"/>
      <c r="H965" s="70"/>
      <c r="I965" s="70"/>
    </row>
    <row r="966" spans="1:9" x14ac:dyDescent="0.25">
      <c r="A966" s="76"/>
      <c r="F966" s="70"/>
      <c r="G966" s="70"/>
      <c r="H966" s="70"/>
      <c r="I966" s="70"/>
    </row>
    <row r="967" spans="1:9" x14ac:dyDescent="0.25">
      <c r="A967" s="76"/>
      <c r="F967" s="70"/>
      <c r="G967" s="70"/>
      <c r="H967" s="70"/>
      <c r="I967" s="70"/>
    </row>
    <row r="968" spans="1:9" x14ac:dyDescent="0.25">
      <c r="A968" s="76"/>
      <c r="F968" s="70"/>
      <c r="G968" s="70"/>
      <c r="H968" s="70"/>
      <c r="I968" s="70"/>
    </row>
    <row r="969" spans="1:9" x14ac:dyDescent="0.25">
      <c r="A969" s="76"/>
      <c r="F969" s="70"/>
      <c r="G969" s="70"/>
      <c r="H969" s="70"/>
      <c r="I969" s="70"/>
    </row>
    <row r="970" spans="1:9" x14ac:dyDescent="0.25">
      <c r="A970" s="76"/>
      <c r="F970" s="70"/>
      <c r="G970" s="70"/>
      <c r="H970" s="70"/>
      <c r="I970" s="70"/>
    </row>
    <row r="971" spans="1:9" x14ac:dyDescent="0.25">
      <c r="A971" s="76"/>
      <c r="F971" s="70"/>
      <c r="G971" s="70"/>
      <c r="H971" s="70"/>
      <c r="I971" s="70"/>
    </row>
    <row r="972" spans="1:9" x14ac:dyDescent="0.25">
      <c r="A972" s="76"/>
      <c r="F972" s="70"/>
      <c r="G972" s="70"/>
      <c r="H972" s="70"/>
      <c r="I972" s="70"/>
    </row>
    <row r="973" spans="1:9" x14ac:dyDescent="0.25">
      <c r="A973" s="75"/>
      <c r="F973" s="70"/>
      <c r="G973" s="70"/>
      <c r="H973" s="70"/>
      <c r="I973" s="70"/>
    </row>
    <row r="974" spans="1:9" x14ac:dyDescent="0.25">
      <c r="A974" s="75"/>
      <c r="F974" s="70"/>
      <c r="G974" s="70"/>
      <c r="H974" s="70"/>
      <c r="I974" s="70"/>
    </row>
    <row r="975" spans="1:9" x14ac:dyDescent="0.25">
      <c r="A975" s="75"/>
      <c r="F975" s="70"/>
      <c r="G975" s="70"/>
      <c r="H975" s="70"/>
      <c r="I975" s="70"/>
    </row>
    <row r="976" spans="1:9" x14ac:dyDescent="0.25">
      <c r="A976" s="75"/>
      <c r="F976" s="70"/>
      <c r="G976" s="70"/>
      <c r="H976" s="70"/>
      <c r="I976" s="70"/>
    </row>
    <row r="977" spans="1:9" x14ac:dyDescent="0.25">
      <c r="A977" s="75"/>
      <c r="F977" s="70"/>
      <c r="G977" s="70"/>
      <c r="H977" s="70"/>
      <c r="I977" s="70"/>
    </row>
    <row r="978" spans="1:9" x14ac:dyDescent="0.25">
      <c r="A978" s="75"/>
      <c r="F978" s="70"/>
      <c r="G978" s="70"/>
      <c r="H978" s="70"/>
      <c r="I978" s="70"/>
    </row>
    <row r="979" spans="1:9" x14ac:dyDescent="0.25">
      <c r="A979" s="75"/>
      <c r="F979" s="70"/>
      <c r="G979" s="70"/>
      <c r="H979" s="70"/>
      <c r="I979" s="70"/>
    </row>
    <row r="980" spans="1:9" x14ac:dyDescent="0.25">
      <c r="A980" s="75"/>
      <c r="F980" s="70"/>
      <c r="G980" s="70"/>
      <c r="H980" s="70"/>
      <c r="I980" s="70"/>
    </row>
    <row r="981" spans="1:9" x14ac:dyDescent="0.25">
      <c r="A981" s="75"/>
      <c r="F981" s="70"/>
      <c r="G981" s="70"/>
      <c r="H981" s="70"/>
      <c r="I981" s="70"/>
    </row>
    <row r="982" spans="1:9" x14ac:dyDescent="0.25">
      <c r="A982" s="75"/>
      <c r="F982" s="70"/>
      <c r="G982" s="70"/>
      <c r="H982" s="70"/>
      <c r="I982" s="70"/>
    </row>
    <row r="983" spans="1:9" x14ac:dyDescent="0.25">
      <c r="A983" s="75"/>
      <c r="F983" s="70"/>
      <c r="G983" s="70"/>
      <c r="H983" s="70"/>
      <c r="I983" s="70"/>
    </row>
    <row r="984" spans="1:9" x14ac:dyDescent="0.25">
      <c r="A984" s="75"/>
      <c r="F984" s="70"/>
      <c r="G984" s="70"/>
      <c r="H984" s="70"/>
      <c r="I984" s="70"/>
    </row>
    <row r="985" spans="1:9" x14ac:dyDescent="0.25">
      <c r="A985" s="75"/>
      <c r="F985" s="70"/>
      <c r="G985" s="70"/>
      <c r="H985" s="70"/>
      <c r="I985" s="70"/>
    </row>
    <row r="986" spans="1:9" x14ac:dyDescent="0.25">
      <c r="A986" s="75"/>
      <c r="F986" s="70"/>
      <c r="G986" s="70"/>
      <c r="H986" s="70"/>
      <c r="I986" s="70"/>
    </row>
    <row r="987" spans="1:9" x14ac:dyDescent="0.25">
      <c r="A987" s="75"/>
      <c r="F987" s="70"/>
      <c r="G987" s="70"/>
      <c r="H987" s="70"/>
      <c r="I987" s="70"/>
    </row>
    <row r="988" spans="1:9" x14ac:dyDescent="0.25">
      <c r="A988" s="75"/>
      <c r="F988" s="70"/>
      <c r="G988" s="70"/>
      <c r="H988" s="70"/>
      <c r="I988" s="70"/>
    </row>
    <row r="989" spans="1:9" x14ac:dyDescent="0.25">
      <c r="A989" s="75"/>
      <c r="F989" s="70"/>
      <c r="G989" s="70"/>
      <c r="H989" s="70"/>
      <c r="I989" s="70"/>
    </row>
    <row r="990" spans="1:9" x14ac:dyDescent="0.25">
      <c r="A990" s="75"/>
      <c r="F990" s="70"/>
      <c r="G990" s="70"/>
      <c r="H990" s="70"/>
      <c r="I990" s="70"/>
    </row>
    <row r="991" spans="1:9" x14ac:dyDescent="0.25">
      <c r="A991" s="75"/>
      <c r="F991" s="70"/>
      <c r="G991" s="70"/>
      <c r="H991" s="70"/>
      <c r="I991" s="70"/>
    </row>
    <row r="992" spans="1:9" x14ac:dyDescent="0.25">
      <c r="A992" s="75"/>
      <c r="F992" s="70"/>
      <c r="G992" s="70"/>
      <c r="H992" s="70"/>
      <c r="I992" s="70"/>
    </row>
    <row r="993" spans="1:9" x14ac:dyDescent="0.25">
      <c r="A993" s="75"/>
      <c r="F993" s="70"/>
      <c r="G993" s="70"/>
      <c r="H993" s="70"/>
      <c r="I993" s="70"/>
    </row>
    <row r="994" spans="1:9" x14ac:dyDescent="0.25">
      <c r="A994" s="75"/>
      <c r="F994" s="70"/>
      <c r="G994" s="70"/>
      <c r="H994" s="70"/>
      <c r="I994" s="70"/>
    </row>
    <row r="995" spans="1:9" x14ac:dyDescent="0.25">
      <c r="A995" s="75"/>
      <c r="F995" s="70"/>
      <c r="G995" s="70"/>
      <c r="H995" s="70"/>
      <c r="I995" s="70"/>
    </row>
    <row r="996" spans="1:9" x14ac:dyDescent="0.25">
      <c r="A996" s="75"/>
      <c r="F996" s="70"/>
      <c r="G996" s="70"/>
      <c r="H996" s="70"/>
      <c r="I996" s="70"/>
    </row>
    <row r="997" spans="1:9" x14ac:dyDescent="0.25">
      <c r="A997" s="39"/>
      <c r="F997" s="70"/>
      <c r="G997" s="70"/>
      <c r="H997" s="70"/>
      <c r="I997" s="70"/>
    </row>
    <row r="998" spans="1:9" x14ac:dyDescent="0.25">
      <c r="A998" s="39"/>
      <c r="F998" s="70"/>
      <c r="G998" s="70"/>
      <c r="H998" s="70"/>
      <c r="I998" s="70"/>
    </row>
    <row r="999" spans="1:9" x14ac:dyDescent="0.25">
      <c r="A999" s="39"/>
      <c r="F999" s="70"/>
      <c r="G999" s="70"/>
      <c r="H999" s="70"/>
      <c r="I999" s="70"/>
    </row>
    <row r="1000" spans="1:9" x14ac:dyDescent="0.25">
      <c r="A1000" s="39"/>
      <c r="F1000" s="70"/>
      <c r="G1000" s="70"/>
      <c r="H1000" s="70"/>
      <c r="I1000" s="70"/>
    </row>
    <row r="1001" spans="1:9" x14ac:dyDescent="0.25">
      <c r="A1001" s="39"/>
      <c r="F1001" s="70"/>
      <c r="G1001" s="70"/>
      <c r="H1001" s="70"/>
      <c r="I1001" s="70"/>
    </row>
    <row r="1002" spans="1:9" x14ac:dyDescent="0.25">
      <c r="F1002" s="70"/>
      <c r="G1002" s="70"/>
      <c r="H1002" s="70"/>
      <c r="I1002" s="70"/>
    </row>
  </sheetData>
  <autoFilter ref="A1:M51" xr:uid="{03B94C9D-0646-413C-B61C-349F9851D0BF}"/>
  <sortState xmlns:xlrd2="http://schemas.microsoft.com/office/spreadsheetml/2017/richdata2" ref="A2:M51">
    <sortCondition descending="1" ref="G2:G51"/>
  </sortState>
  <dataValidations count="2">
    <dataValidation type="whole" allowBlank="1" showInputMessage="1" showErrorMessage="1" sqref="B2:C2" xr:uid="{9F270270-7893-40BB-9171-AC18D89DCC29}">
      <formula1>25</formula1>
      <formula2>64</formula2>
    </dataValidation>
    <dataValidation type="whole" allowBlank="1" showInputMessage="1" showErrorMessage="1" sqref="E2:F2" xr:uid="{BBFD40A7-7FD6-4190-8E3E-E81BF0DBEA09}">
      <formula1>0</formula1>
      <formula2>6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E6D6A-9AF7-4A17-86A1-1BC461C72A59}">
  <sheetPr codeName="Sheet7"/>
  <dimension ref="A1:J60"/>
  <sheetViews>
    <sheetView zoomScale="120" zoomScaleNormal="120" workbookViewId="0">
      <pane ySplit="4" topLeftCell="A5" activePane="bottomLeft" state="frozen"/>
      <selection pane="bottomLeft" activeCell="B1" sqref="B1:I2"/>
    </sheetView>
  </sheetViews>
  <sheetFormatPr defaultRowHeight="15" x14ac:dyDescent="0.25"/>
  <cols>
    <col min="1" max="1" width="15" customWidth="1"/>
    <col min="2" max="9" width="10.42578125" customWidth="1"/>
  </cols>
  <sheetData>
    <row r="1" spans="1:10" ht="15.75" customHeight="1" thickTop="1" x14ac:dyDescent="0.25">
      <c r="A1" s="117"/>
      <c r="B1" s="121" t="s">
        <v>202</v>
      </c>
      <c r="C1" s="122"/>
      <c r="D1" s="122"/>
      <c r="E1" s="122"/>
      <c r="F1" s="122"/>
      <c r="G1" s="122"/>
      <c r="H1" s="122"/>
      <c r="I1" s="122"/>
    </row>
    <row r="2" spans="1:10" x14ac:dyDescent="0.25">
      <c r="A2" s="118"/>
      <c r="B2" s="121"/>
      <c r="C2" s="122"/>
      <c r="D2" s="122"/>
      <c r="E2" s="122"/>
      <c r="F2" s="122"/>
      <c r="G2" s="122"/>
      <c r="H2" s="122"/>
      <c r="I2" s="122"/>
    </row>
    <row r="3" spans="1:10" ht="18" x14ac:dyDescent="0.25">
      <c r="A3" s="83" t="s">
        <v>255</v>
      </c>
      <c r="B3" s="84" t="s">
        <v>201</v>
      </c>
      <c r="C3" s="84" t="s">
        <v>200</v>
      </c>
      <c r="D3" s="84" t="s">
        <v>199</v>
      </c>
      <c r="E3" s="84" t="s">
        <v>198</v>
      </c>
      <c r="F3" s="85">
        <v>5</v>
      </c>
      <c r="G3" s="85">
        <v>6</v>
      </c>
      <c r="H3" s="85">
        <v>7</v>
      </c>
      <c r="I3" s="85">
        <v>8</v>
      </c>
    </row>
    <row r="4" spans="1:10" x14ac:dyDescent="0.25">
      <c r="A4" s="91" t="s">
        <v>256</v>
      </c>
      <c r="B4" s="90" t="s">
        <v>257</v>
      </c>
      <c r="C4" s="90" t="s">
        <v>258</v>
      </c>
      <c r="D4" s="90" t="s">
        <v>259</v>
      </c>
      <c r="E4" s="90" t="s">
        <v>260</v>
      </c>
      <c r="F4" s="90" t="s">
        <v>261</v>
      </c>
      <c r="G4" s="90" t="s">
        <v>262</v>
      </c>
      <c r="H4" s="90" t="s">
        <v>263</v>
      </c>
      <c r="I4" s="92" t="s">
        <v>264</v>
      </c>
      <c r="J4" s="93" t="s">
        <v>134</v>
      </c>
    </row>
    <row r="5" spans="1:10" x14ac:dyDescent="0.25">
      <c r="A5" s="86" t="s">
        <v>253</v>
      </c>
      <c r="B5" s="78">
        <v>49191</v>
      </c>
      <c r="C5" s="78">
        <v>59818</v>
      </c>
      <c r="D5" s="78">
        <v>66280</v>
      </c>
      <c r="E5" s="79">
        <v>80845</v>
      </c>
      <c r="F5" s="79">
        <f>E5+9000</f>
        <v>89845</v>
      </c>
      <c r="G5" s="79">
        <f t="shared" ref="G5:I5" si="0">F5+9000</f>
        <v>98845</v>
      </c>
      <c r="H5" s="79">
        <f t="shared" si="0"/>
        <v>107845</v>
      </c>
      <c r="I5" s="79">
        <f t="shared" si="0"/>
        <v>116845</v>
      </c>
      <c r="J5" s="82" t="s">
        <v>135</v>
      </c>
    </row>
    <row r="6" spans="1:10" x14ac:dyDescent="0.25">
      <c r="A6" s="86" t="s">
        <v>252</v>
      </c>
      <c r="B6" s="78">
        <v>63223</v>
      </c>
      <c r="C6" s="78">
        <v>85572</v>
      </c>
      <c r="D6" s="78">
        <v>101965</v>
      </c>
      <c r="E6" s="79">
        <v>101965</v>
      </c>
      <c r="F6" s="79">
        <f t="shared" ref="F6:I6" si="1">E6+9000</f>
        <v>110965</v>
      </c>
      <c r="G6" s="79">
        <f t="shared" si="1"/>
        <v>119965</v>
      </c>
      <c r="H6" s="79">
        <f t="shared" si="1"/>
        <v>128965</v>
      </c>
      <c r="I6" s="79">
        <f t="shared" si="1"/>
        <v>137965</v>
      </c>
      <c r="J6" s="82" t="s">
        <v>136</v>
      </c>
    </row>
    <row r="7" spans="1:10" x14ac:dyDescent="0.25">
      <c r="A7" s="86" t="s">
        <v>251</v>
      </c>
      <c r="B7" s="78">
        <v>55159</v>
      </c>
      <c r="C7" s="78">
        <v>69122</v>
      </c>
      <c r="D7" s="78">
        <v>74639</v>
      </c>
      <c r="E7" s="79">
        <v>84669</v>
      </c>
      <c r="F7" s="79">
        <f t="shared" ref="F7:I7" si="2">E7+9000</f>
        <v>93669</v>
      </c>
      <c r="G7" s="79">
        <f t="shared" si="2"/>
        <v>102669</v>
      </c>
      <c r="H7" s="79">
        <f t="shared" si="2"/>
        <v>111669</v>
      </c>
      <c r="I7" s="79">
        <f t="shared" si="2"/>
        <v>120669</v>
      </c>
      <c r="J7" s="82" t="s">
        <v>137</v>
      </c>
    </row>
    <row r="8" spans="1:10" x14ac:dyDescent="0.25">
      <c r="A8" s="86" t="s">
        <v>250</v>
      </c>
      <c r="B8" s="78">
        <v>46120</v>
      </c>
      <c r="C8" s="78">
        <v>57753</v>
      </c>
      <c r="D8" s="78">
        <v>66203</v>
      </c>
      <c r="E8" s="79">
        <v>67349</v>
      </c>
      <c r="F8" s="79">
        <f t="shared" ref="F8:I8" si="3">E8+9000</f>
        <v>76349</v>
      </c>
      <c r="G8" s="79">
        <f t="shared" si="3"/>
        <v>85349</v>
      </c>
      <c r="H8" s="79">
        <f t="shared" si="3"/>
        <v>94349</v>
      </c>
      <c r="I8" s="79">
        <f t="shared" si="3"/>
        <v>103349</v>
      </c>
      <c r="J8" s="82" t="s">
        <v>138</v>
      </c>
    </row>
    <row r="9" spans="1:10" x14ac:dyDescent="0.25">
      <c r="A9" s="86" t="s">
        <v>249</v>
      </c>
      <c r="B9" s="78">
        <v>62171</v>
      </c>
      <c r="C9" s="78">
        <v>82418</v>
      </c>
      <c r="D9" s="78">
        <v>91605</v>
      </c>
      <c r="E9" s="79">
        <v>105232</v>
      </c>
      <c r="F9" s="79">
        <f t="shared" ref="F9:I9" si="4">E9+9000</f>
        <v>114232</v>
      </c>
      <c r="G9" s="79">
        <f t="shared" si="4"/>
        <v>123232</v>
      </c>
      <c r="H9" s="79">
        <f t="shared" si="4"/>
        <v>132232</v>
      </c>
      <c r="I9" s="79">
        <f t="shared" si="4"/>
        <v>141232</v>
      </c>
      <c r="J9" s="82" t="s">
        <v>139</v>
      </c>
    </row>
    <row r="10" spans="1:10" x14ac:dyDescent="0.25">
      <c r="A10" s="86" t="s">
        <v>248</v>
      </c>
      <c r="B10" s="78">
        <v>66942</v>
      </c>
      <c r="C10" s="78">
        <v>87103</v>
      </c>
      <c r="D10" s="78">
        <v>95050</v>
      </c>
      <c r="E10" s="79">
        <v>114066</v>
      </c>
      <c r="F10" s="79">
        <f t="shared" ref="F10:I10" si="5">E10+9000</f>
        <v>123066</v>
      </c>
      <c r="G10" s="79">
        <f t="shared" si="5"/>
        <v>132066</v>
      </c>
      <c r="H10" s="79">
        <f t="shared" si="5"/>
        <v>141066</v>
      </c>
      <c r="I10" s="79">
        <f t="shared" si="5"/>
        <v>150066</v>
      </c>
      <c r="J10" s="82" t="s">
        <v>140</v>
      </c>
    </row>
    <row r="11" spans="1:10" x14ac:dyDescent="0.25">
      <c r="A11" s="86" t="s">
        <v>247</v>
      </c>
      <c r="B11" s="78">
        <v>68400</v>
      </c>
      <c r="C11" s="78">
        <v>89186</v>
      </c>
      <c r="D11" s="78">
        <v>102282</v>
      </c>
      <c r="E11" s="79">
        <v>129379</v>
      </c>
      <c r="F11" s="79">
        <f t="shared" ref="F11:I11" si="6">E11+9000</f>
        <v>138379</v>
      </c>
      <c r="G11" s="79">
        <f t="shared" si="6"/>
        <v>147379</v>
      </c>
      <c r="H11" s="79">
        <f t="shared" si="6"/>
        <v>156379</v>
      </c>
      <c r="I11" s="79">
        <f t="shared" si="6"/>
        <v>165379</v>
      </c>
      <c r="J11" s="82" t="s">
        <v>141</v>
      </c>
    </row>
    <row r="12" spans="1:10" x14ac:dyDescent="0.25">
      <c r="A12" s="86" t="s">
        <v>246</v>
      </c>
      <c r="B12" s="78">
        <v>61395</v>
      </c>
      <c r="C12" s="78">
        <v>77853</v>
      </c>
      <c r="D12" s="78">
        <v>91369</v>
      </c>
      <c r="E12" s="79">
        <v>107204</v>
      </c>
      <c r="F12" s="79">
        <f t="shared" ref="F12:I12" si="7">E12+9000</f>
        <v>116204</v>
      </c>
      <c r="G12" s="79">
        <f t="shared" si="7"/>
        <v>125204</v>
      </c>
      <c r="H12" s="79">
        <f t="shared" si="7"/>
        <v>134204</v>
      </c>
      <c r="I12" s="79">
        <f t="shared" si="7"/>
        <v>143204</v>
      </c>
      <c r="J12" s="82" t="s">
        <v>142</v>
      </c>
    </row>
    <row r="13" spans="1:10" ht="24" x14ac:dyDescent="0.25">
      <c r="A13" s="86" t="s">
        <v>245</v>
      </c>
      <c r="B13" s="78">
        <v>70070</v>
      </c>
      <c r="C13" s="78">
        <v>130524</v>
      </c>
      <c r="D13" s="78">
        <v>130524</v>
      </c>
      <c r="E13" s="78">
        <v>171779</v>
      </c>
      <c r="F13" s="79">
        <f t="shared" ref="F13:I13" si="8">E13+9000</f>
        <v>180779</v>
      </c>
      <c r="G13" s="79">
        <f t="shared" si="8"/>
        <v>189779</v>
      </c>
      <c r="H13" s="79">
        <f t="shared" si="8"/>
        <v>198779</v>
      </c>
      <c r="I13" s="79">
        <f t="shared" si="8"/>
        <v>207779</v>
      </c>
      <c r="J13" s="82" t="s">
        <v>143</v>
      </c>
    </row>
    <row r="14" spans="1:10" x14ac:dyDescent="0.25">
      <c r="A14" s="86" t="s">
        <v>244</v>
      </c>
      <c r="B14" s="78">
        <v>52534</v>
      </c>
      <c r="C14" s="78">
        <v>65935</v>
      </c>
      <c r="D14" s="78">
        <v>70815</v>
      </c>
      <c r="E14" s="78">
        <v>84165</v>
      </c>
      <c r="F14" s="79">
        <f t="shared" ref="F14:I14" si="9">E14+9000</f>
        <v>93165</v>
      </c>
      <c r="G14" s="79">
        <f t="shared" si="9"/>
        <v>102165</v>
      </c>
      <c r="H14" s="79">
        <f t="shared" si="9"/>
        <v>111165</v>
      </c>
      <c r="I14" s="79">
        <f t="shared" si="9"/>
        <v>120165</v>
      </c>
      <c r="J14" s="82" t="s">
        <v>144</v>
      </c>
    </row>
    <row r="15" spans="1:10" x14ac:dyDescent="0.25">
      <c r="A15" s="86" t="s">
        <v>243</v>
      </c>
      <c r="B15" s="78">
        <v>52458</v>
      </c>
      <c r="C15" s="78">
        <v>67463</v>
      </c>
      <c r="D15" s="78">
        <v>75460</v>
      </c>
      <c r="E15" s="78">
        <v>91161</v>
      </c>
      <c r="F15" s="79">
        <f t="shared" ref="F15:I15" si="10">E15+9000</f>
        <v>100161</v>
      </c>
      <c r="G15" s="79">
        <f t="shared" si="10"/>
        <v>109161</v>
      </c>
      <c r="H15" s="79">
        <f t="shared" si="10"/>
        <v>118161</v>
      </c>
      <c r="I15" s="79">
        <f t="shared" si="10"/>
        <v>127161</v>
      </c>
      <c r="J15" s="82" t="s">
        <v>145</v>
      </c>
    </row>
    <row r="16" spans="1:10" x14ac:dyDescent="0.25">
      <c r="A16" s="86" t="s">
        <v>242</v>
      </c>
      <c r="B16" s="78">
        <v>71514</v>
      </c>
      <c r="C16" s="78">
        <v>83198</v>
      </c>
      <c r="D16" s="78">
        <v>94851</v>
      </c>
      <c r="E16" s="78">
        <v>118223</v>
      </c>
      <c r="F16" s="79">
        <f t="shared" ref="F16:I16" si="11">E16+9000</f>
        <v>127223</v>
      </c>
      <c r="G16" s="79">
        <f t="shared" si="11"/>
        <v>136223</v>
      </c>
      <c r="H16" s="79">
        <f t="shared" si="11"/>
        <v>145223</v>
      </c>
      <c r="I16" s="79">
        <f t="shared" si="11"/>
        <v>154223</v>
      </c>
      <c r="J16" s="82" t="s">
        <v>146</v>
      </c>
    </row>
    <row r="17" spans="1:10" x14ac:dyDescent="0.25">
      <c r="A17" s="86" t="s">
        <v>241</v>
      </c>
      <c r="B17" s="78">
        <v>51837</v>
      </c>
      <c r="C17" s="78">
        <v>64929</v>
      </c>
      <c r="D17" s="78">
        <v>72304</v>
      </c>
      <c r="E17" s="78">
        <v>89661</v>
      </c>
      <c r="F17" s="79">
        <f t="shared" ref="F17:I17" si="12">E17+9000</f>
        <v>98661</v>
      </c>
      <c r="G17" s="79">
        <f t="shared" si="12"/>
        <v>107661</v>
      </c>
      <c r="H17" s="79">
        <f t="shared" si="12"/>
        <v>116661</v>
      </c>
      <c r="I17" s="79">
        <f t="shared" si="12"/>
        <v>125661</v>
      </c>
      <c r="J17" s="82" t="s">
        <v>147</v>
      </c>
    </row>
    <row r="18" spans="1:10" x14ac:dyDescent="0.25">
      <c r="A18" s="86" t="s">
        <v>240</v>
      </c>
      <c r="B18" s="78">
        <v>57983</v>
      </c>
      <c r="C18" s="78">
        <v>76602</v>
      </c>
      <c r="D18" s="78">
        <v>91581</v>
      </c>
      <c r="E18" s="78">
        <v>107226</v>
      </c>
      <c r="F18" s="79">
        <f t="shared" ref="F18:I18" si="13">E18+9000</f>
        <v>116226</v>
      </c>
      <c r="G18" s="79">
        <f t="shared" si="13"/>
        <v>125226</v>
      </c>
      <c r="H18" s="79">
        <f t="shared" si="13"/>
        <v>134226</v>
      </c>
      <c r="I18" s="79">
        <f t="shared" si="13"/>
        <v>143226</v>
      </c>
      <c r="J18" s="82" t="s">
        <v>148</v>
      </c>
    </row>
    <row r="19" spans="1:10" x14ac:dyDescent="0.25">
      <c r="A19" s="86" t="s">
        <v>239</v>
      </c>
      <c r="B19" s="78">
        <v>51689</v>
      </c>
      <c r="C19" s="78">
        <v>65577</v>
      </c>
      <c r="D19" s="78">
        <v>77161</v>
      </c>
      <c r="E19" s="78">
        <v>90654</v>
      </c>
      <c r="F19" s="79">
        <f t="shared" ref="F19:I19" si="14">E19+9000</f>
        <v>99654</v>
      </c>
      <c r="G19" s="79">
        <f t="shared" si="14"/>
        <v>108654</v>
      </c>
      <c r="H19" s="79">
        <f t="shared" si="14"/>
        <v>117654</v>
      </c>
      <c r="I19" s="79">
        <f t="shared" si="14"/>
        <v>126654</v>
      </c>
      <c r="J19" s="82" t="s">
        <v>149</v>
      </c>
    </row>
    <row r="20" spans="1:10" x14ac:dyDescent="0.25">
      <c r="A20" s="86" t="s">
        <v>238</v>
      </c>
      <c r="B20" s="78">
        <v>51095</v>
      </c>
      <c r="C20" s="78">
        <v>70892</v>
      </c>
      <c r="D20" s="78">
        <v>80912</v>
      </c>
      <c r="E20" s="78">
        <v>95199</v>
      </c>
      <c r="F20" s="79">
        <f t="shared" ref="F20:I20" si="15">E20+9000</f>
        <v>104199</v>
      </c>
      <c r="G20" s="79">
        <f t="shared" si="15"/>
        <v>113199</v>
      </c>
      <c r="H20" s="79">
        <f t="shared" si="15"/>
        <v>122199</v>
      </c>
      <c r="I20" s="79">
        <f t="shared" si="15"/>
        <v>131199</v>
      </c>
      <c r="J20" s="82" t="s">
        <v>150</v>
      </c>
    </row>
    <row r="21" spans="1:10" x14ac:dyDescent="0.25">
      <c r="A21" s="86" t="s">
        <v>237</v>
      </c>
      <c r="B21" s="78">
        <v>51957</v>
      </c>
      <c r="C21" s="78">
        <v>71559</v>
      </c>
      <c r="D21" s="78">
        <v>83375</v>
      </c>
      <c r="E21" s="78">
        <v>92890</v>
      </c>
      <c r="F21" s="79">
        <f t="shared" ref="F21:I21" si="16">E21+9000</f>
        <v>101890</v>
      </c>
      <c r="G21" s="79">
        <f t="shared" si="16"/>
        <v>110890</v>
      </c>
      <c r="H21" s="79">
        <f t="shared" si="16"/>
        <v>119890</v>
      </c>
      <c r="I21" s="79">
        <f t="shared" si="16"/>
        <v>128890</v>
      </c>
      <c r="J21" s="82" t="s">
        <v>151</v>
      </c>
    </row>
    <row r="22" spans="1:10" x14ac:dyDescent="0.25">
      <c r="A22" s="86" t="s">
        <v>236</v>
      </c>
      <c r="B22" s="78">
        <v>49041</v>
      </c>
      <c r="C22" s="78">
        <v>58298</v>
      </c>
      <c r="D22" s="78">
        <v>67461</v>
      </c>
      <c r="E22" s="78">
        <v>81619</v>
      </c>
      <c r="F22" s="79">
        <f t="shared" ref="F22:I22" si="17">E22+9000</f>
        <v>90619</v>
      </c>
      <c r="G22" s="79">
        <f t="shared" si="17"/>
        <v>99619</v>
      </c>
      <c r="H22" s="79">
        <f t="shared" si="17"/>
        <v>108619</v>
      </c>
      <c r="I22" s="79">
        <f t="shared" si="17"/>
        <v>117619</v>
      </c>
      <c r="J22" s="82" t="s">
        <v>152</v>
      </c>
    </row>
    <row r="23" spans="1:10" x14ac:dyDescent="0.25">
      <c r="A23" s="86" t="s">
        <v>235</v>
      </c>
      <c r="B23" s="78">
        <v>46909</v>
      </c>
      <c r="C23" s="78">
        <v>57592</v>
      </c>
      <c r="D23" s="78">
        <v>67337</v>
      </c>
      <c r="E23" s="78">
        <v>82529</v>
      </c>
      <c r="F23" s="79">
        <f t="shared" ref="F23:I23" si="18">E23+9000</f>
        <v>91529</v>
      </c>
      <c r="G23" s="79">
        <f t="shared" si="18"/>
        <v>100529</v>
      </c>
      <c r="H23" s="79">
        <f t="shared" si="18"/>
        <v>109529</v>
      </c>
      <c r="I23" s="79">
        <f t="shared" si="18"/>
        <v>118529</v>
      </c>
      <c r="J23" s="82" t="s">
        <v>153</v>
      </c>
    </row>
    <row r="24" spans="1:10" x14ac:dyDescent="0.25">
      <c r="A24" s="86" t="s">
        <v>234</v>
      </c>
      <c r="B24" s="78">
        <v>54679</v>
      </c>
      <c r="C24" s="78">
        <v>68863</v>
      </c>
      <c r="D24" s="78">
        <v>82132</v>
      </c>
      <c r="E24" s="78">
        <v>91651</v>
      </c>
      <c r="F24" s="79">
        <f t="shared" ref="F24:I24" si="19">E24+9000</f>
        <v>100651</v>
      </c>
      <c r="G24" s="79">
        <f t="shared" si="19"/>
        <v>109651</v>
      </c>
      <c r="H24" s="79">
        <f t="shared" si="19"/>
        <v>118651</v>
      </c>
      <c r="I24" s="79">
        <f t="shared" si="19"/>
        <v>127651</v>
      </c>
      <c r="J24" s="82" t="s">
        <v>154</v>
      </c>
    </row>
    <row r="25" spans="1:10" x14ac:dyDescent="0.25">
      <c r="A25" s="86" t="s">
        <v>233</v>
      </c>
      <c r="B25" s="78">
        <v>70964</v>
      </c>
      <c r="C25" s="78">
        <v>93255</v>
      </c>
      <c r="D25" s="78">
        <v>107552</v>
      </c>
      <c r="E25" s="78">
        <v>130252</v>
      </c>
      <c r="F25" s="79">
        <f t="shared" ref="F25:I25" si="20">E25+9000</f>
        <v>139252</v>
      </c>
      <c r="G25" s="79">
        <f t="shared" si="20"/>
        <v>148252</v>
      </c>
      <c r="H25" s="79">
        <f t="shared" si="20"/>
        <v>157252</v>
      </c>
      <c r="I25" s="79">
        <f t="shared" si="20"/>
        <v>166252</v>
      </c>
      <c r="J25" s="82" t="s">
        <v>155</v>
      </c>
    </row>
    <row r="26" spans="1:10" x14ac:dyDescent="0.25">
      <c r="A26" s="86" t="s">
        <v>232</v>
      </c>
      <c r="B26" s="78">
        <v>70834</v>
      </c>
      <c r="C26" s="78">
        <v>90912</v>
      </c>
      <c r="D26" s="78">
        <v>110779</v>
      </c>
      <c r="E26" s="78">
        <v>140309</v>
      </c>
      <c r="F26" s="79">
        <f t="shared" ref="F26:I26" si="21">E26+9000</f>
        <v>149309</v>
      </c>
      <c r="G26" s="79">
        <f t="shared" si="21"/>
        <v>158309</v>
      </c>
      <c r="H26" s="79">
        <f t="shared" si="21"/>
        <v>167309</v>
      </c>
      <c r="I26" s="79">
        <f t="shared" si="21"/>
        <v>176309</v>
      </c>
      <c r="J26" s="82" t="s">
        <v>156</v>
      </c>
    </row>
    <row r="27" spans="1:10" x14ac:dyDescent="0.25">
      <c r="A27" s="86" t="s">
        <v>231</v>
      </c>
      <c r="B27" s="78">
        <v>53159</v>
      </c>
      <c r="C27" s="78">
        <v>66198</v>
      </c>
      <c r="D27" s="78">
        <v>79484</v>
      </c>
      <c r="E27" s="78">
        <v>97970</v>
      </c>
      <c r="F27" s="79">
        <f t="shared" ref="F27:I27" si="22">E27+9000</f>
        <v>106970</v>
      </c>
      <c r="G27" s="79">
        <f t="shared" si="22"/>
        <v>115970</v>
      </c>
      <c r="H27" s="79">
        <f t="shared" si="22"/>
        <v>124970</v>
      </c>
      <c r="I27" s="79">
        <f t="shared" si="22"/>
        <v>133970</v>
      </c>
      <c r="J27" s="82" t="s">
        <v>157</v>
      </c>
    </row>
    <row r="28" spans="1:10" x14ac:dyDescent="0.25">
      <c r="A28" s="86" t="s">
        <v>230</v>
      </c>
      <c r="B28" s="78">
        <v>61811</v>
      </c>
      <c r="C28" s="78">
        <v>81478</v>
      </c>
      <c r="D28" s="78">
        <v>100430</v>
      </c>
      <c r="E28" s="78">
        <v>118646</v>
      </c>
      <c r="F28" s="79">
        <f t="shared" ref="F28:I28" si="23">E28+9000</f>
        <v>127646</v>
      </c>
      <c r="G28" s="79">
        <f t="shared" si="23"/>
        <v>136646</v>
      </c>
      <c r="H28" s="79">
        <f t="shared" si="23"/>
        <v>145646</v>
      </c>
      <c r="I28" s="79">
        <f t="shared" si="23"/>
        <v>154646</v>
      </c>
      <c r="J28" s="82" t="s">
        <v>158</v>
      </c>
    </row>
    <row r="29" spans="1:10" x14ac:dyDescent="0.25">
      <c r="A29" s="86" t="s">
        <v>229</v>
      </c>
      <c r="B29" s="78">
        <v>44765</v>
      </c>
      <c r="C29" s="78">
        <v>53919</v>
      </c>
      <c r="D29" s="78">
        <v>57747</v>
      </c>
      <c r="E29" s="78">
        <v>70656</v>
      </c>
      <c r="F29" s="79">
        <f t="shared" ref="F29:I29" si="24">E29+9000</f>
        <v>79656</v>
      </c>
      <c r="G29" s="79">
        <f t="shared" si="24"/>
        <v>88656</v>
      </c>
      <c r="H29" s="79">
        <f t="shared" si="24"/>
        <v>97656</v>
      </c>
      <c r="I29" s="79">
        <f t="shared" si="24"/>
        <v>106656</v>
      </c>
      <c r="J29" s="82" t="s">
        <v>159</v>
      </c>
    </row>
    <row r="30" spans="1:10" x14ac:dyDescent="0.25">
      <c r="A30" s="86" t="s">
        <v>228</v>
      </c>
      <c r="B30" s="78">
        <v>50521</v>
      </c>
      <c r="C30" s="78">
        <v>65680</v>
      </c>
      <c r="D30" s="78">
        <v>75500</v>
      </c>
      <c r="E30" s="78">
        <v>89418</v>
      </c>
      <c r="F30" s="79">
        <f t="shared" ref="F30:I30" si="25">E30+9000</f>
        <v>98418</v>
      </c>
      <c r="G30" s="79">
        <f t="shared" si="25"/>
        <v>107418</v>
      </c>
      <c r="H30" s="79">
        <f t="shared" si="25"/>
        <v>116418</v>
      </c>
      <c r="I30" s="79">
        <f t="shared" si="25"/>
        <v>125418</v>
      </c>
      <c r="J30" s="82" t="s">
        <v>160</v>
      </c>
    </row>
    <row r="31" spans="1:10" x14ac:dyDescent="0.25">
      <c r="A31" s="86" t="s">
        <v>227</v>
      </c>
      <c r="B31" s="78">
        <v>54201</v>
      </c>
      <c r="C31" s="78">
        <v>67777</v>
      </c>
      <c r="D31" s="78">
        <v>75151</v>
      </c>
      <c r="E31" s="78">
        <v>81958</v>
      </c>
      <c r="F31" s="79">
        <f t="shared" ref="F31:I31" si="26">E31+9000</f>
        <v>90958</v>
      </c>
      <c r="G31" s="79">
        <f t="shared" si="26"/>
        <v>99958</v>
      </c>
      <c r="H31" s="79">
        <f t="shared" si="26"/>
        <v>108958</v>
      </c>
      <c r="I31" s="79">
        <f t="shared" si="26"/>
        <v>117958</v>
      </c>
      <c r="J31" s="82" t="s">
        <v>161</v>
      </c>
    </row>
    <row r="32" spans="1:10" x14ac:dyDescent="0.25">
      <c r="A32" s="86" t="s">
        <v>226</v>
      </c>
      <c r="B32" s="78">
        <v>50847</v>
      </c>
      <c r="C32" s="78">
        <v>71440</v>
      </c>
      <c r="D32" s="78">
        <v>85929</v>
      </c>
      <c r="E32" s="78">
        <v>96749</v>
      </c>
      <c r="F32" s="79">
        <f t="shared" ref="F32:I32" si="27">E32+9000</f>
        <v>105749</v>
      </c>
      <c r="G32" s="79">
        <f t="shared" si="27"/>
        <v>114749</v>
      </c>
      <c r="H32" s="79">
        <f t="shared" si="27"/>
        <v>123749</v>
      </c>
      <c r="I32" s="79">
        <f t="shared" si="27"/>
        <v>132749</v>
      </c>
      <c r="J32" s="82" t="s">
        <v>162</v>
      </c>
    </row>
    <row r="33" spans="1:10" x14ac:dyDescent="0.25">
      <c r="A33" s="86" t="s">
        <v>225</v>
      </c>
      <c r="B33" s="78">
        <v>53731</v>
      </c>
      <c r="C33" s="78">
        <v>68953</v>
      </c>
      <c r="D33" s="78">
        <v>76591</v>
      </c>
      <c r="E33" s="78">
        <v>83731</v>
      </c>
      <c r="F33" s="79">
        <f t="shared" ref="F33:I33" si="28">E33+9000</f>
        <v>92731</v>
      </c>
      <c r="G33" s="79">
        <f t="shared" si="28"/>
        <v>101731</v>
      </c>
      <c r="H33" s="79">
        <f t="shared" si="28"/>
        <v>110731</v>
      </c>
      <c r="I33" s="79">
        <f t="shared" si="28"/>
        <v>119731</v>
      </c>
      <c r="J33" s="82" t="s">
        <v>163</v>
      </c>
    </row>
    <row r="34" spans="1:10" x14ac:dyDescent="0.25">
      <c r="A34" s="86" t="s">
        <v>224</v>
      </c>
      <c r="B34" s="78">
        <v>71169</v>
      </c>
      <c r="C34" s="78">
        <v>82328</v>
      </c>
      <c r="D34" s="78">
        <v>106627</v>
      </c>
      <c r="E34" s="78">
        <v>128157</v>
      </c>
      <c r="F34" s="79">
        <f t="shared" ref="F34:I34" si="29">E34+9000</f>
        <v>137157</v>
      </c>
      <c r="G34" s="79">
        <f t="shared" si="29"/>
        <v>146157</v>
      </c>
      <c r="H34" s="79">
        <f t="shared" si="29"/>
        <v>155157</v>
      </c>
      <c r="I34" s="79">
        <f t="shared" si="29"/>
        <v>164157</v>
      </c>
      <c r="J34" s="82" t="s">
        <v>164</v>
      </c>
    </row>
    <row r="35" spans="1:10" x14ac:dyDescent="0.25">
      <c r="A35" s="86" t="s">
        <v>223</v>
      </c>
      <c r="B35" s="78">
        <v>71064</v>
      </c>
      <c r="C35" s="78">
        <v>87432</v>
      </c>
      <c r="D35" s="78">
        <v>111046</v>
      </c>
      <c r="E35" s="78">
        <v>132708</v>
      </c>
      <c r="F35" s="79">
        <f t="shared" ref="F35:I35" si="30">E35+9000</f>
        <v>141708</v>
      </c>
      <c r="G35" s="79">
        <f t="shared" si="30"/>
        <v>150708</v>
      </c>
      <c r="H35" s="79">
        <f t="shared" si="30"/>
        <v>159708</v>
      </c>
      <c r="I35" s="79">
        <f t="shared" si="30"/>
        <v>168708</v>
      </c>
      <c r="J35" s="82" t="s">
        <v>165</v>
      </c>
    </row>
    <row r="36" spans="1:10" x14ac:dyDescent="0.25">
      <c r="A36" s="86" t="s">
        <v>222</v>
      </c>
      <c r="B36" s="78">
        <v>46945</v>
      </c>
      <c r="C36" s="78">
        <v>57296</v>
      </c>
      <c r="D36" s="78">
        <v>62443</v>
      </c>
      <c r="E36" s="78">
        <v>66343</v>
      </c>
      <c r="F36" s="79">
        <f t="shared" ref="F36:I36" si="31">E36+9000</f>
        <v>75343</v>
      </c>
      <c r="G36" s="79">
        <f t="shared" si="31"/>
        <v>84343</v>
      </c>
      <c r="H36" s="79">
        <f t="shared" si="31"/>
        <v>93343</v>
      </c>
      <c r="I36" s="79">
        <f t="shared" si="31"/>
        <v>102343</v>
      </c>
      <c r="J36" s="82" t="s">
        <v>166</v>
      </c>
    </row>
    <row r="37" spans="1:10" x14ac:dyDescent="0.25">
      <c r="A37" s="86" t="s">
        <v>221</v>
      </c>
      <c r="B37" s="78">
        <v>59956</v>
      </c>
      <c r="C37" s="78">
        <v>76219</v>
      </c>
      <c r="D37" s="78">
        <v>91381</v>
      </c>
      <c r="E37" s="78">
        <v>111054</v>
      </c>
      <c r="F37" s="79">
        <f t="shared" ref="F37:I37" si="32">E37+9000</f>
        <v>120054</v>
      </c>
      <c r="G37" s="79">
        <f t="shared" si="32"/>
        <v>129054</v>
      </c>
      <c r="H37" s="79">
        <f t="shared" si="32"/>
        <v>138054</v>
      </c>
      <c r="I37" s="79">
        <f t="shared" si="32"/>
        <v>147054</v>
      </c>
      <c r="J37" s="82" t="s">
        <v>167</v>
      </c>
    </row>
    <row r="38" spans="1:10" x14ac:dyDescent="0.25">
      <c r="A38" s="86" t="s">
        <v>220</v>
      </c>
      <c r="B38" s="78">
        <v>50653</v>
      </c>
      <c r="C38" s="78">
        <v>66044</v>
      </c>
      <c r="D38" s="78">
        <v>72069</v>
      </c>
      <c r="E38" s="78">
        <v>88942</v>
      </c>
      <c r="F38" s="79">
        <f t="shared" ref="F38:I38" si="33">E38+9000</f>
        <v>97942</v>
      </c>
      <c r="G38" s="79">
        <f t="shared" si="33"/>
        <v>106942</v>
      </c>
      <c r="H38" s="79">
        <f t="shared" si="33"/>
        <v>115942</v>
      </c>
      <c r="I38" s="79">
        <f t="shared" si="33"/>
        <v>124942</v>
      </c>
      <c r="J38" s="82" t="s">
        <v>168</v>
      </c>
    </row>
    <row r="39" spans="1:10" x14ac:dyDescent="0.25">
      <c r="A39" s="86" t="s">
        <v>219</v>
      </c>
      <c r="B39" s="78">
        <v>55022</v>
      </c>
      <c r="C39" s="78">
        <v>77965</v>
      </c>
      <c r="D39" s="78">
        <v>89584</v>
      </c>
      <c r="E39" s="78">
        <v>103996</v>
      </c>
      <c r="F39" s="79">
        <f t="shared" ref="F39:I39" si="34">E39+9000</f>
        <v>112996</v>
      </c>
      <c r="G39" s="79">
        <f t="shared" si="34"/>
        <v>121996</v>
      </c>
      <c r="H39" s="79">
        <f t="shared" si="34"/>
        <v>130996</v>
      </c>
      <c r="I39" s="79">
        <f t="shared" si="34"/>
        <v>139996</v>
      </c>
      <c r="J39" s="82" t="s">
        <v>169</v>
      </c>
    </row>
    <row r="40" spans="1:10" x14ac:dyDescent="0.25">
      <c r="A40" s="86" t="s">
        <v>218</v>
      </c>
      <c r="B40" s="78">
        <v>51776</v>
      </c>
      <c r="C40" s="78">
        <v>66242</v>
      </c>
      <c r="D40" s="78">
        <v>78059</v>
      </c>
      <c r="E40" s="78">
        <v>95003</v>
      </c>
      <c r="F40" s="79">
        <f t="shared" ref="F40:I40" si="35">E40+9000</f>
        <v>104003</v>
      </c>
      <c r="G40" s="79">
        <f t="shared" si="35"/>
        <v>113003</v>
      </c>
      <c r="H40" s="79">
        <f t="shared" si="35"/>
        <v>122003</v>
      </c>
      <c r="I40" s="79">
        <f t="shared" si="35"/>
        <v>131003</v>
      </c>
      <c r="J40" s="82" t="s">
        <v>170</v>
      </c>
    </row>
    <row r="41" spans="1:10" x14ac:dyDescent="0.25">
      <c r="A41" s="86" t="s">
        <v>217</v>
      </c>
      <c r="B41" s="78">
        <v>48528</v>
      </c>
      <c r="C41" s="78">
        <v>63012</v>
      </c>
      <c r="D41" s="78">
        <v>67362</v>
      </c>
      <c r="E41" s="78">
        <v>78458</v>
      </c>
      <c r="F41" s="79">
        <f t="shared" ref="F41:I41" si="36">E41+9000</f>
        <v>87458</v>
      </c>
      <c r="G41" s="79">
        <f t="shared" si="36"/>
        <v>96458</v>
      </c>
      <c r="H41" s="79">
        <f t="shared" si="36"/>
        <v>105458</v>
      </c>
      <c r="I41" s="79">
        <f t="shared" si="36"/>
        <v>114458</v>
      </c>
      <c r="J41" s="82" t="s">
        <v>171</v>
      </c>
    </row>
    <row r="42" spans="1:10" x14ac:dyDescent="0.25">
      <c r="A42" s="86" t="s">
        <v>216</v>
      </c>
      <c r="B42" s="78">
        <v>61303</v>
      </c>
      <c r="C42" s="78">
        <v>73378</v>
      </c>
      <c r="D42" s="78">
        <v>88474</v>
      </c>
      <c r="E42" s="78">
        <v>100533</v>
      </c>
      <c r="F42" s="79">
        <f t="shared" ref="F42:I42" si="37">E42+9000</f>
        <v>109533</v>
      </c>
      <c r="G42" s="79">
        <f t="shared" si="37"/>
        <v>118533</v>
      </c>
      <c r="H42" s="79">
        <f t="shared" si="37"/>
        <v>127533</v>
      </c>
      <c r="I42" s="79">
        <f t="shared" si="37"/>
        <v>136533</v>
      </c>
      <c r="J42" s="82" t="s">
        <v>172</v>
      </c>
    </row>
    <row r="43" spans="1:10" x14ac:dyDescent="0.25">
      <c r="A43" s="86" t="s">
        <v>215</v>
      </c>
      <c r="B43" s="78">
        <v>57213</v>
      </c>
      <c r="C43" s="78">
        <v>70577</v>
      </c>
      <c r="D43" s="78">
        <v>87217</v>
      </c>
      <c r="E43" s="78">
        <v>103857</v>
      </c>
      <c r="F43" s="79">
        <f t="shared" ref="F43:I43" si="38">E43+9000</f>
        <v>112857</v>
      </c>
      <c r="G43" s="79">
        <f t="shared" si="38"/>
        <v>121857</v>
      </c>
      <c r="H43" s="79">
        <f t="shared" si="38"/>
        <v>130857</v>
      </c>
      <c r="I43" s="79">
        <f t="shared" si="38"/>
        <v>139857</v>
      </c>
      <c r="J43" s="82" t="s">
        <v>173</v>
      </c>
    </row>
    <row r="44" spans="1:10" x14ac:dyDescent="0.25">
      <c r="A44" s="86" t="s">
        <v>214</v>
      </c>
      <c r="B44" s="78">
        <v>63724</v>
      </c>
      <c r="C44" s="78">
        <v>79791</v>
      </c>
      <c r="D44" s="78">
        <v>95390</v>
      </c>
      <c r="E44" s="78">
        <v>108105</v>
      </c>
      <c r="F44" s="79">
        <f t="shared" ref="F44:I44" si="39">E44+9000</f>
        <v>117105</v>
      </c>
      <c r="G44" s="79">
        <f t="shared" si="39"/>
        <v>126105</v>
      </c>
      <c r="H44" s="79">
        <f t="shared" si="39"/>
        <v>135105</v>
      </c>
      <c r="I44" s="79">
        <f t="shared" si="39"/>
        <v>144105</v>
      </c>
      <c r="J44" s="82" t="s">
        <v>174</v>
      </c>
    </row>
    <row r="45" spans="1:10" x14ac:dyDescent="0.25">
      <c r="A45" s="86" t="s">
        <v>213</v>
      </c>
      <c r="B45" s="78">
        <v>49390</v>
      </c>
      <c r="C45" s="78">
        <v>64083</v>
      </c>
      <c r="D45" s="78">
        <v>70883</v>
      </c>
      <c r="E45" s="78">
        <v>85227</v>
      </c>
      <c r="F45" s="79">
        <f t="shared" ref="F45:I45" si="40">E45+9000</f>
        <v>94227</v>
      </c>
      <c r="G45" s="79">
        <f t="shared" si="40"/>
        <v>103227</v>
      </c>
      <c r="H45" s="79">
        <f t="shared" si="40"/>
        <v>112227</v>
      </c>
      <c r="I45" s="79">
        <f t="shared" si="40"/>
        <v>121227</v>
      </c>
      <c r="J45" s="82" t="s">
        <v>175</v>
      </c>
    </row>
    <row r="46" spans="1:10" x14ac:dyDescent="0.25">
      <c r="A46" s="86" t="s">
        <v>212</v>
      </c>
      <c r="B46" s="78">
        <v>51723</v>
      </c>
      <c r="C46" s="78">
        <v>70592</v>
      </c>
      <c r="D46" s="78">
        <v>82532</v>
      </c>
      <c r="E46" s="78">
        <v>90951</v>
      </c>
      <c r="F46" s="79">
        <f t="shared" ref="F46:I46" si="41">E46+9000</f>
        <v>99951</v>
      </c>
      <c r="G46" s="79">
        <f t="shared" si="41"/>
        <v>108951</v>
      </c>
      <c r="H46" s="79">
        <f t="shared" si="41"/>
        <v>117951</v>
      </c>
      <c r="I46" s="79">
        <f t="shared" si="41"/>
        <v>126951</v>
      </c>
      <c r="J46" s="82" t="s">
        <v>176</v>
      </c>
    </row>
    <row r="47" spans="1:10" x14ac:dyDescent="0.25">
      <c r="A47" s="86" t="s">
        <v>211</v>
      </c>
      <c r="B47" s="78">
        <v>50182</v>
      </c>
      <c r="C47" s="78">
        <v>63203</v>
      </c>
      <c r="D47" s="78">
        <v>71133</v>
      </c>
      <c r="E47" s="78">
        <v>85923</v>
      </c>
      <c r="F47" s="79">
        <f t="shared" ref="F47:I47" si="42">E47+9000</f>
        <v>94923</v>
      </c>
      <c r="G47" s="79">
        <f t="shared" si="42"/>
        <v>103923</v>
      </c>
      <c r="H47" s="79">
        <f t="shared" si="42"/>
        <v>112923</v>
      </c>
      <c r="I47" s="79">
        <f t="shared" si="42"/>
        <v>121923</v>
      </c>
      <c r="J47" s="82" t="s">
        <v>177</v>
      </c>
    </row>
    <row r="48" spans="1:10" x14ac:dyDescent="0.25">
      <c r="A48" s="86" t="s">
        <v>210</v>
      </c>
      <c r="B48" s="78">
        <v>52308</v>
      </c>
      <c r="C48" s="78">
        <v>70418</v>
      </c>
      <c r="D48" s="78">
        <v>76170</v>
      </c>
      <c r="E48" s="78">
        <v>88109</v>
      </c>
      <c r="F48" s="79">
        <f t="shared" ref="F48:I48" si="43">E48+9000</f>
        <v>97109</v>
      </c>
      <c r="G48" s="79">
        <f t="shared" si="43"/>
        <v>106109</v>
      </c>
      <c r="H48" s="79">
        <f t="shared" si="43"/>
        <v>115109</v>
      </c>
      <c r="I48" s="79">
        <f t="shared" si="43"/>
        <v>124109</v>
      </c>
      <c r="J48" s="82" t="s">
        <v>178</v>
      </c>
    </row>
    <row r="49" spans="1:10" x14ac:dyDescent="0.25">
      <c r="A49" s="86" t="s">
        <v>209</v>
      </c>
      <c r="B49" s="78">
        <v>66445</v>
      </c>
      <c r="C49" s="78">
        <v>72855</v>
      </c>
      <c r="D49" s="78">
        <v>85507</v>
      </c>
      <c r="E49" s="78">
        <v>95430</v>
      </c>
      <c r="F49" s="79">
        <f t="shared" ref="F49:I49" si="44">E49+9000</f>
        <v>104430</v>
      </c>
      <c r="G49" s="79">
        <f t="shared" si="44"/>
        <v>113430</v>
      </c>
      <c r="H49" s="79">
        <f t="shared" si="44"/>
        <v>122430</v>
      </c>
      <c r="I49" s="79">
        <f t="shared" si="44"/>
        <v>131430</v>
      </c>
      <c r="J49" s="82" t="s">
        <v>179</v>
      </c>
    </row>
    <row r="50" spans="1:10" x14ac:dyDescent="0.25">
      <c r="A50" s="86" t="s">
        <v>208</v>
      </c>
      <c r="B50" s="78">
        <v>55409</v>
      </c>
      <c r="C50" s="78">
        <v>73601</v>
      </c>
      <c r="D50" s="78">
        <v>87394</v>
      </c>
      <c r="E50" s="78">
        <v>111095</v>
      </c>
      <c r="F50" s="79">
        <f t="shared" ref="F50:I50" si="45">E50+9000</f>
        <v>120095</v>
      </c>
      <c r="G50" s="79">
        <f t="shared" si="45"/>
        <v>129095</v>
      </c>
      <c r="H50" s="79">
        <f t="shared" si="45"/>
        <v>138095</v>
      </c>
      <c r="I50" s="79">
        <f t="shared" si="45"/>
        <v>147095</v>
      </c>
      <c r="J50" s="82" t="s">
        <v>180</v>
      </c>
    </row>
    <row r="51" spans="1:10" x14ac:dyDescent="0.25">
      <c r="A51" s="86" t="s">
        <v>207</v>
      </c>
      <c r="B51" s="78">
        <v>64079</v>
      </c>
      <c r="C51" s="78">
        <v>81900</v>
      </c>
      <c r="D51" s="78">
        <v>97056</v>
      </c>
      <c r="E51" s="78">
        <v>114910</v>
      </c>
      <c r="F51" s="79">
        <f t="shared" ref="F51:I51" si="46">E51+9000</f>
        <v>123910</v>
      </c>
      <c r="G51" s="79">
        <f t="shared" si="46"/>
        <v>132910</v>
      </c>
      <c r="H51" s="79">
        <f t="shared" si="46"/>
        <v>141910</v>
      </c>
      <c r="I51" s="79">
        <f t="shared" si="46"/>
        <v>150910</v>
      </c>
      <c r="J51" s="82" t="s">
        <v>181</v>
      </c>
    </row>
    <row r="52" spans="1:10" x14ac:dyDescent="0.25">
      <c r="A52" s="86" t="s">
        <v>206</v>
      </c>
      <c r="B52" s="78">
        <v>70194</v>
      </c>
      <c r="C52" s="78">
        <v>85189</v>
      </c>
      <c r="D52" s="78">
        <v>98730</v>
      </c>
      <c r="E52" s="78">
        <v>112182</v>
      </c>
      <c r="F52" s="79">
        <f t="shared" ref="F52:I52" si="47">E52+9000</f>
        <v>121182</v>
      </c>
      <c r="G52" s="79">
        <f t="shared" si="47"/>
        <v>130182</v>
      </c>
      <c r="H52" s="79">
        <f t="shared" si="47"/>
        <v>139182</v>
      </c>
      <c r="I52" s="79">
        <f t="shared" si="47"/>
        <v>148182</v>
      </c>
      <c r="J52" s="82" t="s">
        <v>182</v>
      </c>
    </row>
    <row r="53" spans="1:10" x14ac:dyDescent="0.25">
      <c r="A53" s="86" t="s">
        <v>205</v>
      </c>
      <c r="B53" s="78">
        <v>50235</v>
      </c>
      <c r="C53" s="78">
        <v>54841</v>
      </c>
      <c r="D53" s="78">
        <v>67702</v>
      </c>
      <c r="E53" s="78">
        <v>73600</v>
      </c>
      <c r="F53" s="79">
        <f t="shared" ref="F53:I53" si="48">E53+9000</f>
        <v>82600</v>
      </c>
      <c r="G53" s="79">
        <f t="shared" si="48"/>
        <v>91600</v>
      </c>
      <c r="H53" s="79">
        <f t="shared" si="48"/>
        <v>100600</v>
      </c>
      <c r="I53" s="79">
        <f t="shared" si="48"/>
        <v>109600</v>
      </c>
      <c r="J53" s="82" t="s">
        <v>183</v>
      </c>
    </row>
    <row r="54" spans="1:10" x14ac:dyDescent="0.25">
      <c r="A54" s="86" t="s">
        <v>204</v>
      </c>
      <c r="B54" s="78">
        <v>54660</v>
      </c>
      <c r="C54" s="78">
        <v>72171</v>
      </c>
      <c r="D54" s="78">
        <v>87353</v>
      </c>
      <c r="E54" s="78">
        <v>103708</v>
      </c>
      <c r="F54" s="79">
        <f t="shared" ref="F54:I54" si="49">E54+9000</f>
        <v>112708</v>
      </c>
      <c r="G54" s="79">
        <f t="shared" si="49"/>
        <v>121708</v>
      </c>
      <c r="H54" s="79">
        <f t="shared" si="49"/>
        <v>130708</v>
      </c>
      <c r="I54" s="79">
        <f t="shared" si="49"/>
        <v>139708</v>
      </c>
      <c r="J54" s="82" t="s">
        <v>184</v>
      </c>
    </row>
    <row r="55" spans="1:10" x14ac:dyDescent="0.25">
      <c r="A55" s="87" t="s">
        <v>203</v>
      </c>
      <c r="B55" s="80">
        <v>57091</v>
      </c>
      <c r="C55" s="80">
        <v>71840</v>
      </c>
      <c r="D55" s="80">
        <v>83878</v>
      </c>
      <c r="E55" s="80">
        <v>100012</v>
      </c>
      <c r="F55" s="81">
        <f t="shared" ref="F55:I55" si="50">E55+9000</f>
        <v>109012</v>
      </c>
      <c r="G55" s="81">
        <f t="shared" si="50"/>
        <v>118012</v>
      </c>
      <c r="H55" s="81">
        <f t="shared" si="50"/>
        <v>127012</v>
      </c>
      <c r="I55" s="81">
        <f t="shared" si="50"/>
        <v>136012</v>
      </c>
      <c r="J55" s="82" t="s">
        <v>185</v>
      </c>
    </row>
    <row r="56" spans="1:10" x14ac:dyDescent="0.25">
      <c r="A56" s="87" t="s">
        <v>197</v>
      </c>
      <c r="B56" s="81">
        <v>42770</v>
      </c>
      <c r="C56" s="81">
        <v>51139</v>
      </c>
      <c r="D56" s="81">
        <v>58275</v>
      </c>
      <c r="E56" s="81">
        <v>70520</v>
      </c>
      <c r="F56" s="81">
        <f t="shared" ref="F56:I56" si="51">E56+9000</f>
        <v>79520</v>
      </c>
      <c r="G56" s="81">
        <f t="shared" si="51"/>
        <v>88520</v>
      </c>
      <c r="H56" s="81">
        <f t="shared" si="51"/>
        <v>97520</v>
      </c>
      <c r="I56" s="88">
        <f t="shared" si="51"/>
        <v>106520</v>
      </c>
      <c r="J56" s="82" t="s">
        <v>265</v>
      </c>
    </row>
    <row r="57" spans="1:10" ht="24" x14ac:dyDescent="0.25">
      <c r="A57" s="87" t="s">
        <v>196</v>
      </c>
      <c r="B57" s="81">
        <v>28722</v>
      </c>
      <c r="C57" s="81">
        <v>28722</v>
      </c>
      <c r="D57" s="81">
        <v>33416</v>
      </c>
      <c r="E57" s="81">
        <v>49148</v>
      </c>
      <c r="F57" s="81">
        <f t="shared" ref="F57:I57" si="52">E57+9000</f>
        <v>58148</v>
      </c>
      <c r="G57" s="81">
        <f t="shared" si="52"/>
        <v>67148</v>
      </c>
      <c r="H57" s="81">
        <f t="shared" si="52"/>
        <v>76148</v>
      </c>
      <c r="I57" s="88">
        <f t="shared" si="52"/>
        <v>85148</v>
      </c>
      <c r="J57" s="82" t="s">
        <v>268</v>
      </c>
    </row>
    <row r="58" spans="1:10" x14ac:dyDescent="0.25">
      <c r="A58" s="87" t="s">
        <v>195</v>
      </c>
      <c r="B58" s="81">
        <v>24669</v>
      </c>
      <c r="C58" s="81">
        <v>24669</v>
      </c>
      <c r="D58" s="81">
        <v>26874</v>
      </c>
      <c r="E58" s="81">
        <v>31989</v>
      </c>
      <c r="F58" s="81">
        <f t="shared" ref="F58:I58" si="53">E58+9000</f>
        <v>40989</v>
      </c>
      <c r="G58" s="81">
        <f t="shared" si="53"/>
        <v>49989</v>
      </c>
      <c r="H58" s="81">
        <f t="shared" si="53"/>
        <v>58989</v>
      </c>
      <c r="I58" s="88">
        <f t="shared" si="53"/>
        <v>67989</v>
      </c>
      <c r="J58" s="82" t="s">
        <v>267</v>
      </c>
    </row>
    <row r="59" spans="1:10" ht="15.75" customHeight="1" x14ac:dyDescent="0.25">
      <c r="A59" s="86" t="s">
        <v>194</v>
      </c>
      <c r="B59" s="79">
        <v>33935</v>
      </c>
      <c r="C59" s="79">
        <v>40785</v>
      </c>
      <c r="D59" s="79">
        <v>43486</v>
      </c>
      <c r="E59" s="79">
        <v>47642</v>
      </c>
      <c r="F59" s="79">
        <f t="shared" ref="F59:I59" si="54">E59+9000</f>
        <v>56642</v>
      </c>
      <c r="G59" s="79">
        <f t="shared" si="54"/>
        <v>65642</v>
      </c>
      <c r="H59" s="79">
        <f t="shared" si="54"/>
        <v>74642</v>
      </c>
      <c r="I59" s="89">
        <f t="shared" si="54"/>
        <v>83642</v>
      </c>
      <c r="J59" s="82" t="s">
        <v>266</v>
      </c>
    </row>
    <row r="60" spans="1:10" ht="15.75" x14ac:dyDescent="0.25">
      <c r="A60" s="119" t="s">
        <v>254</v>
      </c>
      <c r="B60" s="120"/>
      <c r="C60" s="120"/>
      <c r="D60" s="120"/>
      <c r="E60" s="120"/>
    </row>
  </sheetData>
  <sheetProtection algorithmName="SHA-512" hashValue="4bHlhi4TYMTWIGx9W6F43fBOdXke+7P5+zvSnZKHe8cBgYYjkCFzgEuX2YViE9QCtz9BykbvIHA4TqsjeQXyAg==" saltValue="tk4caUHoDgfLFnCpufR9qw==" spinCount="100000" sheet="1" objects="1" scenarios="1"/>
  <mergeCells count="3">
    <mergeCell ref="A1:A2"/>
    <mergeCell ref="A60:E60"/>
    <mergeCell ref="B1:I2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58B0-856F-4820-8F96-A9D0C09CD36E}">
  <sheetPr codeName="Sheet3"/>
  <dimension ref="A1:C34"/>
  <sheetViews>
    <sheetView zoomScale="130" zoomScaleNormal="130" workbookViewId="0"/>
  </sheetViews>
  <sheetFormatPr defaultRowHeight="15" x14ac:dyDescent="0.25"/>
  <cols>
    <col min="1" max="1" width="26.5703125" bestFit="1" customWidth="1"/>
    <col min="2" max="2" width="5.5703125" style="5" bestFit="1" customWidth="1"/>
    <col min="3" max="3" width="165.42578125" bestFit="1" customWidth="1"/>
  </cols>
  <sheetData>
    <row r="1" spans="1:3" x14ac:dyDescent="0.25">
      <c r="A1" s="21" t="s">
        <v>190</v>
      </c>
      <c r="B1" s="22" t="s">
        <v>35</v>
      </c>
      <c r="C1" s="21" t="s">
        <v>40</v>
      </c>
    </row>
    <row r="2" spans="1:3" x14ac:dyDescent="0.25">
      <c r="A2" s="19" t="s">
        <v>7</v>
      </c>
      <c r="B2" s="20">
        <v>1</v>
      </c>
      <c r="C2" s="19" t="s">
        <v>270</v>
      </c>
    </row>
    <row r="3" spans="1:3" x14ac:dyDescent="0.25">
      <c r="A3" s="19" t="s">
        <v>8</v>
      </c>
      <c r="B3" s="20">
        <v>2</v>
      </c>
      <c r="C3" s="19" t="s">
        <v>41</v>
      </c>
    </row>
    <row r="4" spans="1:3" x14ac:dyDescent="0.25">
      <c r="A4" s="19" t="s">
        <v>9</v>
      </c>
      <c r="B4" s="20">
        <v>3</v>
      </c>
      <c r="C4" s="19" t="s">
        <v>49</v>
      </c>
    </row>
    <row r="5" spans="1:3" s="42" customFormat="1" x14ac:dyDescent="0.25">
      <c r="B5" s="62"/>
    </row>
    <row r="6" spans="1:3" s="42" customFormat="1" x14ac:dyDescent="0.25">
      <c r="A6" s="63" t="s">
        <v>1</v>
      </c>
      <c r="B6" s="62"/>
      <c r="C6" s="63" t="s">
        <v>193</v>
      </c>
    </row>
    <row r="7" spans="1:3" x14ac:dyDescent="0.25">
      <c r="A7" t="s">
        <v>34</v>
      </c>
      <c r="C7" t="s">
        <v>56</v>
      </c>
    </row>
    <row r="8" spans="1:3" x14ac:dyDescent="0.25">
      <c r="A8" t="s">
        <v>30</v>
      </c>
      <c r="C8" t="s">
        <v>62</v>
      </c>
    </row>
    <row r="9" spans="1:3" x14ac:dyDescent="0.25">
      <c r="A9" t="s">
        <v>31</v>
      </c>
      <c r="C9" t="s">
        <v>58</v>
      </c>
    </row>
    <row r="10" spans="1:3" x14ac:dyDescent="0.25">
      <c r="A10" t="s">
        <v>10</v>
      </c>
      <c r="C10" t="s">
        <v>276</v>
      </c>
    </row>
    <row r="11" spans="1:3" x14ac:dyDescent="0.25">
      <c r="A11" t="s">
        <v>29</v>
      </c>
      <c r="C11" t="s">
        <v>57</v>
      </c>
    </row>
    <row r="12" spans="1:3" x14ac:dyDescent="0.25">
      <c r="A12" t="s">
        <v>44</v>
      </c>
      <c r="C12" t="s">
        <v>59</v>
      </c>
    </row>
    <row r="13" spans="1:3" x14ac:dyDescent="0.25">
      <c r="A13" t="s">
        <v>32</v>
      </c>
      <c r="C13" t="s">
        <v>271</v>
      </c>
    </row>
    <row r="14" spans="1:3" x14ac:dyDescent="0.25">
      <c r="A14" t="s">
        <v>33</v>
      </c>
      <c r="C14" t="s">
        <v>272</v>
      </c>
    </row>
    <row r="15" spans="1:3" x14ac:dyDescent="0.25">
      <c r="A15" t="s">
        <v>11</v>
      </c>
      <c r="C15" t="s">
        <v>60</v>
      </c>
    </row>
    <row r="16" spans="1:3" x14ac:dyDescent="0.25">
      <c r="A16" t="s">
        <v>46</v>
      </c>
      <c r="C16" t="s">
        <v>273</v>
      </c>
    </row>
    <row r="17" spans="1:3" x14ac:dyDescent="0.25">
      <c r="A17" t="s">
        <v>38</v>
      </c>
      <c r="C17" t="s">
        <v>61</v>
      </c>
    </row>
    <row r="18" spans="1:3" x14ac:dyDescent="0.25">
      <c r="A18" t="s">
        <v>16</v>
      </c>
      <c r="C18" t="s">
        <v>274</v>
      </c>
    </row>
    <row r="19" spans="1:3" x14ac:dyDescent="0.25">
      <c r="A19" t="s">
        <v>55</v>
      </c>
      <c r="C19" t="s">
        <v>275</v>
      </c>
    </row>
    <row r="20" spans="1:3" x14ac:dyDescent="0.25">
      <c r="A20" t="s">
        <v>43</v>
      </c>
      <c r="C20" t="s">
        <v>63</v>
      </c>
    </row>
    <row r="30" spans="1:3" x14ac:dyDescent="0.25">
      <c r="A30" s="1" t="s">
        <v>17</v>
      </c>
      <c r="C30" s="1" t="s">
        <v>18</v>
      </c>
    </row>
    <row r="31" spans="1:3" x14ac:dyDescent="0.25">
      <c r="A31" t="s">
        <v>47</v>
      </c>
      <c r="C31" t="s">
        <v>48</v>
      </c>
    </row>
    <row r="32" spans="1:3" x14ac:dyDescent="0.25">
      <c r="A32" t="s">
        <v>19</v>
      </c>
      <c r="C32" t="s">
        <v>21</v>
      </c>
    </row>
    <row r="33" spans="1:3" x14ac:dyDescent="0.25">
      <c r="A33" t="s">
        <v>22</v>
      </c>
      <c r="C33" t="s">
        <v>20</v>
      </c>
    </row>
    <row r="34" spans="1:3" x14ac:dyDescent="0.25">
      <c r="A34" t="s">
        <v>23</v>
      </c>
      <c r="C34" t="s">
        <v>24</v>
      </c>
    </row>
  </sheetData>
  <sheetProtection algorithmName="SHA-512" hashValue="R5+s3+oh0b6FI1P5b/pNkFXPdM/l5i9TYZymJaWogIFVDlav/ANJgUcpJjA87Ct80bo4NvjNC6YUTZIWV24DFg==" saltValue="1wP9P8vXE65gQXWcODjopQ==" spinCount="100000" sheet="1" objects="1" scenarios="1"/>
  <pageMargins left="0.7" right="0.7" top="0.75" bottom="0.75" header="0.3" footer="0.3"/>
  <pageSetup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B44B0-83E4-42AD-A757-3D7FACF6F511}">
  <sheetPr codeName="Sheet8"/>
  <dimension ref="A1:M1002"/>
  <sheetViews>
    <sheetView zoomScale="120" zoomScaleNormal="120" workbookViewId="0">
      <pane ySplit="1" topLeftCell="A2" activePane="bottomLeft" state="frozen"/>
      <selection pane="bottomLeft" activeCell="A53" sqref="A53"/>
    </sheetView>
  </sheetViews>
  <sheetFormatPr defaultRowHeight="15" x14ac:dyDescent="0.25"/>
  <cols>
    <col min="1" max="1" width="18.7109375" bestFit="1" customWidth="1"/>
    <col min="2" max="2" width="4.5703125" bestFit="1" customWidth="1"/>
    <col min="3" max="3" width="5.7109375" bestFit="1" customWidth="1"/>
    <col min="4" max="4" width="19.42578125" style="5" bestFit="1" customWidth="1"/>
    <col min="5" max="5" width="12" style="5" bestFit="1" customWidth="1"/>
    <col min="6" max="6" width="23.7109375" bestFit="1" customWidth="1"/>
    <col min="7" max="7" width="18.140625" bestFit="1" customWidth="1"/>
    <col min="8" max="8" width="6.140625" bestFit="1" customWidth="1"/>
    <col min="9" max="9" width="22" bestFit="1" customWidth="1"/>
    <col min="10" max="10" width="22.140625" style="61" bestFit="1" customWidth="1"/>
    <col min="11" max="11" width="15.5703125" style="5" bestFit="1" customWidth="1"/>
    <col min="12" max="12" width="19.28515625" style="61" bestFit="1" customWidth="1"/>
    <col min="13" max="13" width="10.85546875" style="12" bestFit="1" customWidth="1"/>
  </cols>
  <sheetData>
    <row r="1" spans="1:13" s="1" customFormat="1" ht="24" customHeight="1" x14ac:dyDescent="0.25">
      <c r="A1" s="57" t="s">
        <v>50</v>
      </c>
      <c r="B1" s="57" t="s">
        <v>1</v>
      </c>
      <c r="C1" s="57" t="s">
        <v>132</v>
      </c>
      <c r="D1" s="72" t="s">
        <v>6</v>
      </c>
      <c r="E1" s="72" t="s">
        <v>34</v>
      </c>
      <c r="F1" s="57" t="s">
        <v>52</v>
      </c>
      <c r="G1" s="57" t="s">
        <v>51</v>
      </c>
      <c r="H1" s="57" t="s">
        <v>10</v>
      </c>
      <c r="I1" s="57" t="s">
        <v>53</v>
      </c>
      <c r="J1" s="60" t="s">
        <v>38</v>
      </c>
      <c r="K1" s="72" t="s">
        <v>54</v>
      </c>
      <c r="L1" s="60" t="s">
        <v>277</v>
      </c>
      <c r="M1" s="69" t="s">
        <v>64</v>
      </c>
    </row>
    <row r="2" spans="1:13" s="42" customFormat="1" x14ac:dyDescent="0.25">
      <c r="A2" s="76">
        <v>37</v>
      </c>
      <c r="B2">
        <v>29</v>
      </c>
      <c r="C2" t="s">
        <v>174</v>
      </c>
      <c r="D2" s="5" t="s">
        <v>7</v>
      </c>
      <c r="E2" s="5">
        <v>1</v>
      </c>
      <c r="F2" s="70">
        <v>38500</v>
      </c>
      <c r="G2" s="70">
        <v>37500</v>
      </c>
      <c r="H2" s="101">
        <v>2.9967692106499113</v>
      </c>
      <c r="I2" s="70">
        <v>31007.77</v>
      </c>
      <c r="J2" s="77">
        <v>77.288412882855539</v>
      </c>
      <c r="K2" s="5">
        <v>7</v>
      </c>
      <c r="L2" s="56">
        <v>6492.226682159866</v>
      </c>
      <c r="M2" s="66">
        <v>0.82687395514240358</v>
      </c>
    </row>
    <row r="3" spans="1:13" x14ac:dyDescent="0.25">
      <c r="A3" s="76">
        <v>4</v>
      </c>
      <c r="B3">
        <v>29</v>
      </c>
      <c r="C3" t="s">
        <v>140</v>
      </c>
      <c r="D3" s="5" t="s">
        <v>9</v>
      </c>
      <c r="E3" s="5">
        <v>1</v>
      </c>
      <c r="F3" s="70">
        <v>39875</v>
      </c>
      <c r="G3" s="70">
        <v>26500</v>
      </c>
      <c r="H3" s="101">
        <v>2.8827453592373282</v>
      </c>
      <c r="I3" s="70">
        <v>22325.94</v>
      </c>
      <c r="J3" s="77">
        <v>49.691246598102857</v>
      </c>
      <c r="K3" s="5">
        <v>7</v>
      </c>
      <c r="L3" s="56">
        <v>4174.0647142406397</v>
      </c>
      <c r="M3" s="66">
        <v>0.84248812399091921</v>
      </c>
    </row>
    <row r="4" spans="1:13" x14ac:dyDescent="0.25">
      <c r="A4" s="76">
        <v>46</v>
      </c>
      <c r="B4">
        <v>31</v>
      </c>
      <c r="C4" t="s">
        <v>178</v>
      </c>
      <c r="D4" s="5" t="s">
        <v>9</v>
      </c>
      <c r="E4" s="5">
        <v>2</v>
      </c>
      <c r="F4" s="70">
        <v>47500</v>
      </c>
      <c r="G4" s="70">
        <v>34500</v>
      </c>
      <c r="H4" s="101">
        <v>2.5150386237626772</v>
      </c>
      <c r="I4" s="70">
        <v>30500.9</v>
      </c>
      <c r="J4" s="77">
        <v>47.608389424538885</v>
      </c>
      <c r="K4" s="5">
        <v>7</v>
      </c>
      <c r="L4" s="56">
        <v>3999.1047116612663</v>
      </c>
      <c r="M4" s="12">
        <v>0.88408392140112269</v>
      </c>
    </row>
    <row r="5" spans="1:13" x14ac:dyDescent="0.25">
      <c r="A5" s="76">
        <v>19</v>
      </c>
      <c r="B5">
        <v>31</v>
      </c>
      <c r="C5" t="s">
        <v>151</v>
      </c>
      <c r="D5" s="5" t="s">
        <v>189</v>
      </c>
      <c r="E5" s="5">
        <v>1</v>
      </c>
      <c r="F5" s="70">
        <v>34750</v>
      </c>
      <c r="G5" s="70">
        <v>24000</v>
      </c>
      <c r="H5" s="101">
        <v>2.9809113239664113</v>
      </c>
      <c r="I5" s="70">
        <v>20206.34</v>
      </c>
      <c r="J5" s="77">
        <v>45.162569662236137</v>
      </c>
      <c r="K5" s="5">
        <v>7</v>
      </c>
      <c r="L5" s="56">
        <v>3793.6558516278355</v>
      </c>
      <c r="M5" s="66">
        <v>0.84193100618217354</v>
      </c>
    </row>
    <row r="6" spans="1:13" x14ac:dyDescent="0.25">
      <c r="A6" s="76">
        <v>42</v>
      </c>
      <c r="B6">
        <v>32</v>
      </c>
      <c r="C6" t="s">
        <v>137</v>
      </c>
      <c r="D6" s="5" t="s">
        <v>7</v>
      </c>
      <c r="E6" s="5">
        <v>0</v>
      </c>
      <c r="F6" s="70">
        <v>51750</v>
      </c>
      <c r="G6" s="70">
        <v>46750</v>
      </c>
      <c r="H6" s="101">
        <v>4.7218444616409192</v>
      </c>
      <c r="I6" s="70">
        <v>38112.22</v>
      </c>
      <c r="J6" s="77">
        <v>102.83069324230867</v>
      </c>
      <c r="K6" s="5">
        <v>7</v>
      </c>
      <c r="L6" s="56">
        <v>8637.7782323539286</v>
      </c>
      <c r="M6" s="12">
        <v>0.81523469021702821</v>
      </c>
    </row>
    <row r="7" spans="1:13" x14ac:dyDescent="0.25">
      <c r="A7" s="76">
        <v>2</v>
      </c>
      <c r="B7">
        <v>32</v>
      </c>
      <c r="C7" t="s">
        <v>157</v>
      </c>
      <c r="D7" s="5" t="s">
        <v>189</v>
      </c>
      <c r="E7" s="5">
        <v>1</v>
      </c>
      <c r="F7" s="70">
        <v>53500</v>
      </c>
      <c r="G7" s="70">
        <v>46000</v>
      </c>
      <c r="H7" s="101">
        <v>2.6364889367824547</v>
      </c>
      <c r="I7" s="70">
        <v>40525.29</v>
      </c>
      <c r="J7" s="77">
        <v>65.175177919087659</v>
      </c>
      <c r="K7" s="5">
        <v>7</v>
      </c>
      <c r="L7" s="56">
        <v>5474.7149452033627</v>
      </c>
      <c r="M7" s="66">
        <v>0.8809844577129704</v>
      </c>
    </row>
    <row r="8" spans="1:13" x14ac:dyDescent="0.25">
      <c r="A8" s="76">
        <v>16</v>
      </c>
      <c r="B8">
        <v>33</v>
      </c>
      <c r="C8" t="s">
        <v>173</v>
      </c>
      <c r="D8" s="5" t="s">
        <v>9</v>
      </c>
      <c r="E8" s="5">
        <v>1</v>
      </c>
      <c r="F8" s="70">
        <v>55500</v>
      </c>
      <c r="G8" s="70">
        <v>55500</v>
      </c>
      <c r="H8" s="101">
        <v>2.2660048073375565</v>
      </c>
      <c r="I8" s="70">
        <v>48497.88</v>
      </c>
      <c r="J8" s="77">
        <v>83.358513891519124</v>
      </c>
      <c r="K8" s="5">
        <v>7</v>
      </c>
      <c r="L8" s="56">
        <v>7002.1151668876064</v>
      </c>
      <c r="M8" s="66">
        <v>0.87383576275878183</v>
      </c>
    </row>
    <row r="9" spans="1:13" x14ac:dyDescent="0.25">
      <c r="A9" s="76">
        <v>20</v>
      </c>
      <c r="B9">
        <v>34</v>
      </c>
      <c r="C9" t="s">
        <v>173</v>
      </c>
      <c r="D9" s="73" t="s">
        <v>189</v>
      </c>
      <c r="E9" s="44">
        <v>1</v>
      </c>
      <c r="F9" s="70">
        <v>35500</v>
      </c>
      <c r="G9" s="70">
        <v>27000</v>
      </c>
      <c r="H9" s="101">
        <v>2.7491048294423872</v>
      </c>
      <c r="I9" s="70">
        <v>23309.99</v>
      </c>
      <c r="J9" s="77">
        <v>43.928737201003074</v>
      </c>
      <c r="K9" s="45">
        <v>7</v>
      </c>
      <c r="L9" s="56">
        <v>3690.0139248842584</v>
      </c>
      <c r="M9" s="66">
        <v>0.8633328175968793</v>
      </c>
    </row>
    <row r="10" spans="1:13" x14ac:dyDescent="0.25">
      <c r="A10" s="76">
        <v>32</v>
      </c>
      <c r="B10">
        <v>35</v>
      </c>
      <c r="C10" t="s">
        <v>136</v>
      </c>
      <c r="D10" s="53" t="s">
        <v>189</v>
      </c>
      <c r="E10" s="53">
        <v>0</v>
      </c>
      <c r="F10" s="70">
        <v>74500</v>
      </c>
      <c r="G10" s="70">
        <v>52800</v>
      </c>
      <c r="H10" s="101">
        <v>3.3959879790845582</v>
      </c>
      <c r="I10" s="70">
        <v>43489.37</v>
      </c>
      <c r="J10" s="77">
        <v>110.84080594985591</v>
      </c>
      <c r="K10" s="53">
        <v>7</v>
      </c>
      <c r="L10" s="56">
        <v>9310.6276997878958</v>
      </c>
      <c r="M10" s="66">
        <v>0.82366235417068379</v>
      </c>
    </row>
    <row r="11" spans="1:13" x14ac:dyDescent="0.25">
      <c r="A11" s="76">
        <v>11</v>
      </c>
      <c r="B11">
        <v>35</v>
      </c>
      <c r="C11" t="s">
        <v>138</v>
      </c>
      <c r="D11" s="5" t="s">
        <v>7</v>
      </c>
      <c r="E11" s="5">
        <v>1</v>
      </c>
      <c r="F11" s="70">
        <v>32295</v>
      </c>
      <c r="G11" s="70">
        <v>40400</v>
      </c>
      <c r="H11" s="101">
        <v>2.515863055601582</v>
      </c>
      <c r="I11" s="70">
        <v>34424.269999999997</v>
      </c>
      <c r="J11" s="77">
        <v>71.139640874531182</v>
      </c>
      <c r="K11" s="5">
        <v>7</v>
      </c>
      <c r="L11" s="56">
        <v>5975.7298334606185</v>
      </c>
      <c r="M11" s="66">
        <v>0.85208589521137079</v>
      </c>
    </row>
    <row r="12" spans="1:13" x14ac:dyDescent="0.25">
      <c r="A12" s="76">
        <v>41</v>
      </c>
      <c r="B12">
        <v>36</v>
      </c>
      <c r="C12" t="s">
        <v>164</v>
      </c>
      <c r="D12" s="5" t="s">
        <v>189</v>
      </c>
      <c r="E12" s="5">
        <v>0</v>
      </c>
      <c r="F12" s="70">
        <v>111150</v>
      </c>
      <c r="G12" s="70">
        <v>53000</v>
      </c>
      <c r="H12" s="101">
        <v>4.0023902809364174</v>
      </c>
      <c r="I12" s="70">
        <v>24242.09</v>
      </c>
      <c r="J12" s="77">
        <v>342.35610805931685</v>
      </c>
      <c r="K12" s="5">
        <v>7</v>
      </c>
      <c r="L12" s="56">
        <v>28757.913076982615</v>
      </c>
      <c r="M12" s="12">
        <v>0.45739786647202618</v>
      </c>
    </row>
    <row r="13" spans="1:13" x14ac:dyDescent="0.25">
      <c r="A13" s="76">
        <v>40</v>
      </c>
      <c r="B13">
        <v>36</v>
      </c>
      <c r="C13" t="s">
        <v>164</v>
      </c>
      <c r="D13" s="5" t="s">
        <v>189</v>
      </c>
      <c r="E13" s="5">
        <v>0</v>
      </c>
      <c r="F13" s="70">
        <v>80150</v>
      </c>
      <c r="G13" s="70">
        <v>53000</v>
      </c>
      <c r="H13" s="101">
        <v>3.4174846205590588</v>
      </c>
      <c r="I13" s="70">
        <v>45582.38</v>
      </c>
      <c r="J13" s="77">
        <v>88.305058754656173</v>
      </c>
      <c r="K13" s="5">
        <v>7</v>
      </c>
      <c r="L13" s="56">
        <v>7417.624935391118</v>
      </c>
      <c r="M13" s="12">
        <v>0.86004481253979026</v>
      </c>
    </row>
    <row r="14" spans="1:13" x14ac:dyDescent="0.25">
      <c r="A14" s="76">
        <v>31</v>
      </c>
      <c r="B14">
        <v>36</v>
      </c>
      <c r="C14" t="s">
        <v>181</v>
      </c>
      <c r="D14" s="5" t="s">
        <v>189</v>
      </c>
      <c r="E14" s="5">
        <v>2</v>
      </c>
      <c r="F14" s="70">
        <v>60000</v>
      </c>
      <c r="G14" s="70">
        <v>41850</v>
      </c>
      <c r="H14" s="101">
        <v>2.5966984166177314</v>
      </c>
      <c r="I14" s="70">
        <v>35484.65</v>
      </c>
      <c r="J14" s="77">
        <v>75.777935432447151</v>
      </c>
      <c r="K14" s="5">
        <v>7</v>
      </c>
      <c r="L14" s="56">
        <v>6365.3465763255608</v>
      </c>
      <c r="M14" s="66">
        <v>0.8479009181284215</v>
      </c>
    </row>
    <row r="15" spans="1:13" x14ac:dyDescent="0.25">
      <c r="A15" s="76">
        <v>22</v>
      </c>
      <c r="B15">
        <v>37</v>
      </c>
      <c r="C15" t="s">
        <v>141</v>
      </c>
      <c r="D15" s="5" t="s">
        <v>189</v>
      </c>
      <c r="E15" s="5">
        <v>0</v>
      </c>
      <c r="F15" s="70">
        <v>235000</v>
      </c>
      <c r="G15" s="70">
        <v>1107050</v>
      </c>
      <c r="H15" s="101">
        <v>1.9740991994139994</v>
      </c>
      <c r="I15" s="70">
        <v>685787.42</v>
      </c>
      <c r="J15" s="77">
        <v>5015.0306953707714</v>
      </c>
      <c r="K15" s="5">
        <v>7</v>
      </c>
      <c r="L15" s="56">
        <v>421262.57841114479</v>
      </c>
      <c r="M15" s="66">
        <v>0.61947285270661234</v>
      </c>
    </row>
    <row r="16" spans="1:13" x14ac:dyDescent="0.25">
      <c r="A16" s="76">
        <v>9</v>
      </c>
      <c r="B16">
        <v>37</v>
      </c>
      <c r="C16" t="s">
        <v>168</v>
      </c>
      <c r="D16" s="5" t="s">
        <v>7</v>
      </c>
      <c r="E16" s="5">
        <v>0</v>
      </c>
      <c r="F16" s="70">
        <v>55500</v>
      </c>
      <c r="G16" s="70">
        <v>56000</v>
      </c>
      <c r="H16" s="101">
        <v>4.1115025841355237</v>
      </c>
      <c r="I16" s="70">
        <v>21620.32</v>
      </c>
      <c r="J16" s="77">
        <v>409.28184939097878</v>
      </c>
      <c r="K16" s="5">
        <v>7</v>
      </c>
      <c r="L16" s="56">
        <v>34379.675348842211</v>
      </c>
      <c r="M16" s="66">
        <v>0.386077225913532</v>
      </c>
    </row>
    <row r="17" spans="1:13" x14ac:dyDescent="0.25">
      <c r="A17" s="76">
        <v>10</v>
      </c>
      <c r="B17">
        <v>37</v>
      </c>
      <c r="C17" t="s">
        <v>168</v>
      </c>
      <c r="D17" s="5" t="s">
        <v>189</v>
      </c>
      <c r="E17" s="5">
        <v>2</v>
      </c>
      <c r="F17" s="70">
        <v>55500</v>
      </c>
      <c r="G17" s="70">
        <v>56000</v>
      </c>
      <c r="H17" s="101">
        <v>2.1115025841355233</v>
      </c>
      <c r="I17" s="70">
        <v>49985.99</v>
      </c>
      <c r="J17" s="77">
        <v>71.595340650226845</v>
      </c>
      <c r="K17" s="5">
        <v>7</v>
      </c>
      <c r="L17" s="56">
        <v>6014.0086146190552</v>
      </c>
      <c r="M17" s="66">
        <v>0.89260698902465974</v>
      </c>
    </row>
    <row r="18" spans="1:13" x14ac:dyDescent="0.25">
      <c r="A18" s="76">
        <v>15</v>
      </c>
      <c r="B18">
        <v>37</v>
      </c>
      <c r="C18" t="s">
        <v>173</v>
      </c>
      <c r="D18" s="5" t="s">
        <v>7</v>
      </c>
      <c r="E18" s="5">
        <v>0</v>
      </c>
      <c r="F18" s="70">
        <v>55500</v>
      </c>
      <c r="G18" s="70">
        <v>55500</v>
      </c>
      <c r="H18" s="101">
        <v>4.1215603628931117</v>
      </c>
      <c r="I18" s="70">
        <v>45410.42</v>
      </c>
      <c r="J18" s="77">
        <v>120.11408696920307</v>
      </c>
      <c r="K18" s="5">
        <v>7</v>
      </c>
      <c r="L18" s="56">
        <v>10089.583305413058</v>
      </c>
      <c r="M18" s="66">
        <v>0.81820570620877375</v>
      </c>
    </row>
    <row r="19" spans="1:13" x14ac:dyDescent="0.25">
      <c r="A19" s="76">
        <v>36</v>
      </c>
      <c r="B19">
        <v>39</v>
      </c>
      <c r="C19" t="s">
        <v>140</v>
      </c>
      <c r="D19" s="5" t="s">
        <v>7</v>
      </c>
      <c r="E19" s="5">
        <v>2</v>
      </c>
      <c r="F19" s="70">
        <v>80500</v>
      </c>
      <c r="G19" s="70">
        <v>36450</v>
      </c>
      <c r="H19" s="101">
        <v>3.2279553008347697</v>
      </c>
      <c r="I19" s="70">
        <v>29891.75</v>
      </c>
      <c r="J19" s="77">
        <v>54.860073583243455</v>
      </c>
      <c r="K19" s="5">
        <v>7</v>
      </c>
      <c r="L19" s="56">
        <v>4608.2461809924507</v>
      </c>
      <c r="M19" s="66">
        <v>0.87357349297688747</v>
      </c>
    </row>
    <row r="20" spans="1:13" x14ac:dyDescent="0.25">
      <c r="A20" s="76">
        <v>45</v>
      </c>
      <c r="B20">
        <v>39</v>
      </c>
      <c r="C20" t="s">
        <v>177</v>
      </c>
      <c r="D20" s="5" t="s">
        <v>189</v>
      </c>
      <c r="E20" s="5">
        <v>2</v>
      </c>
      <c r="F20" s="70">
        <v>42750</v>
      </c>
      <c r="G20" s="70">
        <v>29000</v>
      </c>
      <c r="H20" s="101">
        <v>2.5524325075862722</v>
      </c>
      <c r="I20" s="70">
        <v>25461.279999999999</v>
      </c>
      <c r="J20" s="77">
        <v>42.127630650621882</v>
      </c>
      <c r="K20" s="5">
        <v>7</v>
      </c>
      <c r="L20" s="56">
        <v>3538.7209746522381</v>
      </c>
      <c r="M20" s="12">
        <v>0.87797513880509526</v>
      </c>
    </row>
    <row r="21" spans="1:13" x14ac:dyDescent="0.25">
      <c r="A21" s="76">
        <v>23</v>
      </c>
      <c r="B21">
        <v>41</v>
      </c>
      <c r="C21" t="s">
        <v>148</v>
      </c>
      <c r="D21" s="5" t="s">
        <v>189</v>
      </c>
      <c r="E21" s="5">
        <v>2</v>
      </c>
      <c r="F21" s="70">
        <v>137000</v>
      </c>
      <c r="G21" s="70">
        <v>215000</v>
      </c>
      <c r="H21" s="101">
        <v>1.6340985407366808</v>
      </c>
      <c r="I21" s="70">
        <v>161571.01</v>
      </c>
      <c r="J21" s="77">
        <v>636.05937157228789</v>
      </c>
      <c r="K21" s="5">
        <v>7</v>
      </c>
      <c r="L21" s="56">
        <v>53428.987212072185</v>
      </c>
      <c r="M21" s="66">
        <v>0.75149308273454796</v>
      </c>
    </row>
    <row r="22" spans="1:13" x14ac:dyDescent="0.25">
      <c r="A22" s="76">
        <v>13</v>
      </c>
      <c r="B22">
        <v>41</v>
      </c>
      <c r="C22" t="s">
        <v>142</v>
      </c>
      <c r="D22" s="5" t="s">
        <v>189</v>
      </c>
      <c r="E22" s="5">
        <v>0</v>
      </c>
      <c r="F22" s="70">
        <v>75400</v>
      </c>
      <c r="G22" s="70">
        <v>56000</v>
      </c>
      <c r="H22" s="101">
        <v>3.0127311728072992</v>
      </c>
      <c r="I22" s="70">
        <v>48604.58</v>
      </c>
      <c r="J22" s="77">
        <v>88.040715895428391</v>
      </c>
      <c r="K22" s="5">
        <v>7</v>
      </c>
      <c r="L22" s="56">
        <v>7395.4201352159844</v>
      </c>
      <c r="M22" s="66">
        <v>0.86793892615685742</v>
      </c>
    </row>
    <row r="23" spans="1:13" x14ac:dyDescent="0.25">
      <c r="A23" s="76">
        <v>43</v>
      </c>
      <c r="B23">
        <v>42</v>
      </c>
      <c r="C23" t="s">
        <v>139</v>
      </c>
      <c r="D23" s="5" t="s">
        <v>7</v>
      </c>
      <c r="E23" s="5">
        <v>0</v>
      </c>
      <c r="F23" s="70">
        <v>156750</v>
      </c>
      <c r="G23" s="70">
        <v>86750</v>
      </c>
      <c r="H23" s="101">
        <v>4.4075834787271226</v>
      </c>
      <c r="I23" s="70">
        <v>35681.99</v>
      </c>
      <c r="J23" s="77">
        <v>607.95253768524481</v>
      </c>
      <c r="K23" s="5">
        <v>7</v>
      </c>
      <c r="L23" s="56">
        <v>51068.013165560558</v>
      </c>
      <c r="M23" s="12">
        <v>0.41131973296183799</v>
      </c>
    </row>
    <row r="24" spans="1:13" x14ac:dyDescent="0.25">
      <c r="A24" s="76">
        <v>17</v>
      </c>
      <c r="B24">
        <v>42</v>
      </c>
      <c r="C24" t="s">
        <v>157</v>
      </c>
      <c r="D24" s="5" t="s">
        <v>189</v>
      </c>
      <c r="E24" s="5">
        <v>2</v>
      </c>
      <c r="F24" s="70">
        <v>78500</v>
      </c>
      <c r="G24" s="70">
        <v>63500</v>
      </c>
      <c r="H24" s="101">
        <v>2.2480654699740446</v>
      </c>
      <c r="I24" s="70">
        <v>56429.02</v>
      </c>
      <c r="J24" s="77">
        <v>84.178305602263521</v>
      </c>
      <c r="K24" s="5">
        <v>7</v>
      </c>
      <c r="L24" s="56">
        <v>7070.9776705901349</v>
      </c>
      <c r="M24" s="66">
        <v>0.88864602093558842</v>
      </c>
    </row>
    <row r="25" spans="1:13" x14ac:dyDescent="0.25">
      <c r="A25" s="76">
        <v>35</v>
      </c>
      <c r="B25">
        <v>42</v>
      </c>
      <c r="C25" t="s">
        <v>181</v>
      </c>
      <c r="D25" s="5" t="s">
        <v>189</v>
      </c>
      <c r="E25" s="5">
        <v>2</v>
      </c>
      <c r="F25" s="70">
        <v>80500</v>
      </c>
      <c r="G25" s="70">
        <v>36450</v>
      </c>
      <c r="H25" s="101">
        <v>3.2279553008347697</v>
      </c>
      <c r="I25" s="70">
        <v>31841.75</v>
      </c>
      <c r="J25" s="77">
        <v>54.860073583243455</v>
      </c>
      <c r="K25" s="5">
        <v>7</v>
      </c>
      <c r="L25" s="56">
        <v>4608.2461809924507</v>
      </c>
      <c r="M25" s="66">
        <v>0.87357349297688747</v>
      </c>
    </row>
    <row r="26" spans="1:13" x14ac:dyDescent="0.25">
      <c r="A26" s="76">
        <v>24</v>
      </c>
      <c r="B26">
        <v>44</v>
      </c>
      <c r="C26" t="s">
        <v>167</v>
      </c>
      <c r="D26" s="5" t="s">
        <v>189</v>
      </c>
      <c r="E26" s="5">
        <v>2</v>
      </c>
      <c r="F26" s="70">
        <v>129000</v>
      </c>
      <c r="G26" s="70">
        <v>287000</v>
      </c>
      <c r="H26" s="101">
        <v>1.3757479820837824</v>
      </c>
      <c r="I26" s="70">
        <v>244613.79</v>
      </c>
      <c r="J26" s="77">
        <v>504.59774352388609</v>
      </c>
      <c r="K26" s="5">
        <v>7</v>
      </c>
      <c r="L26" s="56">
        <v>42386.210456006433</v>
      </c>
      <c r="M26" s="66">
        <v>0.85231285555398451</v>
      </c>
    </row>
    <row r="27" spans="1:13" x14ac:dyDescent="0.25">
      <c r="A27" s="76">
        <v>34</v>
      </c>
      <c r="B27">
        <v>44</v>
      </c>
      <c r="C27" t="s">
        <v>137</v>
      </c>
      <c r="D27" s="5" t="s">
        <v>9</v>
      </c>
      <c r="E27" s="5">
        <v>1</v>
      </c>
      <c r="F27" s="70">
        <v>47000</v>
      </c>
      <c r="G27" s="70">
        <v>49000</v>
      </c>
      <c r="H27" s="101">
        <v>1.957430082032998</v>
      </c>
      <c r="I27" s="70">
        <v>42961.19</v>
      </c>
      <c r="J27" s="77">
        <v>71.890591325560351</v>
      </c>
      <c r="K27" s="5">
        <v>7</v>
      </c>
      <c r="L27" s="56">
        <v>6038.8096713470695</v>
      </c>
      <c r="M27" s="66">
        <v>0.87675898629903937</v>
      </c>
    </row>
    <row r="28" spans="1:13" x14ac:dyDescent="0.25">
      <c r="A28" s="76">
        <v>5</v>
      </c>
      <c r="B28">
        <v>44</v>
      </c>
      <c r="C28" t="s">
        <v>137</v>
      </c>
      <c r="D28" s="5" t="s">
        <v>9</v>
      </c>
      <c r="E28" s="5">
        <v>1</v>
      </c>
      <c r="F28" s="70">
        <v>44000</v>
      </c>
      <c r="G28" s="70">
        <v>49000</v>
      </c>
      <c r="H28" s="101">
        <v>1.8962055922370797</v>
      </c>
      <c r="I28" s="70">
        <v>43915.5</v>
      </c>
      <c r="J28" s="77">
        <v>60.529734046065045</v>
      </c>
      <c r="K28" s="5">
        <v>7</v>
      </c>
      <c r="L28" s="56">
        <v>5084.497659869463</v>
      </c>
      <c r="M28" s="66">
        <v>0.89623474163531713</v>
      </c>
    </row>
    <row r="29" spans="1:13" x14ac:dyDescent="0.25">
      <c r="A29" s="76">
        <v>48</v>
      </c>
      <c r="B29">
        <v>44</v>
      </c>
      <c r="C29" t="s">
        <v>152</v>
      </c>
      <c r="D29" s="5" t="s">
        <v>189</v>
      </c>
      <c r="E29" s="5">
        <v>2</v>
      </c>
      <c r="F29" s="70">
        <v>53400</v>
      </c>
      <c r="G29" s="70">
        <v>36390</v>
      </c>
      <c r="H29" s="101">
        <v>2.4315087858881572</v>
      </c>
      <c r="I29" s="70">
        <v>31371.279999999999</v>
      </c>
      <c r="J29" s="77">
        <v>59.746612502220742</v>
      </c>
      <c r="K29" s="5">
        <v>7</v>
      </c>
      <c r="L29" s="56">
        <v>5018.7154501865425</v>
      </c>
      <c r="M29" s="12">
        <v>0.86208531326775095</v>
      </c>
    </row>
    <row r="30" spans="1:13" x14ac:dyDescent="0.25">
      <c r="A30" s="76">
        <v>25</v>
      </c>
      <c r="B30">
        <v>45</v>
      </c>
      <c r="C30" t="s">
        <v>180</v>
      </c>
      <c r="D30" s="5" t="s">
        <v>189</v>
      </c>
      <c r="E30" s="5">
        <v>3</v>
      </c>
      <c r="F30" s="70">
        <v>90250</v>
      </c>
      <c r="G30" s="70">
        <v>38600</v>
      </c>
      <c r="H30" s="101">
        <v>3.2233295902510086</v>
      </c>
      <c r="I30" s="70">
        <v>33385.050000000003</v>
      </c>
      <c r="J30" s="77">
        <v>62.082683739255131</v>
      </c>
      <c r="K30" s="5">
        <v>7</v>
      </c>
      <c r="L30" s="56">
        <v>5214.9454340974316</v>
      </c>
      <c r="M30" s="66">
        <v>0.8648977866814137</v>
      </c>
    </row>
    <row r="31" spans="1:13" x14ac:dyDescent="0.25">
      <c r="A31" s="76">
        <v>27</v>
      </c>
      <c r="B31">
        <v>45</v>
      </c>
      <c r="C31" t="s">
        <v>166</v>
      </c>
      <c r="D31" s="5" t="s">
        <v>189</v>
      </c>
      <c r="E31" s="5">
        <v>0</v>
      </c>
      <c r="F31" s="70">
        <v>52000</v>
      </c>
      <c r="G31" s="70">
        <v>37505</v>
      </c>
      <c r="H31" s="101">
        <v>2.8423610105640948</v>
      </c>
      <c r="I31" s="70">
        <v>35178.199999999997</v>
      </c>
      <c r="J31" s="77">
        <v>27.699945508204159</v>
      </c>
      <c r="K31" s="5">
        <v>7</v>
      </c>
      <c r="L31" s="56">
        <v>2326.7954226891493</v>
      </c>
      <c r="M31" s="66">
        <v>0.93796039400908815</v>
      </c>
    </row>
    <row r="32" spans="1:13" x14ac:dyDescent="0.25">
      <c r="A32" s="76">
        <v>44</v>
      </c>
      <c r="B32">
        <v>47</v>
      </c>
      <c r="C32" t="s">
        <v>140</v>
      </c>
      <c r="D32" s="5" t="s">
        <v>189</v>
      </c>
      <c r="E32" s="5">
        <v>1</v>
      </c>
      <c r="F32" s="70">
        <v>80000</v>
      </c>
      <c r="G32" s="70">
        <v>32500</v>
      </c>
      <c r="H32" s="101">
        <v>3.5073916086935091</v>
      </c>
      <c r="I32" s="70">
        <v>27954.52</v>
      </c>
      <c r="J32" s="77">
        <v>54.112849256748063</v>
      </c>
      <c r="K32" s="5">
        <v>7</v>
      </c>
      <c r="L32" s="56">
        <v>4545.4793375668378</v>
      </c>
      <c r="M32" s="12">
        <v>0.86013909730563576</v>
      </c>
    </row>
    <row r="33" spans="1:13" x14ac:dyDescent="0.25">
      <c r="A33" s="76">
        <v>30</v>
      </c>
      <c r="B33">
        <v>47</v>
      </c>
      <c r="C33" t="s">
        <v>145</v>
      </c>
      <c r="D33" s="5" t="s">
        <v>189</v>
      </c>
      <c r="E33" s="5">
        <v>2</v>
      </c>
      <c r="F33" s="70">
        <v>54500</v>
      </c>
      <c r="G33" s="70">
        <v>31000</v>
      </c>
      <c r="H33" s="101">
        <v>2.6763590926808218</v>
      </c>
      <c r="I33" s="70">
        <v>28503.21</v>
      </c>
      <c r="J33" s="77">
        <v>29.723666336133903</v>
      </c>
      <c r="K33" s="5">
        <v>7</v>
      </c>
      <c r="L33" s="56">
        <v>2496.7879722352477</v>
      </c>
      <c r="M33" s="66">
        <v>0.91945845250854041</v>
      </c>
    </row>
    <row r="34" spans="1:13" x14ac:dyDescent="0.25">
      <c r="A34" s="76">
        <v>28</v>
      </c>
      <c r="B34">
        <v>48</v>
      </c>
      <c r="C34" t="s">
        <v>182</v>
      </c>
      <c r="D34" s="5" t="s">
        <v>189</v>
      </c>
      <c r="E34" s="5">
        <v>0</v>
      </c>
      <c r="F34" s="70">
        <v>94500</v>
      </c>
      <c r="G34" s="70">
        <v>49500</v>
      </c>
      <c r="H34" s="101">
        <v>3.2111969589946536</v>
      </c>
      <c r="I34" s="70">
        <v>28414.81</v>
      </c>
      <c r="J34" s="77">
        <v>251.01413328451557</v>
      </c>
      <c r="K34" s="5">
        <v>7</v>
      </c>
      <c r="L34" s="56">
        <v>21085.187195899307</v>
      </c>
      <c r="M34" s="66">
        <v>0.57403662230506458</v>
      </c>
    </row>
    <row r="35" spans="1:13" x14ac:dyDescent="0.25">
      <c r="A35" s="76">
        <v>1</v>
      </c>
      <c r="B35">
        <v>48</v>
      </c>
      <c r="C35" t="s">
        <v>152</v>
      </c>
      <c r="D35" s="5" t="s">
        <v>189</v>
      </c>
      <c r="E35" s="5">
        <v>3</v>
      </c>
      <c r="F35" s="70">
        <v>53500</v>
      </c>
      <c r="G35" s="70">
        <v>46000</v>
      </c>
      <c r="H35" s="101">
        <v>1.994730695024213</v>
      </c>
      <c r="I35" s="70">
        <v>42097.01</v>
      </c>
      <c r="J35" s="77">
        <v>46.464143063279309</v>
      </c>
      <c r="K35" s="5">
        <v>7</v>
      </c>
      <c r="L35" s="56">
        <v>3902.9880173154615</v>
      </c>
      <c r="M35" s="66">
        <v>0.91515243440618566</v>
      </c>
    </row>
    <row r="36" spans="1:13" x14ac:dyDescent="0.25">
      <c r="A36" s="76">
        <v>18</v>
      </c>
      <c r="B36">
        <v>49</v>
      </c>
      <c r="C36" t="s">
        <v>160</v>
      </c>
      <c r="D36" s="5" t="s">
        <v>189</v>
      </c>
      <c r="E36" s="5">
        <v>2</v>
      </c>
      <c r="F36" s="70">
        <v>72000</v>
      </c>
      <c r="G36" s="70">
        <v>72500</v>
      </c>
      <c r="H36" s="101">
        <v>1.8564150762164253</v>
      </c>
      <c r="I36" s="70">
        <v>68035.05</v>
      </c>
      <c r="J36" s="77">
        <v>53.154113307169006</v>
      </c>
      <c r="K36" s="5">
        <v>7</v>
      </c>
      <c r="L36" s="56">
        <v>4464.9455178021963</v>
      </c>
      <c r="M36" s="66">
        <v>0.93841454458203866</v>
      </c>
    </row>
    <row r="37" spans="1:13" x14ac:dyDescent="0.25">
      <c r="A37" s="76">
        <v>3</v>
      </c>
      <c r="B37">
        <v>49</v>
      </c>
      <c r="C37" t="s">
        <v>139</v>
      </c>
      <c r="D37" s="5" t="s">
        <v>7</v>
      </c>
      <c r="E37" s="5">
        <v>1</v>
      </c>
      <c r="F37" s="70">
        <v>53400</v>
      </c>
      <c r="G37" s="70">
        <v>32900</v>
      </c>
      <c r="H37" s="101">
        <v>2.7559547603697876</v>
      </c>
      <c r="I37" s="70">
        <v>29270.58</v>
      </c>
      <c r="J37" s="77">
        <v>43.20737776843918</v>
      </c>
      <c r="K37" s="5">
        <v>7</v>
      </c>
      <c r="L37" s="56">
        <v>3629.4197325488913</v>
      </c>
      <c r="M37" s="66">
        <v>0.88968329080398512</v>
      </c>
    </row>
    <row r="38" spans="1:13" x14ac:dyDescent="0.25">
      <c r="A38" s="76">
        <v>47</v>
      </c>
      <c r="B38">
        <v>52</v>
      </c>
      <c r="C38" t="s">
        <v>178</v>
      </c>
      <c r="D38" s="5" t="s">
        <v>189</v>
      </c>
      <c r="E38" s="5">
        <v>0</v>
      </c>
      <c r="F38" s="70">
        <v>147500</v>
      </c>
      <c r="G38" s="70">
        <v>94500</v>
      </c>
      <c r="H38" s="101">
        <v>2.6710831858274555</v>
      </c>
      <c r="I38" s="70">
        <v>44878.91</v>
      </c>
      <c r="J38" s="77">
        <v>590.72731375595242</v>
      </c>
      <c r="K38" s="5">
        <v>7</v>
      </c>
      <c r="L38" s="56">
        <v>49621.094355500005</v>
      </c>
      <c r="M38" s="12">
        <v>0.47490905443915343</v>
      </c>
    </row>
    <row r="39" spans="1:13" x14ac:dyDescent="0.25">
      <c r="A39" s="76">
        <v>6</v>
      </c>
      <c r="B39">
        <v>52</v>
      </c>
      <c r="C39" t="s">
        <v>144</v>
      </c>
      <c r="D39" s="5" t="s">
        <v>189</v>
      </c>
      <c r="E39" s="5">
        <v>0</v>
      </c>
      <c r="F39" s="70">
        <v>100100</v>
      </c>
      <c r="G39" s="70">
        <v>76000</v>
      </c>
      <c r="H39" s="101">
        <v>2.418627009410395</v>
      </c>
      <c r="I39" s="70">
        <v>43922.79</v>
      </c>
      <c r="J39" s="77">
        <v>381.87158997400496</v>
      </c>
      <c r="K39" s="5">
        <v>7</v>
      </c>
      <c r="L39" s="56">
        <v>32077.213557816416</v>
      </c>
      <c r="M39" s="66">
        <v>0.5779314005550471</v>
      </c>
    </row>
    <row r="40" spans="1:13" x14ac:dyDescent="0.25">
      <c r="A40" s="76">
        <v>38</v>
      </c>
      <c r="B40">
        <v>52</v>
      </c>
      <c r="C40" t="s">
        <v>159</v>
      </c>
      <c r="D40" s="5" t="s">
        <v>189</v>
      </c>
      <c r="E40" s="5">
        <v>0</v>
      </c>
      <c r="F40" s="70">
        <v>44250</v>
      </c>
      <c r="G40" s="70">
        <v>37000</v>
      </c>
      <c r="H40" s="101">
        <v>2.3054105669813132</v>
      </c>
      <c r="I40" s="70">
        <v>33373.78</v>
      </c>
      <c r="J40" s="77">
        <v>43.169326496657355</v>
      </c>
      <c r="K40" s="5">
        <v>7</v>
      </c>
      <c r="L40" s="56">
        <v>3626.2234257192181</v>
      </c>
      <c r="M40" s="66">
        <v>0.90199396146704813</v>
      </c>
    </row>
    <row r="41" spans="1:13" x14ac:dyDescent="0.25">
      <c r="A41" s="76">
        <v>12</v>
      </c>
      <c r="B41">
        <v>53</v>
      </c>
      <c r="C41" t="s">
        <v>167</v>
      </c>
      <c r="D41" s="5" t="s">
        <v>189</v>
      </c>
      <c r="E41" s="5">
        <v>0</v>
      </c>
      <c r="F41" s="70">
        <v>115750</v>
      </c>
      <c r="G41" s="70">
        <v>86500</v>
      </c>
      <c r="H41" s="101">
        <v>2.379555785860592</v>
      </c>
      <c r="I41" s="70">
        <v>60351.32</v>
      </c>
      <c r="J41" s="77">
        <v>311.29377865405149</v>
      </c>
      <c r="K41" s="5">
        <v>7</v>
      </c>
      <c r="L41" s="56">
        <v>26148.677406940325</v>
      </c>
      <c r="M41" s="66">
        <v>0.69770315136485173</v>
      </c>
    </row>
    <row r="42" spans="1:13" x14ac:dyDescent="0.25">
      <c r="A42" s="76">
        <v>39</v>
      </c>
      <c r="B42">
        <v>53</v>
      </c>
      <c r="C42" t="s">
        <v>148</v>
      </c>
      <c r="D42" s="74" t="s">
        <v>189</v>
      </c>
      <c r="E42" s="5">
        <v>0</v>
      </c>
      <c r="F42" s="70">
        <v>68500</v>
      </c>
      <c r="G42" s="70">
        <v>43000</v>
      </c>
      <c r="H42" s="101">
        <v>2.6423202485701345</v>
      </c>
      <c r="I42" s="70">
        <v>38876.6</v>
      </c>
      <c r="J42" s="77">
        <v>49.088079219681994</v>
      </c>
      <c r="K42" s="5">
        <v>7</v>
      </c>
      <c r="L42" s="56">
        <v>4123.3986544532872</v>
      </c>
      <c r="M42" s="12">
        <v>0.90410700803597011</v>
      </c>
    </row>
    <row r="43" spans="1:13" x14ac:dyDescent="0.25">
      <c r="A43" s="76">
        <v>33</v>
      </c>
      <c r="B43">
        <v>54</v>
      </c>
      <c r="C43" t="s">
        <v>170</v>
      </c>
      <c r="D43" s="5" t="s">
        <v>189</v>
      </c>
      <c r="E43" s="5">
        <v>0</v>
      </c>
      <c r="F43" s="70">
        <v>80000</v>
      </c>
      <c r="G43" s="70">
        <v>48000</v>
      </c>
      <c r="H43" s="101">
        <v>2.6681884129191671</v>
      </c>
      <c r="I43" s="70">
        <v>30489.73</v>
      </c>
      <c r="J43" s="77">
        <v>208.45554677264658</v>
      </c>
      <c r="K43" s="5">
        <v>7</v>
      </c>
      <c r="L43" s="56">
        <v>17510.265928902314</v>
      </c>
      <c r="M43" s="66">
        <v>0.63520279314786854</v>
      </c>
    </row>
    <row r="44" spans="1:13" x14ac:dyDescent="0.25">
      <c r="A44" s="76">
        <v>49</v>
      </c>
      <c r="B44">
        <v>55</v>
      </c>
      <c r="C44" t="s">
        <v>138</v>
      </c>
      <c r="D44" s="5" t="s">
        <v>189</v>
      </c>
      <c r="E44" s="5">
        <v>0</v>
      </c>
      <c r="F44" s="70">
        <v>54750</v>
      </c>
      <c r="G44" s="70">
        <v>42000</v>
      </c>
      <c r="H44" s="101">
        <v>2.2601385499898043</v>
      </c>
      <c r="I44" s="70">
        <v>37543.22</v>
      </c>
      <c r="J44" s="77">
        <v>53.056894786104351</v>
      </c>
      <c r="K44" s="5">
        <v>7</v>
      </c>
      <c r="L44" s="56">
        <v>4456.7791620327653</v>
      </c>
      <c r="M44" s="12">
        <v>0.89388621042779126</v>
      </c>
    </row>
    <row r="45" spans="1:13" x14ac:dyDescent="0.25">
      <c r="A45" s="76">
        <v>26</v>
      </c>
      <c r="B45">
        <v>55</v>
      </c>
      <c r="C45" t="s">
        <v>162</v>
      </c>
      <c r="D45" s="5" t="s">
        <v>189</v>
      </c>
      <c r="E45" s="5">
        <v>0</v>
      </c>
      <c r="F45" s="70">
        <v>52000</v>
      </c>
      <c r="G45" s="70">
        <v>37505</v>
      </c>
      <c r="H45" s="101">
        <v>2.3423610105640944</v>
      </c>
      <c r="I45" s="70">
        <v>35966.85</v>
      </c>
      <c r="J45" s="77">
        <v>18.31125870314651</v>
      </c>
      <c r="K45" s="5">
        <v>7</v>
      </c>
      <c r="L45" s="56">
        <v>1538.1457310643068</v>
      </c>
      <c r="M45" s="66">
        <v>0.95898824873845334</v>
      </c>
    </row>
    <row r="46" spans="1:13" x14ac:dyDescent="0.25">
      <c r="A46" s="76">
        <v>21</v>
      </c>
      <c r="B46">
        <v>56</v>
      </c>
      <c r="C46" t="s">
        <v>137</v>
      </c>
      <c r="D46" s="5" t="s">
        <v>189</v>
      </c>
      <c r="E46" s="5">
        <v>0</v>
      </c>
      <c r="F46" s="70">
        <v>74500</v>
      </c>
      <c r="G46" s="70">
        <v>69000</v>
      </c>
      <c r="H46" s="101">
        <v>1.9800978800657036</v>
      </c>
      <c r="I46" s="70">
        <v>52068.65</v>
      </c>
      <c r="J46" s="77">
        <v>235.157592612889</v>
      </c>
      <c r="K46" s="5">
        <v>6</v>
      </c>
      <c r="L46" s="56">
        <v>16931.346668128012</v>
      </c>
      <c r="M46" s="66">
        <v>0.75461816423002881</v>
      </c>
    </row>
    <row r="47" spans="1:13" x14ac:dyDescent="0.25">
      <c r="A47" s="76">
        <v>29</v>
      </c>
      <c r="B47">
        <v>56</v>
      </c>
      <c r="C47" t="s">
        <v>172</v>
      </c>
      <c r="D47" s="5" t="s">
        <v>189</v>
      </c>
      <c r="E47" s="5">
        <v>0</v>
      </c>
      <c r="F47" s="71">
        <v>61500</v>
      </c>
      <c r="G47" s="70">
        <v>43000</v>
      </c>
      <c r="H47" s="101">
        <v>2.3323386080432793</v>
      </c>
      <c r="I47" s="70">
        <v>39408.74</v>
      </c>
      <c r="J47" s="77">
        <v>49.878563070115355</v>
      </c>
      <c r="K47" s="5">
        <v>6</v>
      </c>
      <c r="L47" s="56">
        <v>3591.2565410483057</v>
      </c>
      <c r="M47" s="66">
        <v>0.91648240602213238</v>
      </c>
    </row>
    <row r="48" spans="1:13" x14ac:dyDescent="0.25">
      <c r="A48" s="76">
        <v>14</v>
      </c>
      <c r="B48">
        <v>56</v>
      </c>
      <c r="C48" t="s">
        <v>159</v>
      </c>
      <c r="D48" s="5" t="s">
        <v>189</v>
      </c>
      <c r="E48" s="5">
        <v>0</v>
      </c>
      <c r="F48" s="70">
        <v>58700</v>
      </c>
      <c r="G48" s="70">
        <v>24705</v>
      </c>
      <c r="H48" s="101">
        <v>3.2982846238015169</v>
      </c>
      <c r="I48" s="70">
        <v>18520.93</v>
      </c>
      <c r="J48" s="77">
        <v>85.8897957833953</v>
      </c>
      <c r="K48" s="5">
        <v>6</v>
      </c>
      <c r="L48" s="56">
        <v>6184.0652964044621</v>
      </c>
      <c r="M48" s="66">
        <v>0.74968365527607927</v>
      </c>
    </row>
    <row r="49" spans="1:13" x14ac:dyDescent="0.25">
      <c r="A49" s="76">
        <v>7</v>
      </c>
      <c r="B49">
        <v>57</v>
      </c>
      <c r="C49" t="s">
        <v>135</v>
      </c>
      <c r="D49" s="5" t="s">
        <v>189</v>
      </c>
      <c r="E49" s="5">
        <v>0</v>
      </c>
      <c r="F49" s="70">
        <v>34000</v>
      </c>
      <c r="G49" s="70">
        <v>33000</v>
      </c>
      <c r="H49" s="101">
        <v>1.8882826694418235</v>
      </c>
      <c r="I49" s="70">
        <v>31495.24</v>
      </c>
      <c r="J49" s="77">
        <v>25.079343197144663</v>
      </c>
      <c r="K49" s="5">
        <v>5</v>
      </c>
      <c r="L49" s="56">
        <v>1504.7605918286799</v>
      </c>
      <c r="M49" s="66">
        <v>0.95440119418700975</v>
      </c>
    </row>
    <row r="50" spans="1:13" x14ac:dyDescent="0.25">
      <c r="A50" s="76">
        <v>8</v>
      </c>
      <c r="B50">
        <v>60</v>
      </c>
      <c r="C50" t="s">
        <v>144</v>
      </c>
      <c r="D50" s="5" t="s">
        <v>189</v>
      </c>
      <c r="E50" s="5">
        <v>0</v>
      </c>
      <c r="F50" s="70">
        <v>37450</v>
      </c>
      <c r="G50" s="70">
        <v>35000</v>
      </c>
      <c r="H50" s="101">
        <v>1.7739339414634372</v>
      </c>
      <c r="I50" s="70">
        <v>35000</v>
      </c>
      <c r="J50" s="77">
        <v>0</v>
      </c>
      <c r="K50" s="5">
        <v>0</v>
      </c>
      <c r="L50" s="56">
        <v>0</v>
      </c>
      <c r="M50" s="66">
        <v>1</v>
      </c>
    </row>
    <row r="51" spans="1:13" x14ac:dyDescent="0.25">
      <c r="A51" s="76">
        <v>50</v>
      </c>
      <c r="B51">
        <v>62</v>
      </c>
      <c r="C51" t="s">
        <v>159</v>
      </c>
      <c r="D51" s="5" t="s">
        <v>189</v>
      </c>
      <c r="E51" s="5">
        <v>0</v>
      </c>
      <c r="F51" s="70">
        <v>39750</v>
      </c>
      <c r="G51" s="70">
        <v>42000</v>
      </c>
      <c r="H51" s="101">
        <v>1.5417376437111721</v>
      </c>
      <c r="I51" s="70">
        <v>42000</v>
      </c>
      <c r="J51" s="77">
        <v>37.526703183860576</v>
      </c>
      <c r="K51" s="5">
        <v>0</v>
      </c>
      <c r="L51" s="56">
        <v>0</v>
      </c>
      <c r="M51" s="12">
        <v>1</v>
      </c>
    </row>
    <row r="52" spans="1:13" x14ac:dyDescent="0.25">
      <c r="A52" s="76"/>
      <c r="F52" s="70"/>
      <c r="G52" s="70"/>
      <c r="H52" s="101"/>
      <c r="I52" s="70"/>
      <c r="J52" s="77"/>
      <c r="L52" s="56"/>
    </row>
    <row r="53" spans="1:13" x14ac:dyDescent="0.25">
      <c r="A53" s="67">
        <f>COUNT(A2:A51)</f>
        <v>50</v>
      </c>
      <c r="B53">
        <f>AVERAGE(B2:B51)</f>
        <v>43.8</v>
      </c>
      <c r="E53">
        <f>AVERAGE(E2:E51)</f>
        <v>0.82</v>
      </c>
      <c r="F53" s="2">
        <f>AVERAGE(F2:F51)</f>
        <v>71203.399999999994</v>
      </c>
      <c r="G53" s="2">
        <f>AVERAGE(G2:G51)</f>
        <v>76192.100000000006</v>
      </c>
      <c r="H53" s="101"/>
      <c r="I53" s="2">
        <f>AVERAGE(I2:I51)</f>
        <v>56591.831400000017</v>
      </c>
      <c r="J53" s="2">
        <f>AVERAGE(J2:J51)</f>
        <v>234.82586701434215</v>
      </c>
      <c r="L53" s="56"/>
      <c r="M53" s="12">
        <f>AVERAGE(M2:M51)</f>
        <v>0.81475562020350678</v>
      </c>
    </row>
    <row r="54" spans="1:13" x14ac:dyDescent="0.25">
      <c r="A54" s="67"/>
      <c r="E54"/>
      <c r="F54" s="2"/>
      <c r="G54" s="2"/>
      <c r="H54" s="101"/>
      <c r="I54" s="2"/>
      <c r="J54" s="2"/>
      <c r="L54" s="56"/>
    </row>
    <row r="55" spans="1:13" x14ac:dyDescent="0.25">
      <c r="A55" s="76"/>
      <c r="F55" s="70"/>
      <c r="G55" s="70"/>
      <c r="H55" s="70"/>
      <c r="I55" s="70"/>
      <c r="J55" s="77">
        <f>MEDIAN(J2:J51)</f>
        <v>68.157409396809413</v>
      </c>
      <c r="L55" s="56"/>
    </row>
    <row r="56" spans="1:13" x14ac:dyDescent="0.25">
      <c r="A56" s="102" t="str">
        <f>"A set of " &amp; A53 &amp;" borrowers of average age of " &amp; B53 &amp; " years old with an average of " &amp; E53 &amp; " dependents. Average income of " &amp; F53 &amp; " average debt of " &amp; G53</f>
        <v>A set of 50 borrowers of average age of 43.8 years old with an average of 0.82 dependents. Average income of 71203.4 average debt of 76192.1</v>
      </c>
      <c r="F56" s="70"/>
      <c r="G56" s="70"/>
      <c r="H56" s="70"/>
      <c r="I56" s="70"/>
      <c r="J56" s="77"/>
      <c r="L56" s="56"/>
    </row>
    <row r="57" spans="1:13" x14ac:dyDescent="0.25">
      <c r="A57" s="76" t="str">
        <f>"This set had an average " &amp; 100*M53 &amp; " percent of their loans forgiven with an average monthly payment of " &amp; J53 &amp; " for 7 years or less, with zero interest"</f>
        <v>This set had an average 81.4755620203507 percent of their loans forgiven with an average monthly payment of 234.825867014342 for 7 years or less, with zero interest</v>
      </c>
      <c r="F57" s="70"/>
      <c r="G57" s="70"/>
      <c r="H57" s="70"/>
      <c r="I57" s="70"/>
      <c r="J57" s="77"/>
      <c r="L57" s="56"/>
    </row>
    <row r="58" spans="1:13" x14ac:dyDescent="0.25">
      <c r="A58" s="76"/>
      <c r="F58" s="70"/>
      <c r="G58" s="70"/>
      <c r="H58" s="70"/>
      <c r="I58" s="70"/>
      <c r="J58" s="77"/>
      <c r="L58" s="56"/>
    </row>
    <row r="59" spans="1:13" x14ac:dyDescent="0.25">
      <c r="A59" s="76"/>
      <c r="F59" s="70"/>
      <c r="G59" s="70"/>
      <c r="H59" s="70"/>
      <c r="I59" s="70"/>
      <c r="J59" s="77"/>
      <c r="L59" s="56"/>
    </row>
    <row r="60" spans="1:13" x14ac:dyDescent="0.25">
      <c r="A60" s="76"/>
      <c r="F60" s="70"/>
      <c r="G60" s="70"/>
      <c r="H60" s="70"/>
      <c r="I60" s="70"/>
      <c r="J60" s="77"/>
      <c r="L60" s="56"/>
    </row>
    <row r="61" spans="1:13" x14ac:dyDescent="0.25">
      <c r="A61" s="76"/>
      <c r="F61" s="70"/>
      <c r="G61" s="70"/>
      <c r="H61" s="70"/>
      <c r="I61" s="70"/>
      <c r="J61" s="77"/>
      <c r="L61" s="56"/>
    </row>
    <row r="62" spans="1:13" x14ac:dyDescent="0.25">
      <c r="A62" s="76"/>
      <c r="F62" s="70"/>
      <c r="G62" s="70"/>
      <c r="H62" s="70"/>
      <c r="I62" s="70"/>
      <c r="J62" s="77"/>
      <c r="L62" s="56"/>
    </row>
    <row r="63" spans="1:13" x14ac:dyDescent="0.25">
      <c r="A63" s="76"/>
      <c r="F63" s="70"/>
      <c r="G63" s="70"/>
      <c r="H63" s="70"/>
      <c r="I63" s="70"/>
      <c r="J63" s="77"/>
      <c r="L63" s="56"/>
    </row>
    <row r="64" spans="1:13" x14ac:dyDescent="0.25">
      <c r="A64" s="76"/>
      <c r="F64" s="70"/>
      <c r="G64" s="70"/>
      <c r="H64" s="70"/>
      <c r="I64" s="70"/>
      <c r="J64" s="77"/>
      <c r="L64" s="56"/>
    </row>
    <row r="65" spans="1:12" x14ac:dyDescent="0.25">
      <c r="A65" s="76"/>
      <c r="F65" s="70"/>
      <c r="G65" s="70"/>
      <c r="H65" s="70"/>
      <c r="I65" s="70"/>
      <c r="J65" s="77"/>
      <c r="L65" s="56"/>
    </row>
    <row r="66" spans="1:12" x14ac:dyDescent="0.25">
      <c r="A66" s="76"/>
      <c r="F66" s="70"/>
      <c r="G66" s="70"/>
      <c r="H66" s="70"/>
      <c r="I66" s="70"/>
      <c r="J66" s="77"/>
      <c r="L66" s="56"/>
    </row>
    <row r="67" spans="1:12" x14ac:dyDescent="0.25">
      <c r="A67" s="76"/>
      <c r="F67" s="70"/>
      <c r="G67" s="70"/>
      <c r="H67" s="70"/>
      <c r="I67" s="70"/>
      <c r="J67" s="77"/>
      <c r="L67" s="56"/>
    </row>
    <row r="68" spans="1:12" x14ac:dyDescent="0.25">
      <c r="A68" s="76"/>
      <c r="F68" s="70"/>
      <c r="G68" s="70"/>
      <c r="H68" s="70"/>
      <c r="I68" s="70"/>
      <c r="J68" s="77"/>
      <c r="L68" s="56"/>
    </row>
    <row r="69" spans="1:12" x14ac:dyDescent="0.25">
      <c r="A69" s="76"/>
      <c r="F69" s="70"/>
      <c r="G69" s="70"/>
      <c r="H69" s="70"/>
      <c r="I69" s="70"/>
      <c r="J69" s="77"/>
      <c r="L69" s="56"/>
    </row>
    <row r="70" spans="1:12" x14ac:dyDescent="0.25">
      <c r="A70" s="76"/>
      <c r="F70" s="70"/>
      <c r="G70" s="70"/>
      <c r="H70" s="70"/>
      <c r="I70" s="70"/>
      <c r="J70" s="77"/>
      <c r="L70" s="56"/>
    </row>
    <row r="71" spans="1:12" x14ac:dyDescent="0.25">
      <c r="A71" s="76"/>
      <c r="F71" s="70"/>
      <c r="G71" s="70"/>
      <c r="H71" s="70"/>
      <c r="I71" s="70"/>
      <c r="J71" s="77"/>
      <c r="L71" s="56"/>
    </row>
    <row r="72" spans="1:12" x14ac:dyDescent="0.25">
      <c r="A72" s="76"/>
      <c r="F72" s="70"/>
      <c r="G72" s="70"/>
      <c r="H72" s="70"/>
      <c r="I72" s="70"/>
      <c r="J72" s="77"/>
      <c r="L72" s="56"/>
    </row>
    <row r="73" spans="1:12" x14ac:dyDescent="0.25">
      <c r="A73" s="76"/>
      <c r="F73" s="70"/>
      <c r="G73" s="70"/>
      <c r="H73" s="70"/>
      <c r="I73" s="70"/>
      <c r="J73" s="77"/>
      <c r="L73" s="56"/>
    </row>
    <row r="74" spans="1:12" x14ac:dyDescent="0.25">
      <c r="A74" s="76"/>
      <c r="F74" s="70"/>
      <c r="G74" s="70"/>
      <c r="H74" s="70"/>
      <c r="I74" s="70"/>
      <c r="J74" s="77"/>
      <c r="L74" s="56"/>
    </row>
    <row r="75" spans="1:12" x14ac:dyDescent="0.25">
      <c r="A75" s="76"/>
      <c r="F75" s="70"/>
      <c r="G75" s="70"/>
      <c r="H75" s="70"/>
      <c r="I75" s="70"/>
      <c r="J75" s="77"/>
      <c r="L75" s="56"/>
    </row>
    <row r="76" spans="1:12" x14ac:dyDescent="0.25">
      <c r="A76" s="76"/>
      <c r="F76" s="70"/>
      <c r="G76" s="70"/>
      <c r="H76" s="70"/>
      <c r="I76" s="70"/>
      <c r="J76" s="77"/>
      <c r="L76" s="56"/>
    </row>
    <row r="77" spans="1:12" x14ac:dyDescent="0.25">
      <c r="A77" s="76"/>
      <c r="F77" s="70"/>
      <c r="G77" s="70"/>
      <c r="H77" s="70"/>
      <c r="I77" s="70"/>
      <c r="J77" s="77"/>
      <c r="L77" s="56"/>
    </row>
    <row r="78" spans="1:12" x14ac:dyDescent="0.25">
      <c r="A78" s="76"/>
      <c r="F78" s="70"/>
      <c r="G78" s="70"/>
      <c r="H78" s="70"/>
      <c r="I78" s="70"/>
      <c r="J78" s="77"/>
      <c r="L78" s="56"/>
    </row>
    <row r="79" spans="1:12" x14ac:dyDescent="0.25">
      <c r="A79" s="76"/>
      <c r="F79" s="70"/>
      <c r="G79" s="70"/>
      <c r="H79" s="70"/>
      <c r="I79" s="70"/>
      <c r="J79" s="77"/>
      <c r="L79" s="56"/>
    </row>
    <row r="80" spans="1:12" x14ac:dyDescent="0.25">
      <c r="A80" s="76"/>
      <c r="F80" s="70"/>
      <c r="G80" s="70"/>
      <c r="H80" s="70"/>
      <c r="I80" s="70"/>
      <c r="J80" s="77"/>
      <c r="L80" s="56"/>
    </row>
    <row r="81" spans="1:12" x14ac:dyDescent="0.25">
      <c r="A81" s="76"/>
      <c r="F81" s="70"/>
      <c r="G81" s="70"/>
      <c r="H81" s="70"/>
      <c r="I81" s="70"/>
      <c r="J81" s="77"/>
      <c r="L81" s="56"/>
    </row>
    <row r="82" spans="1:12" x14ac:dyDescent="0.25">
      <c r="A82" s="76"/>
      <c r="F82" s="70"/>
      <c r="G82" s="70"/>
      <c r="H82" s="70"/>
      <c r="I82" s="70"/>
      <c r="J82" s="77"/>
      <c r="L82" s="56"/>
    </row>
    <row r="83" spans="1:12" x14ac:dyDescent="0.25">
      <c r="A83" s="76"/>
      <c r="F83" s="70"/>
      <c r="G83" s="70"/>
      <c r="H83" s="70"/>
      <c r="I83" s="70"/>
      <c r="J83" s="77"/>
      <c r="L83" s="56"/>
    </row>
    <row r="84" spans="1:12" x14ac:dyDescent="0.25">
      <c r="A84" s="76"/>
      <c r="F84" s="70"/>
      <c r="G84" s="70"/>
      <c r="H84" s="70"/>
      <c r="I84" s="70"/>
      <c r="J84" s="77"/>
      <c r="L84" s="56"/>
    </row>
    <row r="85" spans="1:12" x14ac:dyDescent="0.25">
      <c r="A85" s="76"/>
      <c r="F85" s="70"/>
      <c r="G85" s="70"/>
      <c r="H85" s="70"/>
      <c r="I85" s="70"/>
      <c r="J85" s="77"/>
      <c r="L85" s="56"/>
    </row>
    <row r="86" spans="1:12" x14ac:dyDescent="0.25">
      <c r="A86" s="76"/>
      <c r="F86" s="70"/>
      <c r="G86" s="70"/>
      <c r="H86" s="70"/>
      <c r="I86" s="70"/>
      <c r="J86" s="77"/>
      <c r="L86" s="56"/>
    </row>
    <row r="87" spans="1:12" x14ac:dyDescent="0.25">
      <c r="A87" s="76"/>
      <c r="F87" s="70"/>
      <c r="G87" s="70"/>
      <c r="H87" s="70"/>
      <c r="I87" s="70"/>
      <c r="J87" s="77"/>
      <c r="L87" s="56"/>
    </row>
    <row r="88" spans="1:12" x14ac:dyDescent="0.25">
      <c r="A88" s="76"/>
      <c r="F88" s="70"/>
      <c r="G88" s="70"/>
      <c r="H88" s="70"/>
      <c r="I88" s="70"/>
      <c r="J88" s="77"/>
      <c r="L88" s="56"/>
    </row>
    <row r="89" spans="1:12" x14ac:dyDescent="0.25">
      <c r="A89" s="76"/>
      <c r="F89" s="70"/>
      <c r="G89" s="70"/>
      <c r="H89" s="70"/>
      <c r="I89" s="70"/>
      <c r="J89" s="77"/>
      <c r="L89" s="56"/>
    </row>
    <row r="90" spans="1:12" x14ac:dyDescent="0.25">
      <c r="A90" s="76"/>
      <c r="F90" s="70"/>
      <c r="G90" s="70"/>
      <c r="H90" s="70"/>
      <c r="I90" s="70"/>
      <c r="J90" s="77"/>
      <c r="L90" s="56"/>
    </row>
    <row r="91" spans="1:12" x14ac:dyDescent="0.25">
      <c r="A91" s="76"/>
      <c r="F91" s="70"/>
      <c r="G91" s="70"/>
      <c r="H91" s="70"/>
      <c r="I91" s="70"/>
      <c r="J91" s="77"/>
      <c r="L91" s="56"/>
    </row>
    <row r="92" spans="1:12" x14ac:dyDescent="0.25">
      <c r="A92" s="76"/>
      <c r="F92" s="70"/>
      <c r="G92" s="70"/>
      <c r="H92" s="70"/>
      <c r="I92" s="70"/>
      <c r="J92" s="77"/>
      <c r="L92" s="56"/>
    </row>
    <row r="93" spans="1:12" x14ac:dyDescent="0.25">
      <c r="A93" s="76"/>
      <c r="F93" s="70"/>
      <c r="G93" s="70"/>
      <c r="H93" s="70"/>
      <c r="I93" s="70"/>
      <c r="J93" s="77"/>
      <c r="L93" s="56"/>
    </row>
    <row r="94" spans="1:12" x14ac:dyDescent="0.25">
      <c r="A94" s="76"/>
      <c r="F94" s="70"/>
      <c r="G94" s="70"/>
      <c r="H94" s="70"/>
      <c r="I94" s="70"/>
      <c r="J94" s="77"/>
      <c r="L94" s="56"/>
    </row>
    <row r="95" spans="1:12" x14ac:dyDescent="0.25">
      <c r="A95" s="76"/>
      <c r="F95" s="70"/>
      <c r="G95" s="70"/>
      <c r="H95" s="70"/>
      <c r="I95" s="70"/>
      <c r="J95" s="77"/>
      <c r="L95" s="56"/>
    </row>
    <row r="96" spans="1:12" x14ac:dyDescent="0.25">
      <c r="A96" s="76"/>
      <c r="F96" s="70"/>
      <c r="G96" s="70"/>
      <c r="H96" s="70"/>
      <c r="I96" s="70"/>
      <c r="J96" s="77"/>
      <c r="L96" s="56"/>
    </row>
    <row r="97" spans="1:12" x14ac:dyDescent="0.25">
      <c r="A97" s="76"/>
      <c r="F97" s="70"/>
      <c r="G97" s="70"/>
      <c r="H97" s="70"/>
      <c r="I97" s="70"/>
      <c r="J97" s="77"/>
      <c r="L97" s="56"/>
    </row>
    <row r="98" spans="1:12" x14ac:dyDescent="0.25">
      <c r="A98" s="76"/>
      <c r="F98" s="70"/>
      <c r="G98" s="70"/>
      <c r="H98" s="70"/>
      <c r="I98" s="70"/>
      <c r="J98" s="77"/>
      <c r="L98" s="56"/>
    </row>
    <row r="99" spans="1:12" x14ac:dyDescent="0.25">
      <c r="A99" s="76"/>
      <c r="F99" s="70"/>
      <c r="G99" s="70"/>
      <c r="H99" s="70"/>
      <c r="I99" s="70"/>
      <c r="J99" s="77"/>
      <c r="L99" s="56"/>
    </row>
    <row r="100" spans="1:12" x14ac:dyDescent="0.25">
      <c r="A100" s="76"/>
      <c r="F100" s="70"/>
      <c r="G100" s="70"/>
      <c r="H100" s="70"/>
      <c r="I100" s="70"/>
      <c r="J100" s="77"/>
      <c r="L100" s="56"/>
    </row>
    <row r="101" spans="1:12" x14ac:dyDescent="0.25">
      <c r="A101" s="76"/>
      <c r="F101" s="70"/>
      <c r="G101" s="70"/>
      <c r="H101" s="70"/>
      <c r="I101" s="70"/>
      <c r="J101" s="77"/>
      <c r="L101" s="56"/>
    </row>
    <row r="102" spans="1:12" x14ac:dyDescent="0.25">
      <c r="A102" s="76"/>
      <c r="F102" s="70"/>
      <c r="G102" s="70"/>
      <c r="H102" s="70"/>
      <c r="I102" s="70"/>
      <c r="J102" s="77"/>
      <c r="L102" s="56"/>
    </row>
    <row r="103" spans="1:12" x14ac:dyDescent="0.25">
      <c r="A103" s="76"/>
      <c r="F103" s="70"/>
      <c r="G103" s="70"/>
      <c r="H103" s="70"/>
      <c r="I103" s="70"/>
      <c r="J103" s="77"/>
      <c r="L103" s="56"/>
    </row>
    <row r="104" spans="1:12" x14ac:dyDescent="0.25">
      <c r="A104" s="76"/>
      <c r="F104" s="70"/>
      <c r="G104" s="70"/>
      <c r="H104" s="70"/>
      <c r="I104" s="70"/>
      <c r="J104" s="77"/>
      <c r="L104" s="56"/>
    </row>
    <row r="105" spans="1:12" x14ac:dyDescent="0.25">
      <c r="A105" s="76"/>
      <c r="F105" s="70"/>
      <c r="G105" s="70"/>
      <c r="H105" s="70"/>
      <c r="I105" s="70"/>
      <c r="J105" s="77"/>
      <c r="L105" s="56"/>
    </row>
    <row r="106" spans="1:12" x14ac:dyDescent="0.25">
      <c r="A106" s="76"/>
      <c r="F106" s="70"/>
      <c r="G106" s="70"/>
      <c r="H106" s="70"/>
      <c r="I106" s="70"/>
      <c r="J106" s="77"/>
      <c r="L106" s="56"/>
    </row>
    <row r="107" spans="1:12" x14ac:dyDescent="0.25">
      <c r="A107" s="76"/>
      <c r="F107" s="70"/>
      <c r="G107" s="70"/>
      <c r="H107" s="70"/>
      <c r="I107" s="70"/>
      <c r="J107" s="77"/>
      <c r="L107" s="56"/>
    </row>
    <row r="108" spans="1:12" x14ac:dyDescent="0.25">
      <c r="A108" s="76"/>
      <c r="F108" s="70"/>
      <c r="G108" s="70"/>
      <c r="H108" s="70"/>
      <c r="I108" s="70"/>
      <c r="J108" s="77"/>
      <c r="L108" s="56"/>
    </row>
    <row r="109" spans="1:12" x14ac:dyDescent="0.25">
      <c r="A109" s="76"/>
      <c r="F109" s="70"/>
      <c r="G109" s="70"/>
      <c r="H109" s="70"/>
      <c r="I109" s="70"/>
      <c r="J109" s="77"/>
      <c r="L109" s="56"/>
    </row>
    <row r="110" spans="1:12" x14ac:dyDescent="0.25">
      <c r="A110" s="76"/>
      <c r="F110" s="70"/>
      <c r="G110" s="70"/>
      <c r="H110" s="70"/>
      <c r="I110" s="70"/>
      <c r="J110" s="77"/>
      <c r="L110" s="56"/>
    </row>
    <row r="111" spans="1:12" x14ac:dyDescent="0.25">
      <c r="A111" s="76"/>
      <c r="F111" s="70"/>
      <c r="G111" s="70"/>
      <c r="H111" s="70"/>
      <c r="I111" s="70"/>
      <c r="J111" s="77"/>
      <c r="L111" s="56"/>
    </row>
    <row r="112" spans="1:12" x14ac:dyDescent="0.25">
      <c r="A112" s="76"/>
      <c r="F112" s="70"/>
      <c r="G112" s="70"/>
      <c r="H112" s="70"/>
      <c r="I112" s="70"/>
      <c r="J112" s="77"/>
      <c r="L112" s="56"/>
    </row>
    <row r="113" spans="1:12" x14ac:dyDescent="0.25">
      <c r="A113" s="76"/>
      <c r="F113" s="70"/>
      <c r="G113" s="70"/>
      <c r="H113" s="70"/>
      <c r="I113" s="70"/>
      <c r="J113" s="77"/>
      <c r="L113" s="56"/>
    </row>
    <row r="114" spans="1:12" x14ac:dyDescent="0.25">
      <c r="A114" s="76"/>
      <c r="F114" s="70"/>
      <c r="G114" s="70"/>
      <c r="H114" s="70"/>
      <c r="I114" s="70"/>
      <c r="J114" s="77"/>
      <c r="L114" s="56"/>
    </row>
    <row r="115" spans="1:12" x14ac:dyDescent="0.25">
      <c r="A115" s="76"/>
      <c r="F115" s="70"/>
      <c r="G115" s="70"/>
      <c r="H115" s="70"/>
      <c r="I115" s="70"/>
      <c r="J115" s="77"/>
      <c r="L115" s="56"/>
    </row>
    <row r="116" spans="1:12" x14ac:dyDescent="0.25">
      <c r="A116" s="76"/>
      <c r="F116" s="70"/>
      <c r="G116" s="70"/>
      <c r="H116" s="70"/>
      <c r="I116" s="70"/>
      <c r="J116" s="77"/>
      <c r="L116" s="56"/>
    </row>
    <row r="117" spans="1:12" x14ac:dyDescent="0.25">
      <c r="A117" s="76"/>
      <c r="F117" s="70"/>
      <c r="G117" s="70"/>
      <c r="H117" s="70"/>
      <c r="I117" s="70"/>
      <c r="J117" s="77"/>
      <c r="L117" s="56"/>
    </row>
    <row r="118" spans="1:12" x14ac:dyDescent="0.25">
      <c r="A118" s="76"/>
      <c r="F118" s="70"/>
      <c r="G118" s="70"/>
      <c r="H118" s="70"/>
      <c r="I118" s="70"/>
      <c r="J118" s="77"/>
      <c r="L118" s="56"/>
    </row>
    <row r="119" spans="1:12" x14ac:dyDescent="0.25">
      <c r="A119" s="76"/>
      <c r="F119" s="70"/>
      <c r="G119" s="70"/>
      <c r="H119" s="70"/>
      <c r="I119" s="70"/>
      <c r="J119" s="77"/>
      <c r="L119" s="56"/>
    </row>
    <row r="120" spans="1:12" x14ac:dyDescent="0.25">
      <c r="A120" s="76"/>
      <c r="F120" s="70"/>
      <c r="G120" s="70"/>
      <c r="H120" s="70"/>
      <c r="I120" s="70"/>
      <c r="J120" s="77"/>
      <c r="L120" s="56"/>
    </row>
    <row r="121" spans="1:12" x14ac:dyDescent="0.25">
      <c r="A121" s="76"/>
      <c r="F121" s="70"/>
      <c r="G121" s="70"/>
      <c r="H121" s="70"/>
      <c r="I121" s="70"/>
      <c r="J121" s="77"/>
      <c r="L121" s="56"/>
    </row>
    <row r="122" spans="1:12" x14ac:dyDescent="0.25">
      <c r="A122" s="76"/>
      <c r="F122" s="70"/>
      <c r="G122" s="70"/>
      <c r="H122" s="70"/>
      <c r="I122" s="70"/>
      <c r="J122" s="77"/>
      <c r="L122" s="56"/>
    </row>
    <row r="123" spans="1:12" x14ac:dyDescent="0.25">
      <c r="A123" s="76"/>
      <c r="F123" s="70"/>
      <c r="G123" s="70"/>
      <c r="H123" s="70"/>
      <c r="I123" s="70"/>
      <c r="J123" s="77"/>
      <c r="L123" s="56"/>
    </row>
    <row r="124" spans="1:12" x14ac:dyDescent="0.25">
      <c r="A124" s="76"/>
      <c r="F124" s="70"/>
      <c r="G124" s="70"/>
      <c r="H124" s="70"/>
      <c r="I124" s="70"/>
      <c r="J124" s="77"/>
      <c r="L124" s="56"/>
    </row>
    <row r="125" spans="1:12" x14ac:dyDescent="0.25">
      <c r="A125" s="76"/>
      <c r="F125" s="70"/>
      <c r="G125" s="70"/>
      <c r="H125" s="70"/>
      <c r="I125" s="70"/>
      <c r="J125" s="77"/>
      <c r="L125" s="56"/>
    </row>
    <row r="126" spans="1:12" x14ac:dyDescent="0.25">
      <c r="A126" s="76"/>
      <c r="F126" s="70"/>
      <c r="G126" s="70"/>
      <c r="H126" s="70"/>
      <c r="I126" s="70"/>
      <c r="J126" s="77"/>
      <c r="L126" s="56"/>
    </row>
    <row r="127" spans="1:12" x14ac:dyDescent="0.25">
      <c r="A127" s="76"/>
      <c r="F127" s="70"/>
      <c r="G127" s="70"/>
      <c r="H127" s="70"/>
      <c r="I127" s="70"/>
      <c r="J127" s="77"/>
      <c r="L127" s="56"/>
    </row>
    <row r="128" spans="1:12" x14ac:dyDescent="0.25">
      <c r="A128" s="76"/>
      <c r="F128" s="70"/>
      <c r="G128" s="70"/>
      <c r="H128" s="70"/>
      <c r="I128" s="70"/>
      <c r="J128" s="77"/>
      <c r="L128" s="56"/>
    </row>
    <row r="129" spans="1:12" x14ac:dyDescent="0.25">
      <c r="A129" s="76"/>
      <c r="F129" s="70"/>
      <c r="G129" s="70"/>
      <c r="H129" s="70"/>
      <c r="I129" s="70"/>
      <c r="J129" s="77"/>
      <c r="L129" s="56"/>
    </row>
    <row r="130" spans="1:12" x14ac:dyDescent="0.25">
      <c r="A130" s="76"/>
      <c r="F130" s="70"/>
      <c r="G130" s="70"/>
      <c r="H130" s="70"/>
      <c r="I130" s="70"/>
      <c r="J130" s="77"/>
      <c r="L130" s="56"/>
    </row>
    <row r="131" spans="1:12" x14ac:dyDescent="0.25">
      <c r="A131" s="76"/>
      <c r="F131" s="70"/>
      <c r="G131" s="70"/>
      <c r="H131" s="70"/>
      <c r="I131" s="70"/>
      <c r="J131" s="77"/>
      <c r="L131" s="56"/>
    </row>
    <row r="132" spans="1:12" x14ac:dyDescent="0.25">
      <c r="A132" s="76"/>
      <c r="F132" s="70"/>
      <c r="G132" s="70"/>
      <c r="H132" s="70"/>
      <c r="I132" s="70"/>
      <c r="J132" s="77"/>
      <c r="L132" s="56"/>
    </row>
    <row r="133" spans="1:12" x14ac:dyDescent="0.25">
      <c r="A133" s="76"/>
      <c r="F133" s="70"/>
      <c r="G133" s="70"/>
      <c r="H133" s="70"/>
      <c r="I133" s="70"/>
      <c r="J133" s="77"/>
      <c r="L133" s="56"/>
    </row>
    <row r="134" spans="1:12" x14ac:dyDescent="0.25">
      <c r="A134" s="76"/>
      <c r="F134" s="70"/>
      <c r="G134" s="70"/>
      <c r="H134" s="70"/>
      <c r="I134" s="70"/>
      <c r="J134" s="77"/>
      <c r="L134" s="56"/>
    </row>
    <row r="135" spans="1:12" x14ac:dyDescent="0.25">
      <c r="A135" s="76"/>
      <c r="F135" s="70"/>
      <c r="G135" s="70"/>
      <c r="H135" s="70"/>
      <c r="I135" s="70"/>
      <c r="J135" s="77"/>
      <c r="L135" s="56"/>
    </row>
    <row r="136" spans="1:12" x14ac:dyDescent="0.25">
      <c r="A136" s="76"/>
      <c r="F136" s="70"/>
      <c r="G136" s="70"/>
      <c r="H136" s="70"/>
      <c r="I136" s="70"/>
      <c r="J136" s="77"/>
      <c r="L136" s="56"/>
    </row>
    <row r="137" spans="1:12" x14ac:dyDescent="0.25">
      <c r="A137" s="76"/>
      <c r="F137" s="70"/>
      <c r="G137" s="70"/>
      <c r="H137" s="70"/>
      <c r="I137" s="70"/>
      <c r="J137" s="77"/>
      <c r="L137" s="56"/>
    </row>
    <row r="138" spans="1:12" x14ac:dyDescent="0.25">
      <c r="A138" s="76"/>
      <c r="F138" s="70"/>
      <c r="G138" s="70"/>
      <c r="H138" s="70"/>
      <c r="I138" s="70"/>
      <c r="J138" s="77"/>
      <c r="L138" s="56"/>
    </row>
    <row r="139" spans="1:12" x14ac:dyDescent="0.25">
      <c r="A139" s="76"/>
      <c r="F139" s="70"/>
      <c r="G139" s="70"/>
      <c r="H139" s="70"/>
      <c r="I139" s="70"/>
      <c r="J139" s="77"/>
      <c r="L139" s="56"/>
    </row>
    <row r="140" spans="1:12" x14ac:dyDescent="0.25">
      <c r="A140" s="76"/>
      <c r="F140" s="70"/>
      <c r="G140" s="70"/>
      <c r="H140" s="70"/>
      <c r="I140" s="70"/>
      <c r="J140" s="55"/>
      <c r="L140" s="56"/>
    </row>
    <row r="141" spans="1:12" x14ac:dyDescent="0.25">
      <c r="A141" s="76"/>
      <c r="F141" s="70"/>
      <c r="G141" s="70"/>
      <c r="H141" s="70"/>
      <c r="I141" s="70"/>
      <c r="J141" s="55"/>
      <c r="L141" s="56"/>
    </row>
    <row r="142" spans="1:12" x14ac:dyDescent="0.25">
      <c r="A142" s="76"/>
      <c r="F142" s="70"/>
      <c r="G142" s="70"/>
      <c r="H142" s="70"/>
      <c r="I142" s="70"/>
      <c r="J142" s="55"/>
      <c r="L142" s="56"/>
    </row>
    <row r="143" spans="1:12" x14ac:dyDescent="0.25">
      <c r="A143" s="76"/>
      <c r="F143" s="70"/>
      <c r="G143" s="70"/>
      <c r="H143" s="70"/>
      <c r="I143" s="70"/>
      <c r="J143" s="55"/>
      <c r="L143" s="56"/>
    </row>
    <row r="144" spans="1:12" x14ac:dyDescent="0.25">
      <c r="A144" s="76"/>
      <c r="F144" s="70"/>
      <c r="G144" s="70"/>
      <c r="H144" s="70"/>
      <c r="I144" s="70"/>
      <c r="J144" s="55"/>
      <c r="L144" s="56"/>
    </row>
    <row r="145" spans="1:12" x14ac:dyDescent="0.25">
      <c r="A145" s="76"/>
      <c r="F145" s="70"/>
      <c r="G145" s="70"/>
      <c r="H145" s="70"/>
      <c r="I145" s="70"/>
      <c r="J145" s="55"/>
      <c r="L145" s="56"/>
    </row>
    <row r="146" spans="1:12" x14ac:dyDescent="0.25">
      <c r="A146" s="76"/>
      <c r="F146" s="70"/>
      <c r="G146" s="70"/>
      <c r="H146" s="70"/>
      <c r="I146" s="70"/>
      <c r="J146" s="55"/>
      <c r="L146" s="56"/>
    </row>
    <row r="147" spans="1:12" x14ac:dyDescent="0.25">
      <c r="A147" s="76"/>
      <c r="F147" s="70"/>
      <c r="G147" s="70"/>
      <c r="H147" s="70"/>
      <c r="I147" s="70"/>
      <c r="J147" s="55"/>
      <c r="L147" s="56"/>
    </row>
    <row r="148" spans="1:12" x14ac:dyDescent="0.25">
      <c r="A148" s="76"/>
      <c r="F148" s="70"/>
      <c r="G148" s="70"/>
      <c r="H148" s="70"/>
      <c r="I148" s="70"/>
      <c r="J148" s="55"/>
      <c r="L148" s="56"/>
    </row>
    <row r="149" spans="1:12" x14ac:dyDescent="0.25">
      <c r="A149" s="76"/>
      <c r="F149" s="70"/>
      <c r="G149" s="70"/>
      <c r="H149" s="70"/>
      <c r="I149" s="70"/>
      <c r="J149" s="55"/>
      <c r="L149" s="56"/>
    </row>
    <row r="150" spans="1:12" x14ac:dyDescent="0.25">
      <c r="A150" s="76"/>
      <c r="F150" s="70"/>
      <c r="G150" s="70"/>
      <c r="H150" s="70"/>
      <c r="I150" s="70"/>
      <c r="J150" s="55"/>
      <c r="L150" s="56"/>
    </row>
    <row r="151" spans="1:12" x14ac:dyDescent="0.25">
      <c r="A151" s="76"/>
      <c r="F151" s="70"/>
      <c r="G151" s="70"/>
      <c r="H151" s="70"/>
      <c r="I151" s="70"/>
      <c r="J151" s="55"/>
      <c r="L151" s="56"/>
    </row>
    <row r="152" spans="1:12" x14ac:dyDescent="0.25">
      <c r="A152" s="76"/>
      <c r="F152" s="70"/>
      <c r="G152" s="70"/>
      <c r="H152" s="70"/>
      <c r="I152" s="70"/>
      <c r="J152" s="55"/>
      <c r="L152" s="56"/>
    </row>
    <row r="153" spans="1:12" x14ac:dyDescent="0.25">
      <c r="A153" s="76"/>
      <c r="F153" s="70"/>
      <c r="G153" s="70"/>
      <c r="H153" s="70"/>
      <c r="I153" s="70"/>
      <c r="J153" s="55"/>
      <c r="L153" s="56"/>
    </row>
    <row r="154" spans="1:12" x14ac:dyDescent="0.25">
      <c r="A154" s="76"/>
      <c r="F154" s="70"/>
      <c r="G154" s="70"/>
      <c r="H154" s="70"/>
      <c r="I154" s="70"/>
      <c r="J154" s="55"/>
      <c r="L154" s="56"/>
    </row>
    <row r="155" spans="1:12" x14ac:dyDescent="0.25">
      <c r="A155" s="76"/>
      <c r="F155" s="70"/>
      <c r="G155" s="70"/>
      <c r="H155" s="70"/>
      <c r="I155" s="70"/>
      <c r="J155" s="55"/>
      <c r="L155" s="56"/>
    </row>
    <row r="156" spans="1:12" x14ac:dyDescent="0.25">
      <c r="A156" s="76"/>
      <c r="F156" s="70"/>
      <c r="G156" s="70"/>
      <c r="H156" s="70"/>
      <c r="I156" s="70"/>
      <c r="J156" s="55"/>
      <c r="L156" s="56"/>
    </row>
    <row r="157" spans="1:12" x14ac:dyDescent="0.25">
      <c r="A157" s="76"/>
      <c r="F157" s="70"/>
      <c r="G157" s="70"/>
      <c r="H157" s="70"/>
      <c r="I157" s="70"/>
      <c r="J157" s="55"/>
      <c r="L157" s="56"/>
    </row>
    <row r="158" spans="1:12" x14ac:dyDescent="0.25">
      <c r="A158" s="76"/>
      <c r="F158" s="70"/>
      <c r="G158" s="70"/>
      <c r="H158" s="70"/>
      <c r="I158" s="70"/>
      <c r="J158" s="55"/>
      <c r="L158" s="56"/>
    </row>
    <row r="159" spans="1:12" x14ac:dyDescent="0.25">
      <c r="A159" s="76"/>
      <c r="F159" s="70"/>
      <c r="G159" s="70"/>
      <c r="H159" s="70"/>
      <c r="I159" s="70"/>
      <c r="J159" s="55"/>
      <c r="L159" s="56"/>
    </row>
    <row r="160" spans="1:12" x14ac:dyDescent="0.25">
      <c r="A160" s="76"/>
      <c r="F160" s="70"/>
      <c r="G160" s="70"/>
      <c r="H160" s="70"/>
      <c r="I160" s="70"/>
      <c r="J160" s="55"/>
      <c r="L160" s="56"/>
    </row>
    <row r="161" spans="1:12" x14ac:dyDescent="0.25">
      <c r="A161" s="76"/>
      <c r="F161" s="70"/>
      <c r="G161" s="70"/>
      <c r="H161" s="70"/>
      <c r="I161" s="70"/>
      <c r="J161" s="55"/>
      <c r="L161" s="56"/>
    </row>
    <row r="162" spans="1:12" x14ac:dyDescent="0.25">
      <c r="A162" s="76"/>
      <c r="F162" s="70"/>
      <c r="G162" s="70"/>
      <c r="H162" s="70"/>
      <c r="I162" s="70"/>
      <c r="J162" s="55"/>
      <c r="L162" s="56"/>
    </row>
    <row r="163" spans="1:12" x14ac:dyDescent="0.25">
      <c r="A163" s="76"/>
      <c r="F163" s="70"/>
      <c r="G163" s="70"/>
      <c r="H163" s="70"/>
      <c r="I163" s="70"/>
      <c r="J163" s="55"/>
      <c r="L163" s="56"/>
    </row>
    <row r="164" spans="1:12" x14ac:dyDescent="0.25">
      <c r="A164" s="76"/>
      <c r="F164" s="70"/>
      <c r="G164" s="70"/>
      <c r="H164" s="70"/>
      <c r="I164" s="70"/>
      <c r="J164" s="55"/>
      <c r="L164" s="56"/>
    </row>
    <row r="165" spans="1:12" x14ac:dyDescent="0.25">
      <c r="A165" s="76"/>
      <c r="F165" s="70"/>
      <c r="G165" s="70"/>
      <c r="H165" s="70"/>
      <c r="I165" s="70"/>
      <c r="J165" s="55"/>
      <c r="L165" s="56"/>
    </row>
    <row r="166" spans="1:12" x14ac:dyDescent="0.25">
      <c r="A166" s="76"/>
      <c r="F166" s="70"/>
      <c r="G166" s="70"/>
      <c r="H166" s="70"/>
      <c r="I166" s="70"/>
      <c r="J166" s="55"/>
      <c r="L166" s="56"/>
    </row>
    <row r="167" spans="1:12" x14ac:dyDescent="0.25">
      <c r="A167" s="76"/>
      <c r="F167" s="70"/>
      <c r="G167" s="70"/>
      <c r="H167" s="70"/>
      <c r="I167" s="70"/>
      <c r="J167" s="55"/>
      <c r="L167" s="56"/>
    </row>
    <row r="168" spans="1:12" x14ac:dyDescent="0.25">
      <c r="A168" s="76"/>
      <c r="F168" s="70"/>
      <c r="G168" s="70"/>
      <c r="H168" s="70"/>
      <c r="I168" s="70"/>
      <c r="J168" s="55"/>
      <c r="L168" s="56"/>
    </row>
    <row r="169" spans="1:12" x14ac:dyDescent="0.25">
      <c r="A169" s="76"/>
      <c r="F169" s="70"/>
      <c r="G169" s="70"/>
      <c r="H169" s="70"/>
      <c r="I169" s="70"/>
      <c r="J169" s="55"/>
      <c r="L169" s="56"/>
    </row>
    <row r="170" spans="1:12" x14ac:dyDescent="0.25">
      <c r="A170" s="76"/>
      <c r="F170" s="70"/>
      <c r="G170" s="70"/>
      <c r="H170" s="70"/>
      <c r="I170" s="70"/>
      <c r="J170" s="55"/>
      <c r="L170" s="56"/>
    </row>
    <row r="171" spans="1:12" x14ac:dyDescent="0.25">
      <c r="A171" s="76"/>
      <c r="F171" s="70"/>
      <c r="G171" s="70"/>
      <c r="H171" s="70"/>
      <c r="I171" s="70"/>
      <c r="J171" s="55"/>
      <c r="L171" s="56"/>
    </row>
    <row r="172" spans="1:12" x14ac:dyDescent="0.25">
      <c r="A172" s="76"/>
      <c r="F172" s="70"/>
      <c r="G172" s="70"/>
      <c r="H172" s="70"/>
      <c r="I172" s="70"/>
      <c r="J172" s="55"/>
      <c r="L172" s="56"/>
    </row>
    <row r="173" spans="1:12" x14ac:dyDescent="0.25">
      <c r="A173" s="76"/>
      <c r="F173" s="70"/>
      <c r="G173" s="70"/>
      <c r="H173" s="70"/>
      <c r="I173" s="70"/>
      <c r="J173" s="55"/>
      <c r="L173" s="56"/>
    </row>
    <row r="174" spans="1:12" x14ac:dyDescent="0.25">
      <c r="A174" s="76"/>
      <c r="F174" s="70"/>
      <c r="G174" s="70"/>
      <c r="H174" s="70"/>
      <c r="I174" s="70"/>
      <c r="J174" s="55"/>
      <c r="L174" s="56"/>
    </row>
    <row r="175" spans="1:12" x14ac:dyDescent="0.25">
      <c r="A175" s="76"/>
      <c r="F175" s="70"/>
      <c r="G175" s="70"/>
      <c r="H175" s="70"/>
      <c r="I175" s="70"/>
      <c r="J175" s="55"/>
      <c r="L175" s="56"/>
    </row>
    <row r="176" spans="1:12" x14ac:dyDescent="0.25">
      <c r="A176" s="76"/>
      <c r="F176" s="70"/>
      <c r="G176" s="70"/>
      <c r="H176" s="70"/>
      <c r="I176" s="70"/>
      <c r="J176" s="55"/>
      <c r="L176" s="56"/>
    </row>
    <row r="177" spans="1:12" x14ac:dyDescent="0.25">
      <c r="A177" s="76"/>
      <c r="F177" s="70"/>
      <c r="G177" s="70"/>
      <c r="H177" s="70"/>
      <c r="I177" s="70"/>
      <c r="J177" s="55"/>
      <c r="L177" s="56"/>
    </row>
    <row r="178" spans="1:12" x14ac:dyDescent="0.25">
      <c r="A178" s="76"/>
      <c r="F178" s="70"/>
      <c r="G178" s="70"/>
      <c r="H178" s="70"/>
      <c r="I178" s="70"/>
      <c r="J178" s="55"/>
      <c r="L178" s="56"/>
    </row>
    <row r="179" spans="1:12" x14ac:dyDescent="0.25">
      <c r="A179" s="76"/>
      <c r="F179" s="70"/>
      <c r="G179" s="70"/>
      <c r="H179" s="70"/>
      <c r="I179" s="70"/>
      <c r="J179" s="55"/>
      <c r="L179" s="56"/>
    </row>
    <row r="180" spans="1:12" x14ac:dyDescent="0.25">
      <c r="A180" s="76"/>
      <c r="F180" s="70"/>
      <c r="G180" s="70"/>
      <c r="H180" s="70"/>
      <c r="I180" s="70"/>
      <c r="J180" s="55"/>
      <c r="L180" s="56"/>
    </row>
    <row r="181" spans="1:12" x14ac:dyDescent="0.25">
      <c r="A181" s="76"/>
      <c r="F181" s="70"/>
      <c r="G181" s="70"/>
      <c r="H181" s="70"/>
      <c r="I181" s="70"/>
      <c r="J181" s="55"/>
      <c r="L181" s="56"/>
    </row>
    <row r="182" spans="1:12" x14ac:dyDescent="0.25">
      <c r="A182" s="76"/>
      <c r="F182" s="70"/>
      <c r="G182" s="70"/>
      <c r="H182" s="70"/>
      <c r="I182" s="70"/>
      <c r="J182" s="55"/>
      <c r="L182" s="56"/>
    </row>
    <row r="183" spans="1:12" x14ac:dyDescent="0.25">
      <c r="A183" s="76"/>
      <c r="F183" s="70"/>
      <c r="G183" s="70"/>
      <c r="H183" s="70"/>
      <c r="I183" s="70"/>
      <c r="J183" s="55"/>
      <c r="L183" s="56"/>
    </row>
    <row r="184" spans="1:12" x14ac:dyDescent="0.25">
      <c r="A184" s="76"/>
      <c r="F184" s="70"/>
      <c r="G184" s="70"/>
      <c r="H184" s="70"/>
      <c r="I184" s="70"/>
      <c r="J184" s="55"/>
      <c r="L184" s="56"/>
    </row>
    <row r="185" spans="1:12" x14ac:dyDescent="0.25">
      <c r="A185" s="76"/>
      <c r="F185" s="70"/>
      <c r="G185" s="70"/>
      <c r="H185" s="70"/>
      <c r="I185" s="70"/>
      <c r="J185" s="55"/>
      <c r="L185" s="56"/>
    </row>
    <row r="186" spans="1:12" x14ac:dyDescent="0.25">
      <c r="A186" s="76"/>
      <c r="F186" s="70"/>
      <c r="G186" s="70"/>
      <c r="H186" s="70"/>
      <c r="I186" s="70"/>
      <c r="J186" s="55"/>
      <c r="L186" s="56"/>
    </row>
    <row r="187" spans="1:12" x14ac:dyDescent="0.25">
      <c r="A187" s="76"/>
      <c r="F187" s="70"/>
      <c r="G187" s="70"/>
      <c r="H187" s="70"/>
      <c r="I187" s="70"/>
      <c r="J187" s="55"/>
      <c r="L187" s="56"/>
    </row>
    <row r="188" spans="1:12" x14ac:dyDescent="0.25">
      <c r="A188" s="76"/>
      <c r="F188" s="70"/>
      <c r="G188" s="70"/>
      <c r="H188" s="70"/>
      <c r="I188" s="70"/>
      <c r="J188" s="55"/>
      <c r="L188" s="56"/>
    </row>
    <row r="189" spans="1:12" x14ac:dyDescent="0.25">
      <c r="A189" s="76"/>
      <c r="F189" s="70"/>
      <c r="G189" s="70"/>
      <c r="H189" s="70"/>
      <c r="I189" s="70"/>
      <c r="J189" s="55"/>
      <c r="L189" s="56"/>
    </row>
    <row r="190" spans="1:12" x14ac:dyDescent="0.25">
      <c r="A190" s="76"/>
      <c r="F190" s="70"/>
      <c r="G190" s="70"/>
      <c r="H190" s="70"/>
      <c r="I190" s="70"/>
      <c r="J190" s="55"/>
      <c r="L190" s="56"/>
    </row>
    <row r="191" spans="1:12" x14ac:dyDescent="0.25">
      <c r="A191" s="76"/>
      <c r="F191" s="70"/>
      <c r="G191" s="70"/>
      <c r="H191" s="70"/>
      <c r="I191" s="70"/>
      <c r="J191" s="55"/>
      <c r="L191" s="56"/>
    </row>
    <row r="192" spans="1:12" x14ac:dyDescent="0.25">
      <c r="A192" s="76"/>
      <c r="F192" s="70"/>
      <c r="G192" s="70"/>
      <c r="H192" s="70"/>
      <c r="I192" s="70"/>
      <c r="J192" s="55"/>
      <c r="L192" s="56"/>
    </row>
    <row r="193" spans="1:12" x14ac:dyDescent="0.25">
      <c r="A193" s="76"/>
      <c r="F193" s="70"/>
      <c r="G193" s="70"/>
      <c r="H193" s="70"/>
      <c r="I193" s="70"/>
      <c r="J193" s="55"/>
      <c r="L193" s="56"/>
    </row>
    <row r="194" spans="1:12" x14ac:dyDescent="0.25">
      <c r="A194" s="76"/>
      <c r="F194" s="70"/>
      <c r="G194" s="70"/>
      <c r="H194" s="70"/>
      <c r="I194" s="70"/>
      <c r="J194" s="55"/>
      <c r="L194" s="56"/>
    </row>
    <row r="195" spans="1:12" x14ac:dyDescent="0.25">
      <c r="A195" s="76"/>
      <c r="F195" s="70"/>
      <c r="G195" s="70"/>
      <c r="H195" s="70"/>
      <c r="I195" s="70"/>
      <c r="J195" s="55"/>
      <c r="L195" s="56"/>
    </row>
    <row r="196" spans="1:12" x14ac:dyDescent="0.25">
      <c r="A196" s="76"/>
      <c r="F196" s="70"/>
      <c r="G196" s="70"/>
      <c r="H196" s="70"/>
      <c r="I196" s="70"/>
      <c r="J196" s="55"/>
      <c r="L196" s="56"/>
    </row>
    <row r="197" spans="1:12" x14ac:dyDescent="0.25">
      <c r="A197" s="76"/>
      <c r="F197" s="70"/>
      <c r="G197" s="70"/>
      <c r="H197" s="70"/>
      <c r="I197" s="70"/>
      <c r="J197" s="55"/>
      <c r="L197" s="56"/>
    </row>
    <row r="198" spans="1:12" x14ac:dyDescent="0.25">
      <c r="A198" s="76"/>
      <c r="F198" s="70"/>
      <c r="G198" s="70"/>
      <c r="H198" s="70"/>
      <c r="I198" s="70"/>
      <c r="J198" s="55"/>
      <c r="L198" s="56"/>
    </row>
    <row r="199" spans="1:12" x14ac:dyDescent="0.25">
      <c r="A199" s="76"/>
      <c r="F199" s="70"/>
      <c r="G199" s="70"/>
      <c r="H199" s="70"/>
      <c r="I199" s="70"/>
      <c r="J199" s="55"/>
      <c r="L199" s="56"/>
    </row>
    <row r="200" spans="1:12" x14ac:dyDescent="0.25">
      <c r="A200" s="76"/>
      <c r="F200" s="70"/>
      <c r="G200" s="70"/>
      <c r="H200" s="70"/>
      <c r="I200" s="70"/>
      <c r="J200" s="55"/>
      <c r="L200" s="56"/>
    </row>
    <row r="201" spans="1:12" x14ac:dyDescent="0.25">
      <c r="A201" s="76"/>
      <c r="F201" s="70"/>
      <c r="G201" s="70"/>
      <c r="H201" s="70"/>
      <c r="I201" s="70"/>
      <c r="J201" s="55"/>
      <c r="L201" s="56"/>
    </row>
    <row r="202" spans="1:12" x14ac:dyDescent="0.25">
      <c r="A202" s="76"/>
      <c r="F202" s="70"/>
      <c r="G202" s="70"/>
      <c r="H202" s="70"/>
      <c r="I202" s="70"/>
      <c r="J202" s="55"/>
      <c r="L202" s="56"/>
    </row>
    <row r="203" spans="1:12" x14ac:dyDescent="0.25">
      <c r="A203" s="76"/>
      <c r="F203" s="70"/>
      <c r="G203" s="70"/>
      <c r="H203" s="70"/>
      <c r="I203" s="70"/>
      <c r="J203" s="55"/>
      <c r="L203" s="56"/>
    </row>
    <row r="204" spans="1:12" x14ac:dyDescent="0.25">
      <c r="A204" s="76"/>
      <c r="F204" s="70"/>
      <c r="G204" s="70"/>
      <c r="H204" s="70"/>
      <c r="I204" s="70"/>
      <c r="J204" s="55"/>
      <c r="L204" s="56"/>
    </row>
    <row r="205" spans="1:12" x14ac:dyDescent="0.25">
      <c r="A205" s="76"/>
      <c r="F205" s="70"/>
      <c r="G205" s="70"/>
      <c r="H205" s="70"/>
      <c r="I205" s="70"/>
      <c r="J205" s="55"/>
      <c r="L205" s="56"/>
    </row>
    <row r="206" spans="1:12" x14ac:dyDescent="0.25">
      <c r="A206" s="76"/>
      <c r="F206" s="70"/>
      <c r="G206" s="70"/>
      <c r="H206" s="70"/>
      <c r="I206" s="70"/>
      <c r="J206" s="55"/>
      <c r="L206" s="56"/>
    </row>
    <row r="207" spans="1:12" x14ac:dyDescent="0.25">
      <c r="A207" s="76"/>
      <c r="F207" s="70"/>
      <c r="G207" s="70"/>
      <c r="H207" s="70"/>
      <c r="I207" s="70"/>
      <c r="J207" s="55"/>
      <c r="L207" s="56"/>
    </row>
    <row r="208" spans="1:12" x14ac:dyDescent="0.25">
      <c r="A208" s="76"/>
      <c r="F208" s="70"/>
      <c r="G208" s="70"/>
      <c r="H208" s="70"/>
      <c r="I208" s="70"/>
      <c r="J208" s="55"/>
      <c r="L208" s="56"/>
    </row>
    <row r="209" spans="1:12" x14ac:dyDescent="0.25">
      <c r="A209" s="76"/>
      <c r="F209" s="70"/>
      <c r="G209" s="70"/>
      <c r="H209" s="70"/>
      <c r="I209" s="70"/>
      <c r="J209" s="55"/>
      <c r="L209" s="56"/>
    </row>
    <row r="210" spans="1:12" x14ac:dyDescent="0.25">
      <c r="A210" s="76"/>
      <c r="F210" s="70"/>
      <c r="G210" s="70"/>
      <c r="H210" s="70"/>
      <c r="I210" s="70"/>
      <c r="J210" s="55"/>
      <c r="L210" s="56"/>
    </row>
    <row r="211" spans="1:12" x14ac:dyDescent="0.25">
      <c r="A211" s="76"/>
      <c r="F211" s="70"/>
      <c r="G211" s="70"/>
      <c r="H211" s="70"/>
      <c r="I211" s="70"/>
      <c r="J211" s="55"/>
      <c r="L211" s="56"/>
    </row>
    <row r="212" spans="1:12" x14ac:dyDescent="0.25">
      <c r="A212" s="76"/>
      <c r="F212" s="70"/>
      <c r="G212" s="70"/>
      <c r="H212" s="70"/>
      <c r="I212" s="70"/>
      <c r="J212" s="55"/>
      <c r="L212" s="56"/>
    </row>
    <row r="213" spans="1:12" x14ac:dyDescent="0.25">
      <c r="A213" s="76"/>
      <c r="F213" s="70"/>
      <c r="G213" s="70"/>
      <c r="H213" s="70"/>
      <c r="I213" s="70"/>
      <c r="J213" s="55"/>
      <c r="L213" s="56"/>
    </row>
    <row r="214" spans="1:12" x14ac:dyDescent="0.25">
      <c r="A214" s="76"/>
      <c r="F214" s="70"/>
      <c r="G214" s="70"/>
      <c r="H214" s="70"/>
      <c r="I214" s="70"/>
      <c r="J214" s="55"/>
      <c r="L214" s="56"/>
    </row>
    <row r="215" spans="1:12" x14ac:dyDescent="0.25">
      <c r="A215" s="76"/>
      <c r="F215" s="70"/>
      <c r="G215" s="70"/>
      <c r="H215" s="70"/>
      <c r="I215" s="70"/>
      <c r="J215" s="55"/>
      <c r="L215" s="56"/>
    </row>
    <row r="216" spans="1:12" x14ac:dyDescent="0.25">
      <c r="A216" s="76"/>
      <c r="F216" s="70"/>
      <c r="G216" s="70"/>
      <c r="H216" s="70"/>
      <c r="I216" s="70"/>
      <c r="J216" s="55"/>
      <c r="L216" s="56"/>
    </row>
    <row r="217" spans="1:12" x14ac:dyDescent="0.25">
      <c r="A217" s="76"/>
      <c r="F217" s="70"/>
      <c r="G217" s="70"/>
      <c r="H217" s="70"/>
      <c r="I217" s="70"/>
      <c r="J217" s="55"/>
      <c r="L217" s="56"/>
    </row>
    <row r="218" spans="1:12" x14ac:dyDescent="0.25">
      <c r="A218" s="76"/>
      <c r="F218" s="70"/>
      <c r="G218" s="70"/>
      <c r="H218" s="70"/>
      <c r="I218" s="70"/>
      <c r="J218" s="55"/>
      <c r="L218" s="56"/>
    </row>
    <row r="219" spans="1:12" x14ac:dyDescent="0.25">
      <c r="A219" s="76"/>
      <c r="F219" s="70"/>
      <c r="G219" s="70"/>
      <c r="H219" s="70"/>
      <c r="I219" s="70"/>
      <c r="J219" s="55"/>
      <c r="L219" s="56"/>
    </row>
    <row r="220" spans="1:12" x14ac:dyDescent="0.25">
      <c r="A220" s="76"/>
      <c r="F220" s="70"/>
      <c r="G220" s="70"/>
      <c r="H220" s="70"/>
      <c r="I220" s="70"/>
      <c r="J220" s="55"/>
      <c r="L220" s="56"/>
    </row>
    <row r="221" spans="1:12" x14ac:dyDescent="0.25">
      <c r="A221" s="76"/>
      <c r="F221" s="70"/>
      <c r="G221" s="70"/>
      <c r="H221" s="70"/>
      <c r="I221" s="70"/>
      <c r="J221" s="55"/>
      <c r="L221" s="56"/>
    </row>
    <row r="222" spans="1:12" x14ac:dyDescent="0.25">
      <c r="A222" s="76"/>
      <c r="F222" s="70"/>
      <c r="G222" s="70"/>
      <c r="H222" s="70"/>
      <c r="I222" s="70"/>
      <c r="J222" s="55"/>
      <c r="L222" s="56"/>
    </row>
    <row r="223" spans="1:12" x14ac:dyDescent="0.25">
      <c r="A223" s="76"/>
      <c r="F223" s="70"/>
      <c r="G223" s="70"/>
      <c r="H223" s="70"/>
      <c r="I223" s="70"/>
      <c r="J223" s="55"/>
      <c r="L223" s="56"/>
    </row>
    <row r="224" spans="1:12" x14ac:dyDescent="0.25">
      <c r="A224" s="76"/>
      <c r="F224" s="70"/>
      <c r="G224" s="70"/>
      <c r="H224" s="70"/>
      <c r="I224" s="70"/>
      <c r="J224" s="55"/>
      <c r="L224" s="56"/>
    </row>
    <row r="225" spans="1:12" x14ac:dyDescent="0.25">
      <c r="A225" s="76"/>
      <c r="F225" s="70"/>
      <c r="G225" s="70"/>
      <c r="H225" s="70"/>
      <c r="I225" s="70"/>
      <c r="J225" s="55"/>
      <c r="L225" s="56"/>
    </row>
    <row r="226" spans="1:12" x14ac:dyDescent="0.25">
      <c r="A226" s="76"/>
      <c r="F226" s="70"/>
      <c r="G226" s="70"/>
      <c r="H226" s="70"/>
      <c r="I226" s="70"/>
      <c r="J226" s="55"/>
      <c r="L226" s="56"/>
    </row>
    <row r="227" spans="1:12" x14ac:dyDescent="0.25">
      <c r="A227" s="76"/>
      <c r="F227" s="70"/>
      <c r="G227" s="70"/>
      <c r="H227" s="70"/>
      <c r="I227" s="70"/>
      <c r="J227" s="55"/>
      <c r="L227" s="56"/>
    </row>
    <row r="228" spans="1:12" x14ac:dyDescent="0.25">
      <c r="A228" s="76"/>
      <c r="F228" s="70"/>
      <c r="G228" s="70"/>
      <c r="H228" s="70"/>
      <c r="I228" s="70"/>
      <c r="J228" s="55"/>
      <c r="L228" s="56"/>
    </row>
    <row r="229" spans="1:12" x14ac:dyDescent="0.25">
      <c r="A229" s="76"/>
      <c r="F229" s="70"/>
      <c r="G229" s="70"/>
      <c r="H229" s="70"/>
      <c r="I229" s="70"/>
      <c r="J229" s="55"/>
      <c r="L229" s="56"/>
    </row>
    <row r="230" spans="1:12" x14ac:dyDescent="0.25">
      <c r="A230" s="76"/>
      <c r="F230" s="70"/>
      <c r="G230" s="70"/>
      <c r="H230" s="70"/>
      <c r="I230" s="70"/>
      <c r="J230" s="55"/>
      <c r="L230" s="56"/>
    </row>
    <row r="231" spans="1:12" x14ac:dyDescent="0.25">
      <c r="A231" s="76"/>
      <c r="F231" s="70"/>
      <c r="G231" s="70"/>
      <c r="H231" s="70"/>
      <c r="I231" s="70"/>
      <c r="J231" s="55"/>
      <c r="L231" s="56"/>
    </row>
    <row r="232" spans="1:12" x14ac:dyDescent="0.25">
      <c r="A232" s="76"/>
      <c r="F232" s="70"/>
      <c r="G232" s="70"/>
      <c r="H232" s="70"/>
      <c r="I232" s="70"/>
      <c r="J232" s="55"/>
      <c r="L232" s="56"/>
    </row>
    <row r="233" spans="1:12" x14ac:dyDescent="0.25">
      <c r="A233" s="76"/>
      <c r="F233" s="70"/>
      <c r="G233" s="70"/>
      <c r="H233" s="70"/>
      <c r="I233" s="70"/>
      <c r="J233" s="55"/>
      <c r="L233" s="56"/>
    </row>
    <row r="234" spans="1:12" x14ac:dyDescent="0.25">
      <c r="A234" s="76"/>
      <c r="F234" s="70"/>
      <c r="G234" s="70"/>
      <c r="H234" s="70"/>
      <c r="I234" s="70"/>
      <c r="J234" s="55"/>
      <c r="L234" s="56"/>
    </row>
    <row r="235" spans="1:12" x14ac:dyDescent="0.25">
      <c r="A235" s="76"/>
      <c r="F235" s="70"/>
      <c r="G235" s="70"/>
      <c r="H235" s="70"/>
      <c r="I235" s="70"/>
      <c r="J235" s="55"/>
      <c r="L235" s="56"/>
    </row>
    <row r="236" spans="1:12" x14ac:dyDescent="0.25">
      <c r="A236" s="76"/>
      <c r="F236" s="70"/>
      <c r="G236" s="70"/>
      <c r="H236" s="70"/>
      <c r="I236" s="70"/>
      <c r="J236" s="55"/>
      <c r="L236" s="56"/>
    </row>
    <row r="237" spans="1:12" x14ac:dyDescent="0.25">
      <c r="A237" s="76"/>
      <c r="F237" s="70"/>
      <c r="G237" s="70"/>
      <c r="H237" s="70"/>
      <c r="I237" s="70"/>
      <c r="J237" s="55"/>
      <c r="L237" s="56"/>
    </row>
    <row r="238" spans="1:12" x14ac:dyDescent="0.25">
      <c r="A238" s="76"/>
      <c r="F238" s="70"/>
      <c r="G238" s="70"/>
      <c r="H238" s="70"/>
      <c r="I238" s="70"/>
      <c r="J238" s="55"/>
      <c r="L238" s="56"/>
    </row>
    <row r="239" spans="1:12" x14ac:dyDescent="0.25">
      <c r="A239" s="76"/>
      <c r="F239" s="70"/>
      <c r="G239" s="70"/>
      <c r="H239" s="70"/>
      <c r="I239" s="70"/>
      <c r="J239" s="55"/>
      <c r="L239" s="56"/>
    </row>
    <row r="240" spans="1:12" x14ac:dyDescent="0.25">
      <c r="A240" s="76"/>
      <c r="F240" s="70"/>
      <c r="G240" s="70"/>
      <c r="H240" s="70"/>
      <c r="I240" s="70"/>
      <c r="J240" s="55"/>
      <c r="L240" s="56"/>
    </row>
    <row r="241" spans="1:12" x14ac:dyDescent="0.25">
      <c r="A241" s="76"/>
      <c r="F241" s="70"/>
      <c r="G241" s="70"/>
      <c r="H241" s="70"/>
      <c r="I241" s="70"/>
      <c r="J241" s="55"/>
      <c r="L241" s="56"/>
    </row>
    <row r="242" spans="1:12" x14ac:dyDescent="0.25">
      <c r="A242" s="76"/>
      <c r="F242" s="70"/>
      <c r="G242" s="70"/>
      <c r="H242" s="70"/>
      <c r="I242" s="70"/>
      <c r="J242" s="55"/>
      <c r="L242" s="56"/>
    </row>
    <row r="243" spans="1:12" x14ac:dyDescent="0.25">
      <c r="A243" s="76"/>
      <c r="F243" s="70"/>
      <c r="G243" s="70"/>
      <c r="H243" s="70"/>
      <c r="I243" s="70"/>
      <c r="J243" s="55"/>
      <c r="L243" s="56"/>
    </row>
    <row r="244" spans="1:12" x14ac:dyDescent="0.25">
      <c r="A244" s="76"/>
      <c r="F244" s="70"/>
      <c r="G244" s="70"/>
      <c r="H244" s="70"/>
      <c r="I244" s="70"/>
      <c r="J244" s="55"/>
      <c r="L244" s="56"/>
    </row>
    <row r="245" spans="1:12" x14ac:dyDescent="0.25">
      <c r="A245" s="76"/>
      <c r="F245" s="70"/>
      <c r="G245" s="70"/>
      <c r="H245" s="70"/>
      <c r="I245" s="70"/>
      <c r="J245" s="55"/>
      <c r="L245" s="56"/>
    </row>
    <row r="246" spans="1:12" x14ac:dyDescent="0.25">
      <c r="A246" s="76"/>
      <c r="F246" s="70"/>
      <c r="G246" s="70"/>
      <c r="H246" s="70"/>
      <c r="I246" s="70"/>
      <c r="J246" s="55"/>
      <c r="L246" s="56"/>
    </row>
    <row r="247" spans="1:12" x14ac:dyDescent="0.25">
      <c r="A247" s="76"/>
      <c r="F247" s="70"/>
      <c r="G247" s="70"/>
      <c r="H247" s="70"/>
      <c r="I247" s="70"/>
      <c r="J247" s="55"/>
      <c r="L247" s="56"/>
    </row>
    <row r="248" spans="1:12" x14ac:dyDescent="0.25">
      <c r="A248" s="76"/>
      <c r="F248" s="70"/>
      <c r="G248" s="70"/>
      <c r="H248" s="70"/>
      <c r="I248" s="70"/>
      <c r="J248" s="55"/>
      <c r="L248" s="56"/>
    </row>
    <row r="249" spans="1:12" x14ac:dyDescent="0.25">
      <c r="A249" s="76"/>
      <c r="F249" s="70"/>
      <c r="G249" s="70"/>
      <c r="H249" s="70"/>
      <c r="I249" s="70"/>
      <c r="J249" s="55"/>
      <c r="L249" s="56"/>
    </row>
    <row r="250" spans="1:12" x14ac:dyDescent="0.25">
      <c r="A250" s="76"/>
      <c r="F250" s="70"/>
      <c r="G250" s="70"/>
      <c r="H250" s="70"/>
      <c r="I250" s="70"/>
      <c r="J250" s="55"/>
      <c r="L250" s="56"/>
    </row>
    <row r="251" spans="1:12" x14ac:dyDescent="0.25">
      <c r="A251" s="76"/>
      <c r="F251" s="70"/>
      <c r="G251" s="70"/>
      <c r="H251" s="70"/>
      <c r="I251" s="70"/>
      <c r="J251" s="55"/>
      <c r="L251" s="56"/>
    </row>
    <row r="252" spans="1:12" x14ac:dyDescent="0.25">
      <c r="A252" s="76"/>
      <c r="F252" s="70"/>
      <c r="G252" s="70"/>
      <c r="H252" s="70"/>
      <c r="I252" s="70"/>
      <c r="J252" s="55"/>
      <c r="L252" s="56"/>
    </row>
    <row r="253" spans="1:12" x14ac:dyDescent="0.25">
      <c r="A253" s="76"/>
      <c r="F253" s="70"/>
      <c r="G253" s="70"/>
      <c r="H253" s="70"/>
      <c r="I253" s="70"/>
      <c r="J253" s="55"/>
      <c r="L253" s="56"/>
    </row>
    <row r="254" spans="1:12" x14ac:dyDescent="0.25">
      <c r="A254" s="76"/>
      <c r="F254" s="70"/>
      <c r="G254" s="70"/>
      <c r="H254" s="70"/>
      <c r="I254" s="70"/>
      <c r="J254" s="55"/>
      <c r="L254" s="56"/>
    </row>
    <row r="255" spans="1:12" x14ac:dyDescent="0.25">
      <c r="A255" s="76"/>
      <c r="F255" s="70"/>
      <c r="G255" s="70"/>
      <c r="H255" s="70"/>
      <c r="I255" s="70"/>
      <c r="J255" s="55"/>
      <c r="L255" s="56"/>
    </row>
    <row r="256" spans="1:12" x14ac:dyDescent="0.25">
      <c r="A256" s="76"/>
      <c r="F256" s="70"/>
      <c r="G256" s="70"/>
      <c r="H256" s="70"/>
      <c r="I256" s="70"/>
      <c r="J256" s="55"/>
      <c r="L256" s="56"/>
    </row>
    <row r="257" spans="1:12" x14ac:dyDescent="0.25">
      <c r="A257" s="76"/>
      <c r="F257" s="70"/>
      <c r="G257" s="70"/>
      <c r="H257" s="70"/>
      <c r="I257" s="70"/>
      <c r="J257" s="55"/>
      <c r="L257" s="56"/>
    </row>
    <row r="258" spans="1:12" x14ac:dyDescent="0.25">
      <c r="A258" s="76"/>
      <c r="F258" s="70"/>
      <c r="G258" s="70"/>
      <c r="H258" s="70"/>
      <c r="I258" s="70"/>
      <c r="J258" s="55"/>
      <c r="L258" s="56"/>
    </row>
    <row r="259" spans="1:12" x14ac:dyDescent="0.25">
      <c r="A259" s="76"/>
      <c r="F259" s="70"/>
      <c r="G259" s="70"/>
      <c r="H259" s="70"/>
      <c r="I259" s="70"/>
      <c r="J259" s="55"/>
      <c r="L259" s="56"/>
    </row>
    <row r="260" spans="1:12" x14ac:dyDescent="0.25">
      <c r="A260" s="76"/>
      <c r="F260" s="70"/>
      <c r="G260" s="70"/>
      <c r="H260" s="70"/>
      <c r="I260" s="70"/>
      <c r="J260" s="55"/>
      <c r="L260" s="56"/>
    </row>
    <row r="261" spans="1:12" x14ac:dyDescent="0.25">
      <c r="A261" s="76"/>
      <c r="F261" s="70"/>
      <c r="G261" s="70"/>
      <c r="H261" s="70"/>
      <c r="I261" s="70"/>
      <c r="J261" s="55"/>
      <c r="L261" s="56"/>
    </row>
    <row r="262" spans="1:12" x14ac:dyDescent="0.25">
      <c r="A262" s="76"/>
      <c r="F262" s="70"/>
      <c r="G262" s="70"/>
      <c r="H262" s="70"/>
      <c r="I262" s="70"/>
      <c r="J262" s="55"/>
      <c r="L262" s="56"/>
    </row>
    <row r="263" spans="1:12" x14ac:dyDescent="0.25">
      <c r="A263" s="76"/>
      <c r="F263" s="70"/>
      <c r="G263" s="70"/>
      <c r="H263" s="70"/>
      <c r="I263" s="70"/>
      <c r="J263" s="55"/>
      <c r="L263" s="56"/>
    </row>
    <row r="264" spans="1:12" x14ac:dyDescent="0.25">
      <c r="A264" s="76"/>
      <c r="F264" s="70"/>
      <c r="G264" s="70"/>
      <c r="H264" s="70"/>
      <c r="I264" s="70"/>
      <c r="J264" s="55"/>
      <c r="L264" s="56"/>
    </row>
    <row r="265" spans="1:12" x14ac:dyDescent="0.25">
      <c r="A265" s="76"/>
      <c r="F265" s="70"/>
      <c r="G265" s="70"/>
      <c r="H265" s="70"/>
      <c r="I265" s="70"/>
      <c r="J265" s="55"/>
      <c r="L265" s="56"/>
    </row>
    <row r="266" spans="1:12" x14ac:dyDescent="0.25">
      <c r="A266" s="76"/>
      <c r="F266" s="70"/>
      <c r="G266" s="70"/>
      <c r="H266" s="70"/>
      <c r="I266" s="70"/>
      <c r="J266" s="55"/>
      <c r="L266" s="56"/>
    </row>
    <row r="267" spans="1:12" x14ac:dyDescent="0.25">
      <c r="A267" s="76"/>
      <c r="F267" s="70"/>
      <c r="G267" s="70"/>
      <c r="H267" s="70"/>
      <c r="I267" s="70"/>
      <c r="J267" s="55"/>
      <c r="L267" s="56"/>
    </row>
    <row r="268" spans="1:12" x14ac:dyDescent="0.25">
      <c r="A268" s="76"/>
      <c r="F268" s="70"/>
      <c r="G268" s="70"/>
      <c r="H268" s="70"/>
      <c r="I268" s="70"/>
      <c r="J268" s="55"/>
      <c r="L268" s="56"/>
    </row>
    <row r="269" spans="1:12" x14ac:dyDescent="0.25">
      <c r="A269" s="76"/>
      <c r="F269" s="70"/>
      <c r="G269" s="70"/>
      <c r="H269" s="70"/>
      <c r="I269" s="70"/>
      <c r="J269" s="55"/>
      <c r="L269" s="56"/>
    </row>
    <row r="270" spans="1:12" x14ac:dyDescent="0.25">
      <c r="A270" s="76"/>
      <c r="F270" s="70"/>
      <c r="G270" s="70"/>
      <c r="H270" s="70"/>
      <c r="I270" s="70"/>
      <c r="J270" s="55"/>
      <c r="L270" s="56"/>
    </row>
    <row r="271" spans="1:12" x14ac:dyDescent="0.25">
      <c r="A271" s="76"/>
      <c r="F271" s="70"/>
      <c r="G271" s="70"/>
      <c r="H271" s="70"/>
      <c r="I271" s="70"/>
      <c r="J271" s="55"/>
      <c r="L271" s="56"/>
    </row>
    <row r="272" spans="1:12" x14ac:dyDescent="0.25">
      <c r="A272" s="76"/>
      <c r="F272" s="70"/>
      <c r="G272" s="70"/>
      <c r="H272" s="70"/>
      <c r="I272" s="70"/>
      <c r="J272" s="55"/>
      <c r="L272" s="56"/>
    </row>
    <row r="273" spans="1:12" x14ac:dyDescent="0.25">
      <c r="A273" s="76"/>
      <c r="F273" s="70"/>
      <c r="G273" s="70"/>
      <c r="H273" s="70"/>
      <c r="I273" s="70"/>
      <c r="J273" s="55"/>
      <c r="L273" s="56"/>
    </row>
    <row r="274" spans="1:12" x14ac:dyDescent="0.25">
      <c r="A274" s="76"/>
      <c r="F274" s="70"/>
      <c r="G274" s="70"/>
      <c r="H274" s="70"/>
      <c r="I274" s="70"/>
      <c r="J274" s="55"/>
      <c r="L274" s="56"/>
    </row>
    <row r="275" spans="1:12" x14ac:dyDescent="0.25">
      <c r="A275" s="76"/>
      <c r="F275" s="70"/>
      <c r="G275" s="70"/>
      <c r="H275" s="70"/>
      <c r="I275" s="70"/>
      <c r="J275" s="55"/>
      <c r="L275" s="56"/>
    </row>
    <row r="276" spans="1:12" x14ac:dyDescent="0.25">
      <c r="A276" s="76"/>
      <c r="F276" s="70"/>
      <c r="G276" s="70"/>
      <c r="H276" s="70"/>
      <c r="I276" s="70"/>
      <c r="J276" s="55"/>
      <c r="L276" s="56"/>
    </row>
    <row r="277" spans="1:12" x14ac:dyDescent="0.25">
      <c r="A277" s="76"/>
      <c r="F277" s="70"/>
      <c r="G277" s="70"/>
      <c r="H277" s="70"/>
      <c r="I277" s="70"/>
      <c r="J277" s="55"/>
      <c r="L277" s="56"/>
    </row>
    <row r="278" spans="1:12" x14ac:dyDescent="0.25">
      <c r="A278" s="76"/>
      <c r="F278" s="70"/>
      <c r="G278" s="70"/>
      <c r="H278" s="70"/>
      <c r="I278" s="70"/>
      <c r="J278" s="55"/>
      <c r="L278" s="56"/>
    </row>
    <row r="279" spans="1:12" x14ac:dyDescent="0.25">
      <c r="A279" s="76"/>
      <c r="F279" s="70"/>
      <c r="G279" s="70"/>
      <c r="H279" s="70"/>
      <c r="I279" s="70"/>
      <c r="J279" s="55"/>
      <c r="L279" s="56"/>
    </row>
    <row r="280" spans="1:12" x14ac:dyDescent="0.25">
      <c r="A280" s="76"/>
      <c r="F280" s="70"/>
      <c r="G280" s="70"/>
      <c r="H280" s="70"/>
      <c r="I280" s="70"/>
      <c r="J280" s="55"/>
      <c r="L280" s="56"/>
    </row>
    <row r="281" spans="1:12" x14ac:dyDescent="0.25">
      <c r="A281" s="76"/>
      <c r="F281" s="70"/>
      <c r="G281" s="70"/>
      <c r="H281" s="70"/>
      <c r="I281" s="70"/>
      <c r="J281" s="55"/>
      <c r="L281" s="56"/>
    </row>
    <row r="282" spans="1:12" x14ac:dyDescent="0.25">
      <c r="A282" s="76"/>
      <c r="F282" s="70"/>
      <c r="G282" s="70"/>
      <c r="H282" s="70"/>
      <c r="I282" s="70"/>
      <c r="J282" s="55"/>
      <c r="L282" s="56"/>
    </row>
    <row r="283" spans="1:12" x14ac:dyDescent="0.25">
      <c r="A283" s="76"/>
      <c r="F283" s="70"/>
      <c r="G283" s="70"/>
      <c r="H283" s="70"/>
      <c r="I283" s="70"/>
      <c r="J283" s="55"/>
      <c r="L283" s="56"/>
    </row>
    <row r="284" spans="1:12" x14ac:dyDescent="0.25">
      <c r="A284" s="76"/>
      <c r="F284" s="70"/>
      <c r="G284" s="70"/>
      <c r="H284" s="70"/>
      <c r="I284" s="70"/>
      <c r="J284" s="55"/>
      <c r="L284" s="56"/>
    </row>
    <row r="285" spans="1:12" x14ac:dyDescent="0.25">
      <c r="A285" s="76"/>
      <c r="F285" s="70"/>
      <c r="G285" s="70"/>
      <c r="H285" s="70"/>
      <c r="I285" s="70"/>
      <c r="J285" s="55"/>
      <c r="L285" s="56"/>
    </row>
    <row r="286" spans="1:12" x14ac:dyDescent="0.25">
      <c r="A286" s="76"/>
      <c r="F286" s="70"/>
      <c r="G286" s="70"/>
      <c r="H286" s="70"/>
      <c r="I286" s="70"/>
      <c r="J286" s="55"/>
      <c r="L286" s="56"/>
    </row>
    <row r="287" spans="1:12" x14ac:dyDescent="0.25">
      <c r="A287" s="76"/>
      <c r="F287" s="70"/>
      <c r="G287" s="70"/>
      <c r="H287" s="70"/>
      <c r="I287" s="70"/>
      <c r="J287" s="55"/>
      <c r="L287" s="56"/>
    </row>
    <row r="288" spans="1:12" x14ac:dyDescent="0.25">
      <c r="A288" s="76"/>
      <c r="F288" s="70"/>
      <c r="G288" s="70"/>
      <c r="H288" s="70"/>
      <c r="I288" s="70"/>
      <c r="J288" s="55"/>
      <c r="L288" s="56"/>
    </row>
    <row r="289" spans="1:12" x14ac:dyDescent="0.25">
      <c r="A289" s="76"/>
      <c r="F289" s="70"/>
      <c r="G289" s="70"/>
      <c r="H289" s="70"/>
      <c r="I289" s="70"/>
      <c r="J289" s="55"/>
      <c r="L289" s="56"/>
    </row>
    <row r="290" spans="1:12" x14ac:dyDescent="0.25">
      <c r="A290" s="76"/>
      <c r="F290" s="70"/>
      <c r="G290" s="70"/>
      <c r="H290" s="70"/>
      <c r="I290" s="70"/>
      <c r="J290" s="55"/>
      <c r="L290" s="56"/>
    </row>
    <row r="291" spans="1:12" x14ac:dyDescent="0.25">
      <c r="A291" s="76"/>
      <c r="F291" s="70"/>
      <c r="G291" s="70"/>
      <c r="H291" s="70"/>
      <c r="I291" s="70"/>
      <c r="J291" s="55"/>
      <c r="L291" s="56"/>
    </row>
    <row r="292" spans="1:12" x14ac:dyDescent="0.25">
      <c r="A292" s="76"/>
      <c r="F292" s="70"/>
      <c r="G292" s="70"/>
      <c r="H292" s="70"/>
      <c r="I292" s="70"/>
      <c r="J292" s="55"/>
      <c r="L292" s="56"/>
    </row>
    <row r="293" spans="1:12" x14ac:dyDescent="0.25">
      <c r="A293" s="76"/>
      <c r="F293" s="70"/>
      <c r="G293" s="70"/>
      <c r="H293" s="70"/>
      <c r="I293" s="70"/>
      <c r="J293" s="55"/>
      <c r="L293" s="56"/>
    </row>
    <row r="294" spans="1:12" x14ac:dyDescent="0.25">
      <c r="A294" s="76"/>
      <c r="F294" s="70"/>
      <c r="G294" s="70"/>
      <c r="H294" s="70"/>
      <c r="I294" s="70"/>
      <c r="J294" s="55"/>
      <c r="L294" s="56"/>
    </row>
    <row r="295" spans="1:12" x14ac:dyDescent="0.25">
      <c r="A295" s="76"/>
      <c r="F295" s="70"/>
      <c r="G295" s="70"/>
      <c r="H295" s="70"/>
      <c r="I295" s="70"/>
      <c r="J295" s="55"/>
      <c r="L295" s="56"/>
    </row>
    <row r="296" spans="1:12" x14ac:dyDescent="0.25">
      <c r="A296" s="76"/>
      <c r="F296" s="70"/>
      <c r="G296" s="70"/>
      <c r="H296" s="70"/>
      <c r="I296" s="70"/>
      <c r="J296" s="55"/>
      <c r="L296" s="56"/>
    </row>
    <row r="297" spans="1:12" x14ac:dyDescent="0.25">
      <c r="A297" s="76"/>
      <c r="F297" s="70"/>
      <c r="G297" s="70"/>
      <c r="H297" s="70"/>
      <c r="I297" s="70"/>
      <c r="J297" s="55"/>
      <c r="L297" s="56"/>
    </row>
    <row r="298" spans="1:12" x14ac:dyDescent="0.25">
      <c r="A298" s="76"/>
      <c r="F298" s="70"/>
      <c r="G298" s="70"/>
      <c r="H298" s="70"/>
      <c r="I298" s="70"/>
      <c r="J298" s="55"/>
      <c r="L298" s="56"/>
    </row>
    <row r="299" spans="1:12" x14ac:dyDescent="0.25">
      <c r="A299" s="76"/>
      <c r="F299" s="70"/>
      <c r="G299" s="70"/>
      <c r="H299" s="70"/>
      <c r="I299" s="70"/>
      <c r="J299" s="55"/>
      <c r="L299" s="56"/>
    </row>
    <row r="300" spans="1:12" x14ac:dyDescent="0.25">
      <c r="A300" s="76"/>
      <c r="F300" s="70"/>
      <c r="G300" s="70"/>
      <c r="H300" s="70"/>
      <c r="I300" s="70"/>
      <c r="J300" s="55"/>
      <c r="L300" s="56"/>
    </row>
    <row r="301" spans="1:12" x14ac:dyDescent="0.25">
      <c r="A301" s="76"/>
      <c r="F301" s="70"/>
      <c r="G301" s="70"/>
      <c r="H301" s="70"/>
      <c r="I301" s="70"/>
      <c r="J301" s="55"/>
      <c r="L301" s="56"/>
    </row>
    <row r="302" spans="1:12" x14ac:dyDescent="0.25">
      <c r="A302" s="76"/>
      <c r="F302" s="70"/>
      <c r="G302" s="70"/>
      <c r="H302" s="70"/>
      <c r="I302" s="70"/>
      <c r="J302" s="55"/>
      <c r="L302" s="56"/>
    </row>
    <row r="303" spans="1:12" x14ac:dyDescent="0.25">
      <c r="A303" s="76"/>
      <c r="F303" s="70"/>
      <c r="G303" s="70"/>
      <c r="H303" s="70"/>
      <c r="I303" s="70"/>
      <c r="J303" s="55"/>
      <c r="L303" s="56"/>
    </row>
    <row r="304" spans="1:12" x14ac:dyDescent="0.25">
      <c r="A304" s="76"/>
      <c r="F304" s="70"/>
      <c r="G304" s="70"/>
      <c r="H304" s="70"/>
      <c r="I304" s="70"/>
      <c r="J304" s="55"/>
      <c r="L304" s="56"/>
    </row>
    <row r="305" spans="1:12" x14ac:dyDescent="0.25">
      <c r="A305" s="76"/>
      <c r="F305" s="70"/>
      <c r="G305" s="70"/>
      <c r="H305" s="70"/>
      <c r="I305" s="70"/>
      <c r="J305" s="55"/>
      <c r="L305" s="56"/>
    </row>
    <row r="306" spans="1:12" x14ac:dyDescent="0.25">
      <c r="A306" s="76"/>
      <c r="F306" s="70"/>
      <c r="G306" s="70"/>
      <c r="H306" s="70"/>
      <c r="I306" s="70"/>
      <c r="J306" s="55"/>
      <c r="L306" s="56"/>
    </row>
    <row r="307" spans="1:12" x14ac:dyDescent="0.25">
      <c r="A307" s="76"/>
      <c r="F307" s="70"/>
      <c r="G307" s="70"/>
      <c r="H307" s="70"/>
      <c r="I307" s="70"/>
      <c r="J307" s="55"/>
      <c r="L307" s="56"/>
    </row>
    <row r="308" spans="1:12" x14ac:dyDescent="0.25">
      <c r="A308" s="76"/>
      <c r="F308" s="70"/>
      <c r="G308" s="70"/>
      <c r="H308" s="70"/>
      <c r="I308" s="70"/>
      <c r="J308" s="55"/>
      <c r="L308" s="56"/>
    </row>
    <row r="309" spans="1:12" x14ac:dyDescent="0.25">
      <c r="A309" s="76"/>
      <c r="F309" s="70"/>
      <c r="G309" s="70"/>
      <c r="H309" s="70"/>
      <c r="I309" s="70"/>
      <c r="J309" s="55"/>
      <c r="L309" s="56"/>
    </row>
    <row r="310" spans="1:12" x14ac:dyDescent="0.25">
      <c r="A310" s="76"/>
      <c r="F310" s="70"/>
      <c r="G310" s="70"/>
      <c r="H310" s="70"/>
      <c r="I310" s="70"/>
      <c r="J310" s="55"/>
      <c r="L310" s="56"/>
    </row>
    <row r="311" spans="1:12" x14ac:dyDescent="0.25">
      <c r="A311" s="76"/>
      <c r="F311" s="70"/>
      <c r="G311" s="70"/>
      <c r="H311" s="70"/>
      <c r="I311" s="70"/>
      <c r="J311" s="55"/>
      <c r="L311" s="56"/>
    </row>
    <row r="312" spans="1:12" x14ac:dyDescent="0.25">
      <c r="A312" s="76"/>
      <c r="F312" s="70"/>
      <c r="G312" s="70"/>
      <c r="H312" s="70"/>
      <c r="I312" s="70"/>
      <c r="J312" s="55"/>
      <c r="L312" s="56"/>
    </row>
    <row r="313" spans="1:12" x14ac:dyDescent="0.25">
      <c r="A313" s="76"/>
      <c r="F313" s="70"/>
      <c r="G313" s="70"/>
      <c r="H313" s="70"/>
      <c r="I313" s="70"/>
      <c r="J313" s="55"/>
      <c r="L313" s="56"/>
    </row>
    <row r="314" spans="1:12" x14ac:dyDescent="0.25">
      <c r="A314" s="76"/>
      <c r="F314" s="70"/>
      <c r="G314" s="70"/>
      <c r="H314" s="70"/>
      <c r="I314" s="70"/>
      <c r="J314" s="55"/>
      <c r="L314" s="56"/>
    </row>
    <row r="315" spans="1:12" x14ac:dyDescent="0.25">
      <c r="A315" s="76"/>
      <c r="F315" s="70"/>
      <c r="G315" s="70"/>
      <c r="H315" s="70"/>
      <c r="I315" s="70"/>
      <c r="J315" s="55"/>
      <c r="L315" s="56"/>
    </row>
    <row r="316" spans="1:12" x14ac:dyDescent="0.25">
      <c r="A316" s="76"/>
      <c r="F316" s="70"/>
      <c r="G316" s="70"/>
      <c r="H316" s="70"/>
      <c r="I316" s="70"/>
      <c r="J316" s="55"/>
      <c r="L316" s="56"/>
    </row>
    <row r="317" spans="1:12" x14ac:dyDescent="0.25">
      <c r="A317" s="76"/>
      <c r="F317" s="70"/>
      <c r="G317" s="70"/>
      <c r="H317" s="70"/>
      <c r="I317" s="70"/>
      <c r="J317" s="55"/>
      <c r="L317" s="56"/>
    </row>
    <row r="318" spans="1:12" x14ac:dyDescent="0.25">
      <c r="A318" s="76"/>
      <c r="F318" s="70"/>
      <c r="G318" s="70"/>
      <c r="H318" s="70"/>
      <c r="I318" s="70"/>
      <c r="J318" s="55"/>
      <c r="L318" s="56"/>
    </row>
    <row r="319" spans="1:12" x14ac:dyDescent="0.25">
      <c r="A319" s="76"/>
      <c r="F319" s="70"/>
      <c r="G319" s="70"/>
      <c r="H319" s="70"/>
      <c r="I319" s="70"/>
      <c r="J319" s="55"/>
      <c r="L319" s="56"/>
    </row>
    <row r="320" spans="1:12" x14ac:dyDescent="0.25">
      <c r="A320" s="76"/>
      <c r="F320" s="70"/>
      <c r="G320" s="70"/>
      <c r="H320" s="70"/>
      <c r="I320" s="70"/>
      <c r="J320" s="55"/>
      <c r="L320" s="56"/>
    </row>
    <row r="321" spans="1:12" x14ac:dyDescent="0.25">
      <c r="A321" s="76"/>
      <c r="F321" s="70"/>
      <c r="G321" s="70"/>
      <c r="H321" s="70"/>
      <c r="I321" s="70"/>
      <c r="J321" s="55"/>
      <c r="L321" s="56"/>
    </row>
    <row r="322" spans="1:12" x14ac:dyDescent="0.25">
      <c r="A322" s="76"/>
      <c r="F322" s="70"/>
      <c r="G322" s="70"/>
      <c r="H322" s="70"/>
      <c r="I322" s="70"/>
      <c r="J322" s="55"/>
      <c r="L322" s="56"/>
    </row>
    <row r="323" spans="1:12" x14ac:dyDescent="0.25">
      <c r="A323" s="76"/>
      <c r="F323" s="70"/>
      <c r="G323" s="70"/>
      <c r="H323" s="70"/>
      <c r="I323" s="70"/>
      <c r="J323" s="55"/>
      <c r="L323" s="56"/>
    </row>
    <row r="324" spans="1:12" x14ac:dyDescent="0.25">
      <c r="A324" s="76"/>
      <c r="F324" s="70"/>
      <c r="G324" s="70"/>
      <c r="H324" s="70"/>
      <c r="I324" s="70"/>
      <c r="J324" s="55"/>
      <c r="L324" s="56"/>
    </row>
    <row r="325" spans="1:12" x14ac:dyDescent="0.25">
      <c r="A325" s="76"/>
      <c r="F325" s="70"/>
      <c r="G325" s="70"/>
      <c r="H325" s="70"/>
      <c r="I325" s="70"/>
      <c r="J325" s="55"/>
      <c r="L325" s="56"/>
    </row>
    <row r="326" spans="1:12" x14ac:dyDescent="0.25">
      <c r="A326" s="76"/>
      <c r="F326" s="70"/>
      <c r="G326" s="70"/>
      <c r="H326" s="70"/>
      <c r="I326" s="70"/>
      <c r="J326" s="55"/>
      <c r="L326" s="56"/>
    </row>
    <row r="327" spans="1:12" x14ac:dyDescent="0.25">
      <c r="A327" s="76"/>
      <c r="F327" s="70"/>
      <c r="G327" s="70"/>
      <c r="H327" s="70"/>
      <c r="I327" s="70"/>
      <c r="J327" s="55"/>
      <c r="L327" s="56"/>
    </row>
    <row r="328" spans="1:12" x14ac:dyDescent="0.25">
      <c r="A328" s="76"/>
      <c r="F328" s="70"/>
      <c r="G328" s="70"/>
      <c r="H328" s="70"/>
      <c r="I328" s="70"/>
      <c r="J328" s="55"/>
      <c r="L328" s="56"/>
    </row>
    <row r="329" spans="1:12" x14ac:dyDescent="0.25">
      <c r="A329" s="76"/>
      <c r="F329" s="70"/>
      <c r="G329" s="70"/>
      <c r="H329" s="70"/>
      <c r="I329" s="70"/>
      <c r="J329" s="55"/>
      <c r="L329" s="56"/>
    </row>
    <row r="330" spans="1:12" x14ac:dyDescent="0.25">
      <c r="A330" s="76"/>
      <c r="F330" s="70"/>
      <c r="G330" s="70"/>
      <c r="H330" s="70"/>
      <c r="I330" s="70"/>
      <c r="J330" s="55"/>
      <c r="L330" s="56"/>
    </row>
    <row r="331" spans="1:12" x14ac:dyDescent="0.25">
      <c r="A331" s="76"/>
      <c r="F331" s="70"/>
      <c r="G331" s="70"/>
      <c r="H331" s="70"/>
      <c r="I331" s="70"/>
      <c r="J331" s="55"/>
      <c r="L331" s="56"/>
    </row>
    <row r="332" spans="1:12" x14ac:dyDescent="0.25">
      <c r="A332" s="76"/>
      <c r="F332" s="70"/>
      <c r="G332" s="70"/>
      <c r="H332" s="70"/>
      <c r="I332" s="70"/>
      <c r="J332" s="55"/>
      <c r="L332" s="56"/>
    </row>
    <row r="333" spans="1:12" x14ac:dyDescent="0.25">
      <c r="A333" s="76"/>
      <c r="F333" s="70"/>
      <c r="G333" s="70"/>
      <c r="H333" s="70"/>
      <c r="I333" s="70"/>
      <c r="J333" s="55"/>
      <c r="L333" s="56"/>
    </row>
    <row r="334" spans="1:12" x14ac:dyDescent="0.25">
      <c r="A334" s="76"/>
      <c r="F334" s="70"/>
      <c r="G334" s="70"/>
      <c r="H334" s="70"/>
      <c r="I334" s="70"/>
      <c r="J334" s="55"/>
      <c r="L334" s="56"/>
    </row>
    <row r="335" spans="1:12" x14ac:dyDescent="0.25">
      <c r="A335" s="76"/>
      <c r="F335" s="70"/>
      <c r="G335" s="70"/>
      <c r="H335" s="70"/>
      <c r="I335" s="70"/>
      <c r="J335" s="55"/>
      <c r="L335" s="56"/>
    </row>
    <row r="336" spans="1:12" x14ac:dyDescent="0.25">
      <c r="A336" s="76"/>
      <c r="F336" s="70"/>
      <c r="G336" s="70"/>
      <c r="H336" s="70"/>
      <c r="I336" s="70"/>
      <c r="J336" s="55"/>
      <c r="L336" s="56"/>
    </row>
    <row r="337" spans="1:12" x14ac:dyDescent="0.25">
      <c r="A337" s="76"/>
      <c r="F337" s="70"/>
      <c r="G337" s="70"/>
      <c r="H337" s="70"/>
      <c r="I337" s="70"/>
      <c r="J337" s="55"/>
      <c r="L337" s="56"/>
    </row>
    <row r="338" spans="1:12" x14ac:dyDescent="0.25">
      <c r="A338" s="76"/>
      <c r="F338" s="70"/>
      <c r="G338" s="70"/>
      <c r="H338" s="70"/>
      <c r="I338" s="70"/>
      <c r="J338" s="55"/>
      <c r="L338" s="56"/>
    </row>
    <row r="339" spans="1:12" x14ac:dyDescent="0.25">
      <c r="A339" s="76"/>
      <c r="F339" s="70"/>
      <c r="G339" s="70"/>
      <c r="H339" s="70"/>
      <c r="I339" s="70"/>
      <c r="J339" s="55"/>
      <c r="L339" s="56"/>
    </row>
    <row r="340" spans="1:12" x14ac:dyDescent="0.25">
      <c r="A340" s="76"/>
      <c r="F340" s="70"/>
      <c r="G340" s="70"/>
      <c r="H340" s="70"/>
      <c r="I340" s="70"/>
      <c r="J340" s="55"/>
      <c r="L340" s="56"/>
    </row>
    <row r="341" spans="1:12" x14ac:dyDescent="0.25">
      <c r="A341" s="76"/>
      <c r="F341" s="70"/>
      <c r="G341" s="70"/>
      <c r="H341" s="70"/>
      <c r="I341" s="70"/>
      <c r="J341" s="55"/>
      <c r="L341" s="56"/>
    </row>
    <row r="342" spans="1:12" x14ac:dyDescent="0.25">
      <c r="A342" s="76"/>
      <c r="F342" s="70"/>
      <c r="G342" s="70"/>
      <c r="H342" s="70"/>
      <c r="I342" s="70"/>
      <c r="J342" s="55"/>
      <c r="L342" s="56"/>
    </row>
    <row r="343" spans="1:12" x14ac:dyDescent="0.25">
      <c r="A343" s="76"/>
      <c r="F343" s="70"/>
      <c r="G343" s="70"/>
      <c r="H343" s="70"/>
      <c r="I343" s="70"/>
      <c r="J343" s="55"/>
      <c r="L343" s="56"/>
    </row>
    <row r="344" spans="1:12" x14ac:dyDescent="0.25">
      <c r="A344" s="76"/>
      <c r="F344" s="70"/>
      <c r="G344" s="70"/>
      <c r="H344" s="70"/>
      <c r="I344" s="70"/>
      <c r="J344" s="55"/>
      <c r="L344" s="56"/>
    </row>
    <row r="345" spans="1:12" x14ac:dyDescent="0.25">
      <c r="A345" s="76"/>
      <c r="F345" s="70"/>
      <c r="G345" s="70"/>
      <c r="H345" s="70"/>
      <c r="I345" s="70"/>
      <c r="J345" s="55"/>
      <c r="L345" s="56"/>
    </row>
    <row r="346" spans="1:12" x14ac:dyDescent="0.25">
      <c r="A346" s="76"/>
      <c r="F346" s="70"/>
      <c r="G346" s="70"/>
      <c r="H346" s="70"/>
      <c r="I346" s="70"/>
      <c r="J346" s="55"/>
      <c r="L346" s="56"/>
    </row>
    <row r="347" spans="1:12" x14ac:dyDescent="0.25">
      <c r="A347" s="76"/>
      <c r="F347" s="70"/>
      <c r="G347" s="70"/>
      <c r="H347" s="70"/>
      <c r="I347" s="70"/>
      <c r="J347" s="55"/>
      <c r="L347" s="56"/>
    </row>
    <row r="348" spans="1:12" x14ac:dyDescent="0.25">
      <c r="A348" s="76"/>
      <c r="F348" s="70"/>
      <c r="G348" s="70"/>
      <c r="H348" s="70"/>
      <c r="I348" s="70"/>
      <c r="J348" s="55"/>
      <c r="L348" s="56"/>
    </row>
    <row r="349" spans="1:12" x14ac:dyDescent="0.25">
      <c r="A349" s="76"/>
      <c r="F349" s="70"/>
      <c r="G349" s="70"/>
      <c r="H349" s="70"/>
      <c r="I349" s="70"/>
      <c r="J349" s="55"/>
      <c r="L349" s="56"/>
    </row>
    <row r="350" spans="1:12" x14ac:dyDescent="0.25">
      <c r="A350" s="76"/>
      <c r="F350" s="70"/>
      <c r="G350" s="70"/>
      <c r="H350" s="70"/>
      <c r="I350" s="70"/>
      <c r="J350" s="55"/>
      <c r="L350" s="56"/>
    </row>
    <row r="351" spans="1:12" x14ac:dyDescent="0.25">
      <c r="A351" s="76"/>
      <c r="F351" s="70"/>
      <c r="G351" s="70"/>
      <c r="H351" s="70"/>
      <c r="I351" s="70"/>
      <c r="J351" s="55"/>
      <c r="L351" s="56"/>
    </row>
    <row r="352" spans="1:12" x14ac:dyDescent="0.25">
      <c r="A352" s="76"/>
      <c r="F352" s="70"/>
      <c r="G352" s="70"/>
      <c r="H352" s="70"/>
      <c r="I352" s="70"/>
      <c r="J352" s="55"/>
      <c r="L352" s="56"/>
    </row>
    <row r="353" spans="1:12" x14ac:dyDescent="0.25">
      <c r="A353" s="76"/>
      <c r="F353" s="70"/>
      <c r="G353" s="70"/>
      <c r="H353" s="70"/>
      <c r="I353" s="70"/>
      <c r="L353" s="56"/>
    </row>
    <row r="354" spans="1:12" x14ac:dyDescent="0.25">
      <c r="A354" s="76"/>
      <c r="F354" s="70"/>
      <c r="G354" s="70"/>
      <c r="H354" s="70"/>
      <c r="I354" s="70"/>
      <c r="L354" s="56"/>
    </row>
    <row r="355" spans="1:12" x14ac:dyDescent="0.25">
      <c r="A355" s="76"/>
      <c r="F355" s="70"/>
      <c r="G355" s="70"/>
      <c r="H355" s="70"/>
      <c r="I355" s="70"/>
      <c r="L355" s="56"/>
    </row>
    <row r="356" spans="1:12" x14ac:dyDescent="0.25">
      <c r="A356" s="76"/>
      <c r="F356" s="70"/>
      <c r="G356" s="70"/>
      <c r="H356" s="70"/>
      <c r="I356" s="70"/>
      <c r="L356" s="56"/>
    </row>
    <row r="357" spans="1:12" x14ac:dyDescent="0.25">
      <c r="A357" s="76"/>
      <c r="F357" s="70"/>
      <c r="G357" s="70"/>
      <c r="H357" s="70"/>
      <c r="I357" s="70"/>
      <c r="L357" s="56"/>
    </row>
    <row r="358" spans="1:12" x14ac:dyDescent="0.25">
      <c r="A358" s="76"/>
      <c r="F358" s="70"/>
      <c r="G358" s="70"/>
      <c r="H358" s="70"/>
      <c r="I358" s="70"/>
      <c r="L358" s="56"/>
    </row>
    <row r="359" spans="1:12" x14ac:dyDescent="0.25">
      <c r="A359" s="76"/>
      <c r="F359" s="70"/>
      <c r="G359" s="70"/>
      <c r="H359" s="70"/>
      <c r="I359" s="70"/>
      <c r="L359" s="56"/>
    </row>
    <row r="360" spans="1:12" x14ac:dyDescent="0.25">
      <c r="A360" s="76"/>
      <c r="F360" s="70"/>
      <c r="G360" s="70"/>
      <c r="H360" s="70"/>
      <c r="I360" s="70"/>
      <c r="L360" s="56"/>
    </row>
    <row r="361" spans="1:12" x14ac:dyDescent="0.25">
      <c r="A361" s="76"/>
      <c r="F361" s="70"/>
      <c r="G361" s="70"/>
      <c r="H361" s="70"/>
      <c r="I361" s="70"/>
      <c r="L361" s="56"/>
    </row>
    <row r="362" spans="1:12" x14ac:dyDescent="0.25">
      <c r="A362" s="76"/>
      <c r="F362" s="70"/>
      <c r="G362" s="70"/>
      <c r="H362" s="70"/>
      <c r="I362" s="70"/>
      <c r="L362" s="56"/>
    </row>
    <row r="363" spans="1:12" x14ac:dyDescent="0.25">
      <c r="A363" s="76"/>
      <c r="F363" s="70"/>
      <c r="G363" s="70"/>
      <c r="H363" s="70"/>
      <c r="I363" s="70"/>
      <c r="L363" s="56"/>
    </row>
    <row r="364" spans="1:12" x14ac:dyDescent="0.25">
      <c r="A364" s="76"/>
      <c r="F364" s="70"/>
      <c r="G364" s="70"/>
      <c r="H364" s="70"/>
      <c r="I364" s="70"/>
      <c r="L364" s="56"/>
    </row>
    <row r="365" spans="1:12" x14ac:dyDescent="0.25">
      <c r="A365" s="76"/>
      <c r="F365" s="70"/>
      <c r="G365" s="70"/>
      <c r="H365" s="70"/>
      <c r="I365" s="70"/>
      <c r="L365" s="56"/>
    </row>
    <row r="366" spans="1:12" x14ac:dyDescent="0.25">
      <c r="A366" s="76"/>
      <c r="F366" s="70"/>
      <c r="G366" s="70"/>
      <c r="H366" s="70"/>
      <c r="I366" s="70"/>
      <c r="L366" s="56"/>
    </row>
    <row r="367" spans="1:12" x14ac:dyDescent="0.25">
      <c r="A367" s="76"/>
      <c r="F367" s="70"/>
      <c r="G367" s="70"/>
      <c r="H367" s="70"/>
      <c r="I367" s="70"/>
      <c r="L367" s="56"/>
    </row>
    <row r="368" spans="1:12" x14ac:dyDescent="0.25">
      <c r="A368" s="76"/>
      <c r="F368" s="70"/>
      <c r="G368" s="70"/>
      <c r="H368" s="70"/>
      <c r="I368" s="70"/>
      <c r="L368" s="56"/>
    </row>
    <row r="369" spans="1:12" x14ac:dyDescent="0.25">
      <c r="A369" s="76"/>
      <c r="F369" s="70"/>
      <c r="G369" s="70"/>
      <c r="H369" s="70"/>
      <c r="I369" s="70"/>
      <c r="L369" s="56"/>
    </row>
    <row r="370" spans="1:12" x14ac:dyDescent="0.25">
      <c r="A370" s="76"/>
      <c r="F370" s="70"/>
      <c r="G370" s="70"/>
      <c r="H370" s="70"/>
      <c r="I370" s="70"/>
      <c r="L370" s="56"/>
    </row>
    <row r="371" spans="1:12" x14ac:dyDescent="0.25">
      <c r="A371" s="76"/>
      <c r="F371" s="70"/>
      <c r="G371" s="70"/>
      <c r="H371" s="70"/>
      <c r="I371" s="70"/>
      <c r="L371" s="56"/>
    </row>
    <row r="372" spans="1:12" x14ac:dyDescent="0.25">
      <c r="A372" s="76"/>
      <c r="F372" s="70"/>
      <c r="G372" s="70"/>
      <c r="H372" s="70"/>
      <c r="I372" s="70"/>
      <c r="L372" s="56"/>
    </row>
    <row r="373" spans="1:12" x14ac:dyDescent="0.25">
      <c r="A373" s="76"/>
      <c r="F373" s="70"/>
      <c r="G373" s="70"/>
      <c r="H373" s="70"/>
      <c r="I373" s="70"/>
      <c r="L373" s="56"/>
    </row>
    <row r="374" spans="1:12" x14ac:dyDescent="0.25">
      <c r="A374" s="76"/>
      <c r="F374" s="70"/>
      <c r="G374" s="70"/>
      <c r="H374" s="70"/>
      <c r="I374" s="70"/>
      <c r="L374" s="56"/>
    </row>
    <row r="375" spans="1:12" x14ac:dyDescent="0.25">
      <c r="A375" s="76"/>
      <c r="F375" s="70"/>
      <c r="G375" s="70"/>
      <c r="H375" s="70"/>
      <c r="I375" s="70"/>
      <c r="L375" s="56"/>
    </row>
    <row r="376" spans="1:12" x14ac:dyDescent="0.25">
      <c r="A376" s="76"/>
      <c r="F376" s="70"/>
      <c r="G376" s="70"/>
      <c r="H376" s="70"/>
      <c r="I376" s="70"/>
      <c r="L376" s="56"/>
    </row>
    <row r="377" spans="1:12" x14ac:dyDescent="0.25">
      <c r="A377" s="76"/>
      <c r="F377" s="70"/>
      <c r="G377" s="70"/>
      <c r="H377" s="70"/>
      <c r="I377" s="70"/>
      <c r="L377" s="56"/>
    </row>
    <row r="378" spans="1:12" x14ac:dyDescent="0.25">
      <c r="A378" s="76"/>
      <c r="F378" s="70"/>
      <c r="G378" s="70"/>
      <c r="H378" s="70"/>
      <c r="I378" s="70"/>
      <c r="L378" s="56"/>
    </row>
    <row r="379" spans="1:12" x14ac:dyDescent="0.25">
      <c r="A379" s="76"/>
      <c r="F379" s="70"/>
      <c r="G379" s="70"/>
      <c r="H379" s="70"/>
      <c r="I379" s="70"/>
      <c r="L379" s="56"/>
    </row>
    <row r="380" spans="1:12" x14ac:dyDescent="0.25">
      <c r="A380" s="76"/>
      <c r="F380" s="70"/>
      <c r="G380" s="70"/>
      <c r="H380" s="70"/>
      <c r="I380" s="70"/>
      <c r="L380" s="56"/>
    </row>
    <row r="381" spans="1:12" x14ac:dyDescent="0.25">
      <c r="A381" s="76"/>
      <c r="F381" s="70"/>
      <c r="G381" s="70"/>
      <c r="H381" s="70"/>
      <c r="I381" s="70"/>
      <c r="L381" s="56"/>
    </row>
    <row r="382" spans="1:12" x14ac:dyDescent="0.25">
      <c r="A382" s="76"/>
      <c r="F382" s="70"/>
      <c r="G382" s="70"/>
      <c r="H382" s="70"/>
      <c r="I382" s="70"/>
      <c r="L382" s="56"/>
    </row>
    <row r="383" spans="1:12" x14ac:dyDescent="0.25">
      <c r="A383" s="76"/>
      <c r="F383" s="70"/>
      <c r="G383" s="70"/>
      <c r="H383" s="70"/>
      <c r="I383" s="70"/>
      <c r="L383" s="56"/>
    </row>
    <row r="384" spans="1:12" x14ac:dyDescent="0.25">
      <c r="A384" s="76"/>
      <c r="F384" s="70"/>
      <c r="G384" s="70"/>
      <c r="H384" s="70"/>
      <c r="I384" s="70"/>
      <c r="L384" s="56"/>
    </row>
    <row r="385" spans="1:12" x14ac:dyDescent="0.25">
      <c r="A385" s="76"/>
      <c r="F385" s="70"/>
      <c r="G385" s="70"/>
      <c r="H385" s="70"/>
      <c r="I385" s="70"/>
      <c r="L385" s="56"/>
    </row>
    <row r="386" spans="1:12" x14ac:dyDescent="0.25">
      <c r="A386" s="76"/>
      <c r="F386" s="70"/>
      <c r="G386" s="70"/>
      <c r="H386" s="70"/>
      <c r="I386" s="70"/>
      <c r="L386" s="56"/>
    </row>
    <row r="387" spans="1:12" x14ac:dyDescent="0.25">
      <c r="A387" s="76"/>
      <c r="F387" s="70"/>
      <c r="G387" s="70"/>
      <c r="H387" s="70"/>
      <c r="I387" s="70"/>
      <c r="L387" s="56"/>
    </row>
    <row r="388" spans="1:12" x14ac:dyDescent="0.25">
      <c r="A388" s="76"/>
      <c r="F388" s="70"/>
      <c r="G388" s="70"/>
      <c r="H388" s="70"/>
      <c r="I388" s="70"/>
      <c r="L388" s="56"/>
    </row>
    <row r="389" spans="1:12" x14ac:dyDescent="0.25">
      <c r="A389" s="76"/>
      <c r="F389" s="70"/>
      <c r="G389" s="70"/>
      <c r="H389" s="70"/>
      <c r="I389" s="70"/>
      <c r="L389" s="56"/>
    </row>
    <row r="390" spans="1:12" x14ac:dyDescent="0.25">
      <c r="A390" s="76"/>
      <c r="F390" s="70"/>
      <c r="G390" s="70"/>
      <c r="H390" s="70"/>
      <c r="I390" s="70"/>
      <c r="L390" s="56"/>
    </row>
    <row r="391" spans="1:12" x14ac:dyDescent="0.25">
      <c r="A391" s="76"/>
      <c r="F391" s="70"/>
      <c r="G391" s="70"/>
      <c r="H391" s="70"/>
      <c r="I391" s="70"/>
      <c r="L391" s="56"/>
    </row>
    <row r="392" spans="1:12" x14ac:dyDescent="0.25">
      <c r="A392" s="76"/>
      <c r="F392" s="70"/>
      <c r="G392" s="70"/>
      <c r="H392" s="70"/>
      <c r="I392" s="70"/>
      <c r="L392" s="56"/>
    </row>
    <row r="393" spans="1:12" x14ac:dyDescent="0.25">
      <c r="A393" s="76"/>
      <c r="F393" s="70"/>
      <c r="G393" s="70"/>
      <c r="H393" s="70"/>
      <c r="I393" s="70"/>
      <c r="L393" s="56"/>
    </row>
    <row r="394" spans="1:12" x14ac:dyDescent="0.25">
      <c r="A394" s="76"/>
      <c r="F394" s="70"/>
      <c r="G394" s="70"/>
      <c r="H394" s="70"/>
      <c r="I394" s="70"/>
      <c r="L394" s="56"/>
    </row>
    <row r="395" spans="1:12" x14ac:dyDescent="0.25">
      <c r="A395" s="76"/>
      <c r="F395" s="70"/>
      <c r="G395" s="70"/>
      <c r="H395" s="70"/>
      <c r="I395" s="70"/>
      <c r="L395" s="56"/>
    </row>
    <row r="396" spans="1:12" x14ac:dyDescent="0.25">
      <c r="A396" s="76"/>
      <c r="F396" s="70"/>
      <c r="G396" s="70"/>
      <c r="H396" s="70"/>
      <c r="I396" s="70"/>
      <c r="L396" s="56"/>
    </row>
    <row r="397" spans="1:12" x14ac:dyDescent="0.25">
      <c r="A397" s="76"/>
      <c r="F397" s="70"/>
      <c r="G397" s="70"/>
      <c r="H397" s="70"/>
      <c r="I397" s="70"/>
      <c r="L397" s="56"/>
    </row>
    <row r="398" spans="1:12" x14ac:dyDescent="0.25">
      <c r="A398" s="76"/>
      <c r="F398" s="70"/>
      <c r="G398" s="70"/>
      <c r="H398" s="70"/>
      <c r="I398" s="70"/>
      <c r="L398" s="56"/>
    </row>
    <row r="399" spans="1:12" x14ac:dyDescent="0.25">
      <c r="A399" s="76"/>
      <c r="F399" s="70"/>
      <c r="G399" s="70"/>
      <c r="H399" s="70"/>
      <c r="I399" s="70"/>
      <c r="L399" s="56"/>
    </row>
    <row r="400" spans="1:12" x14ac:dyDescent="0.25">
      <c r="A400" s="76"/>
      <c r="F400" s="70"/>
      <c r="G400" s="70"/>
      <c r="H400" s="70"/>
      <c r="I400" s="70"/>
      <c r="L400" s="56"/>
    </row>
    <row r="401" spans="1:12" x14ac:dyDescent="0.25">
      <c r="A401" s="76"/>
      <c r="F401" s="70"/>
      <c r="G401" s="70"/>
      <c r="H401" s="70"/>
      <c r="I401" s="70"/>
      <c r="L401" s="56"/>
    </row>
    <row r="402" spans="1:12" x14ac:dyDescent="0.25">
      <c r="A402" s="76"/>
      <c r="F402" s="70"/>
      <c r="G402" s="70"/>
      <c r="H402" s="70"/>
      <c r="I402" s="70"/>
      <c r="L402" s="56"/>
    </row>
    <row r="403" spans="1:12" x14ac:dyDescent="0.25">
      <c r="A403" s="76"/>
      <c r="F403" s="70"/>
      <c r="G403" s="70"/>
      <c r="H403" s="70"/>
      <c r="I403" s="70"/>
      <c r="L403" s="56"/>
    </row>
    <row r="404" spans="1:12" x14ac:dyDescent="0.25">
      <c r="A404" s="76"/>
      <c r="F404" s="70"/>
      <c r="G404" s="70"/>
      <c r="H404" s="70"/>
      <c r="I404" s="70"/>
      <c r="L404" s="56"/>
    </row>
    <row r="405" spans="1:12" x14ac:dyDescent="0.25">
      <c r="A405" s="76"/>
      <c r="F405" s="70"/>
      <c r="G405" s="70"/>
      <c r="H405" s="70"/>
      <c r="I405" s="70"/>
      <c r="L405" s="56"/>
    </row>
    <row r="406" spans="1:12" x14ac:dyDescent="0.25">
      <c r="A406" s="76"/>
      <c r="F406" s="70"/>
      <c r="G406" s="70"/>
      <c r="H406" s="70"/>
      <c r="I406" s="70"/>
      <c r="L406" s="56"/>
    </row>
    <row r="407" spans="1:12" x14ac:dyDescent="0.25">
      <c r="A407" s="76"/>
      <c r="F407" s="70"/>
      <c r="G407" s="70"/>
      <c r="H407" s="70"/>
      <c r="I407" s="70"/>
      <c r="L407" s="56"/>
    </row>
    <row r="408" spans="1:12" x14ac:dyDescent="0.25">
      <c r="A408" s="76"/>
      <c r="F408" s="70"/>
      <c r="G408" s="70"/>
      <c r="H408" s="70"/>
      <c r="I408" s="70"/>
      <c r="L408" s="56"/>
    </row>
    <row r="409" spans="1:12" x14ac:dyDescent="0.25">
      <c r="A409" s="76"/>
      <c r="F409" s="70"/>
      <c r="G409" s="70"/>
      <c r="H409" s="70"/>
      <c r="I409" s="70"/>
      <c r="L409" s="56"/>
    </row>
    <row r="410" spans="1:12" x14ac:dyDescent="0.25">
      <c r="A410" s="76"/>
      <c r="F410" s="70"/>
      <c r="G410" s="70"/>
      <c r="H410" s="70"/>
      <c r="I410" s="70"/>
      <c r="L410" s="56"/>
    </row>
    <row r="411" spans="1:12" x14ac:dyDescent="0.25">
      <c r="A411" s="76"/>
      <c r="F411" s="70"/>
      <c r="G411" s="70"/>
      <c r="H411" s="70"/>
      <c r="I411" s="70"/>
      <c r="L411" s="56"/>
    </row>
    <row r="412" spans="1:12" x14ac:dyDescent="0.25">
      <c r="A412" s="76"/>
      <c r="F412" s="70"/>
      <c r="G412" s="70"/>
      <c r="H412" s="70"/>
      <c r="I412" s="70"/>
      <c r="L412" s="56"/>
    </row>
    <row r="413" spans="1:12" x14ac:dyDescent="0.25">
      <c r="A413" s="76"/>
      <c r="F413" s="70"/>
      <c r="G413" s="70"/>
      <c r="H413" s="70"/>
      <c r="I413" s="70"/>
      <c r="L413" s="56"/>
    </row>
    <row r="414" spans="1:12" x14ac:dyDescent="0.25">
      <c r="A414" s="76"/>
      <c r="F414" s="70"/>
      <c r="G414" s="70"/>
      <c r="H414" s="70"/>
      <c r="I414" s="70"/>
      <c r="L414" s="56"/>
    </row>
    <row r="415" spans="1:12" x14ac:dyDescent="0.25">
      <c r="A415" s="76"/>
      <c r="F415" s="70"/>
      <c r="G415" s="70"/>
      <c r="H415" s="70"/>
      <c r="I415" s="70"/>
      <c r="L415" s="56"/>
    </row>
    <row r="416" spans="1:12" x14ac:dyDescent="0.25">
      <c r="A416" s="76"/>
      <c r="F416" s="70"/>
      <c r="G416" s="70"/>
      <c r="H416" s="70"/>
      <c r="I416" s="70"/>
      <c r="L416" s="56"/>
    </row>
    <row r="417" spans="1:12" x14ac:dyDescent="0.25">
      <c r="A417" s="76"/>
      <c r="F417" s="70"/>
      <c r="G417" s="70"/>
      <c r="H417" s="70"/>
      <c r="I417" s="70"/>
      <c r="L417" s="56"/>
    </row>
    <row r="418" spans="1:12" x14ac:dyDescent="0.25">
      <c r="A418" s="76"/>
      <c r="F418" s="70"/>
      <c r="G418" s="70"/>
      <c r="H418" s="70"/>
      <c r="I418" s="70"/>
      <c r="L418" s="56"/>
    </row>
    <row r="419" spans="1:12" x14ac:dyDescent="0.25">
      <c r="A419" s="76"/>
      <c r="F419" s="70"/>
      <c r="G419" s="70"/>
      <c r="H419" s="70"/>
      <c r="I419" s="70"/>
      <c r="L419" s="56"/>
    </row>
    <row r="420" spans="1:12" x14ac:dyDescent="0.25">
      <c r="A420" s="76"/>
      <c r="F420" s="70"/>
      <c r="G420" s="70"/>
      <c r="H420" s="70"/>
      <c r="I420" s="70"/>
    </row>
    <row r="421" spans="1:12" x14ac:dyDescent="0.25">
      <c r="A421" s="76"/>
      <c r="F421" s="70"/>
      <c r="G421" s="70"/>
      <c r="H421" s="70"/>
      <c r="I421" s="70"/>
    </row>
    <row r="422" spans="1:12" x14ac:dyDescent="0.25">
      <c r="A422" s="76"/>
      <c r="F422" s="70"/>
      <c r="G422" s="70"/>
      <c r="H422" s="70"/>
      <c r="I422" s="70"/>
    </row>
    <row r="423" spans="1:12" x14ac:dyDescent="0.25">
      <c r="A423" s="76"/>
      <c r="F423" s="70"/>
      <c r="G423" s="70"/>
      <c r="H423" s="70"/>
      <c r="I423" s="70"/>
    </row>
    <row r="424" spans="1:12" x14ac:dyDescent="0.25">
      <c r="A424" s="76"/>
      <c r="F424" s="70"/>
      <c r="G424" s="70"/>
      <c r="H424" s="70"/>
      <c r="I424" s="70"/>
    </row>
    <row r="425" spans="1:12" x14ac:dyDescent="0.25">
      <c r="A425" s="76"/>
      <c r="F425" s="70"/>
      <c r="G425" s="70"/>
      <c r="H425" s="70"/>
      <c r="I425" s="70"/>
    </row>
    <row r="426" spans="1:12" x14ac:dyDescent="0.25">
      <c r="A426" s="76"/>
      <c r="F426" s="70"/>
      <c r="G426" s="70"/>
      <c r="H426" s="70"/>
      <c r="I426" s="70"/>
    </row>
    <row r="427" spans="1:12" x14ac:dyDescent="0.25">
      <c r="A427" s="76"/>
      <c r="F427" s="70"/>
      <c r="G427" s="70"/>
      <c r="H427" s="70"/>
      <c r="I427" s="70"/>
    </row>
    <row r="428" spans="1:12" x14ac:dyDescent="0.25">
      <c r="A428" s="76"/>
      <c r="F428" s="70"/>
      <c r="G428" s="70"/>
      <c r="H428" s="70"/>
      <c r="I428" s="70"/>
    </row>
    <row r="429" spans="1:12" x14ac:dyDescent="0.25">
      <c r="A429" s="76"/>
      <c r="F429" s="70"/>
      <c r="G429" s="70"/>
      <c r="H429" s="70"/>
      <c r="I429" s="70"/>
    </row>
    <row r="430" spans="1:12" x14ac:dyDescent="0.25">
      <c r="A430" s="76"/>
      <c r="F430" s="70"/>
      <c r="G430" s="70"/>
      <c r="H430" s="70"/>
      <c r="I430" s="70"/>
    </row>
    <row r="431" spans="1:12" x14ac:dyDescent="0.25">
      <c r="A431" s="76"/>
      <c r="F431" s="70"/>
      <c r="G431" s="70"/>
      <c r="H431" s="70"/>
      <c r="I431" s="70"/>
    </row>
    <row r="432" spans="1:12" x14ac:dyDescent="0.25">
      <c r="A432" s="76"/>
      <c r="F432" s="70"/>
      <c r="G432" s="70"/>
      <c r="H432" s="70"/>
      <c r="I432" s="70"/>
    </row>
    <row r="433" spans="1:9" x14ac:dyDescent="0.25">
      <c r="A433" s="76"/>
      <c r="F433" s="70"/>
      <c r="G433" s="70"/>
      <c r="H433" s="70"/>
      <c r="I433" s="70"/>
    </row>
    <row r="434" spans="1:9" x14ac:dyDescent="0.25">
      <c r="A434" s="76"/>
      <c r="F434" s="70"/>
      <c r="G434" s="70"/>
      <c r="H434" s="70"/>
      <c r="I434" s="70"/>
    </row>
    <row r="435" spans="1:9" x14ac:dyDescent="0.25">
      <c r="A435" s="76"/>
      <c r="F435" s="70"/>
      <c r="G435" s="70"/>
      <c r="H435" s="70"/>
      <c r="I435" s="70"/>
    </row>
    <row r="436" spans="1:9" x14ac:dyDescent="0.25">
      <c r="A436" s="76"/>
      <c r="F436" s="70"/>
      <c r="G436" s="70"/>
      <c r="H436" s="70"/>
      <c r="I436" s="70"/>
    </row>
    <row r="437" spans="1:9" x14ac:dyDescent="0.25">
      <c r="A437" s="76"/>
      <c r="F437" s="70"/>
      <c r="G437" s="70"/>
      <c r="H437" s="70"/>
      <c r="I437" s="70"/>
    </row>
    <row r="438" spans="1:9" x14ac:dyDescent="0.25">
      <c r="A438" s="76"/>
      <c r="F438" s="70"/>
      <c r="G438" s="70"/>
      <c r="H438" s="70"/>
      <c r="I438" s="70"/>
    </row>
    <row r="439" spans="1:9" x14ac:dyDescent="0.25">
      <c r="A439" s="76"/>
      <c r="F439" s="70"/>
      <c r="G439" s="70"/>
      <c r="H439" s="70"/>
      <c r="I439" s="70"/>
    </row>
    <row r="440" spans="1:9" x14ac:dyDescent="0.25">
      <c r="A440" s="76"/>
      <c r="F440" s="70"/>
      <c r="G440" s="70"/>
      <c r="H440" s="70"/>
      <c r="I440" s="70"/>
    </row>
    <row r="441" spans="1:9" x14ac:dyDescent="0.25">
      <c r="A441" s="76"/>
      <c r="F441" s="70"/>
      <c r="G441" s="70"/>
      <c r="H441" s="70"/>
      <c r="I441" s="70"/>
    </row>
    <row r="442" spans="1:9" x14ac:dyDescent="0.25">
      <c r="A442" s="76"/>
      <c r="F442" s="70"/>
      <c r="G442" s="70"/>
      <c r="H442" s="70"/>
      <c r="I442" s="70"/>
    </row>
    <row r="443" spans="1:9" x14ac:dyDescent="0.25">
      <c r="A443" s="76"/>
      <c r="F443" s="70"/>
      <c r="G443" s="70"/>
      <c r="H443" s="70"/>
      <c r="I443" s="70"/>
    </row>
    <row r="444" spans="1:9" x14ac:dyDescent="0.25">
      <c r="A444" s="76"/>
      <c r="F444" s="70"/>
      <c r="G444" s="70"/>
      <c r="H444" s="70"/>
      <c r="I444" s="70"/>
    </row>
    <row r="445" spans="1:9" x14ac:dyDescent="0.25">
      <c r="A445" s="76"/>
      <c r="F445" s="70"/>
      <c r="G445" s="70"/>
      <c r="H445" s="70"/>
      <c r="I445" s="70"/>
    </row>
    <row r="446" spans="1:9" x14ac:dyDescent="0.25">
      <c r="A446" s="76"/>
      <c r="F446" s="70"/>
      <c r="G446" s="70"/>
      <c r="H446" s="70"/>
      <c r="I446" s="70"/>
    </row>
    <row r="447" spans="1:9" x14ac:dyDescent="0.25">
      <c r="A447" s="76"/>
      <c r="F447" s="70"/>
      <c r="G447" s="70"/>
      <c r="H447" s="70"/>
      <c r="I447" s="70"/>
    </row>
    <row r="448" spans="1:9" x14ac:dyDescent="0.25">
      <c r="A448" s="76"/>
      <c r="F448" s="70"/>
      <c r="G448" s="70"/>
      <c r="H448" s="70"/>
      <c r="I448" s="70"/>
    </row>
    <row r="449" spans="1:9" x14ac:dyDescent="0.25">
      <c r="A449" s="76"/>
      <c r="F449" s="70"/>
      <c r="G449" s="70"/>
      <c r="H449" s="70"/>
      <c r="I449" s="70"/>
    </row>
    <row r="450" spans="1:9" x14ac:dyDescent="0.25">
      <c r="A450" s="76"/>
      <c r="F450" s="70"/>
      <c r="G450" s="70"/>
      <c r="H450" s="70"/>
      <c r="I450" s="70"/>
    </row>
    <row r="451" spans="1:9" x14ac:dyDescent="0.25">
      <c r="A451" s="76"/>
      <c r="F451" s="70"/>
      <c r="G451" s="70"/>
      <c r="H451" s="70"/>
      <c r="I451" s="70"/>
    </row>
    <row r="452" spans="1:9" x14ac:dyDescent="0.25">
      <c r="A452" s="76"/>
      <c r="F452" s="70"/>
      <c r="G452" s="70"/>
      <c r="H452" s="70"/>
      <c r="I452" s="70"/>
    </row>
    <row r="453" spans="1:9" x14ac:dyDescent="0.25">
      <c r="A453" s="76"/>
      <c r="F453" s="70"/>
      <c r="G453" s="70"/>
      <c r="H453" s="70"/>
      <c r="I453" s="70"/>
    </row>
    <row r="454" spans="1:9" x14ac:dyDescent="0.25">
      <c r="A454" s="76"/>
      <c r="F454" s="70"/>
      <c r="G454" s="70"/>
      <c r="H454" s="70"/>
      <c r="I454" s="70"/>
    </row>
    <row r="455" spans="1:9" x14ac:dyDescent="0.25">
      <c r="A455" s="76"/>
      <c r="F455" s="70"/>
      <c r="G455" s="70"/>
      <c r="H455" s="70"/>
      <c r="I455" s="70"/>
    </row>
    <row r="456" spans="1:9" x14ac:dyDescent="0.25">
      <c r="A456" s="76"/>
      <c r="F456" s="70"/>
      <c r="G456" s="70"/>
      <c r="H456" s="70"/>
      <c r="I456" s="70"/>
    </row>
    <row r="457" spans="1:9" x14ac:dyDescent="0.25">
      <c r="A457" s="76"/>
      <c r="F457" s="70"/>
      <c r="G457" s="70"/>
      <c r="H457" s="70"/>
      <c r="I457" s="70"/>
    </row>
    <row r="458" spans="1:9" x14ac:dyDescent="0.25">
      <c r="A458" s="76"/>
      <c r="F458" s="70"/>
      <c r="G458" s="70"/>
      <c r="H458" s="70"/>
      <c r="I458" s="70"/>
    </row>
    <row r="459" spans="1:9" x14ac:dyDescent="0.25">
      <c r="A459" s="76"/>
      <c r="F459" s="70"/>
      <c r="G459" s="70"/>
      <c r="H459" s="70"/>
      <c r="I459" s="70"/>
    </row>
    <row r="460" spans="1:9" x14ac:dyDescent="0.25">
      <c r="A460" s="76"/>
      <c r="F460" s="70"/>
      <c r="G460" s="70"/>
      <c r="H460" s="70"/>
      <c r="I460" s="70"/>
    </row>
    <row r="461" spans="1:9" x14ac:dyDescent="0.25">
      <c r="A461" s="76"/>
      <c r="F461" s="70"/>
      <c r="G461" s="70"/>
      <c r="H461" s="70"/>
      <c r="I461" s="70"/>
    </row>
    <row r="462" spans="1:9" x14ac:dyDescent="0.25">
      <c r="A462" s="76"/>
      <c r="F462" s="70"/>
      <c r="G462" s="70"/>
      <c r="H462" s="70"/>
      <c r="I462" s="70"/>
    </row>
    <row r="463" spans="1:9" x14ac:dyDescent="0.25">
      <c r="A463" s="76"/>
      <c r="F463" s="70"/>
      <c r="G463" s="70"/>
      <c r="H463" s="70"/>
      <c r="I463" s="70"/>
    </row>
    <row r="464" spans="1:9" x14ac:dyDescent="0.25">
      <c r="A464" s="76"/>
      <c r="F464" s="70"/>
      <c r="G464" s="70"/>
      <c r="H464" s="70"/>
      <c r="I464" s="70"/>
    </row>
    <row r="465" spans="1:9" x14ac:dyDescent="0.25">
      <c r="A465" s="76"/>
      <c r="F465" s="70"/>
      <c r="G465" s="70"/>
      <c r="H465" s="70"/>
      <c r="I465" s="70"/>
    </row>
    <row r="466" spans="1:9" x14ac:dyDescent="0.25">
      <c r="A466" s="76"/>
      <c r="F466" s="70"/>
      <c r="G466" s="70"/>
      <c r="H466" s="70"/>
      <c r="I466" s="70"/>
    </row>
    <row r="467" spans="1:9" x14ac:dyDescent="0.25">
      <c r="A467" s="76"/>
      <c r="F467" s="70"/>
      <c r="G467" s="70"/>
      <c r="H467" s="70"/>
      <c r="I467" s="70"/>
    </row>
    <row r="468" spans="1:9" x14ac:dyDescent="0.25">
      <c r="A468" s="76"/>
      <c r="F468" s="70"/>
      <c r="G468" s="70"/>
      <c r="H468" s="70"/>
      <c r="I468" s="70"/>
    </row>
    <row r="469" spans="1:9" x14ac:dyDescent="0.25">
      <c r="A469" s="76"/>
      <c r="F469" s="70"/>
      <c r="G469" s="70"/>
      <c r="H469" s="70"/>
      <c r="I469" s="70"/>
    </row>
    <row r="470" spans="1:9" x14ac:dyDescent="0.25">
      <c r="A470" s="76"/>
      <c r="F470" s="70"/>
      <c r="G470" s="70"/>
      <c r="H470" s="70"/>
      <c r="I470" s="70"/>
    </row>
    <row r="471" spans="1:9" x14ac:dyDescent="0.25">
      <c r="A471" s="76"/>
      <c r="F471" s="70"/>
      <c r="G471" s="70"/>
      <c r="H471" s="70"/>
      <c r="I471" s="70"/>
    </row>
    <row r="472" spans="1:9" x14ac:dyDescent="0.25">
      <c r="A472" s="76"/>
      <c r="F472" s="70"/>
      <c r="G472" s="70"/>
      <c r="H472" s="70"/>
      <c r="I472" s="70"/>
    </row>
    <row r="473" spans="1:9" x14ac:dyDescent="0.25">
      <c r="A473" s="76"/>
      <c r="F473" s="70"/>
      <c r="G473" s="70"/>
      <c r="H473" s="70"/>
      <c r="I473" s="70"/>
    </row>
    <row r="474" spans="1:9" x14ac:dyDescent="0.25">
      <c r="A474" s="76"/>
      <c r="F474" s="70"/>
      <c r="G474" s="70"/>
      <c r="H474" s="70"/>
      <c r="I474" s="70"/>
    </row>
    <row r="475" spans="1:9" x14ac:dyDescent="0.25">
      <c r="A475" s="76"/>
      <c r="F475" s="70"/>
      <c r="G475" s="70"/>
      <c r="H475" s="70"/>
      <c r="I475" s="70"/>
    </row>
    <row r="476" spans="1:9" x14ac:dyDescent="0.25">
      <c r="A476" s="76"/>
      <c r="F476" s="70"/>
      <c r="G476" s="70"/>
      <c r="H476" s="70"/>
      <c r="I476" s="70"/>
    </row>
    <row r="477" spans="1:9" x14ac:dyDescent="0.25">
      <c r="A477" s="76"/>
      <c r="F477" s="70"/>
      <c r="G477" s="70"/>
      <c r="H477" s="70"/>
      <c r="I477" s="70"/>
    </row>
    <row r="478" spans="1:9" x14ac:dyDescent="0.25">
      <c r="A478" s="76"/>
      <c r="F478" s="70"/>
      <c r="G478" s="70"/>
      <c r="H478" s="70"/>
      <c r="I478" s="70"/>
    </row>
    <row r="479" spans="1:9" x14ac:dyDescent="0.25">
      <c r="A479" s="76"/>
      <c r="F479" s="70"/>
      <c r="G479" s="70"/>
      <c r="H479" s="70"/>
      <c r="I479" s="70"/>
    </row>
    <row r="480" spans="1:9" x14ac:dyDescent="0.25">
      <c r="A480" s="76"/>
      <c r="F480" s="70"/>
      <c r="G480" s="70"/>
      <c r="H480" s="70"/>
      <c r="I480" s="70"/>
    </row>
    <row r="481" spans="1:9" x14ac:dyDescent="0.25">
      <c r="A481" s="76"/>
      <c r="F481" s="70"/>
      <c r="G481" s="70"/>
      <c r="H481" s="70"/>
      <c r="I481" s="70"/>
    </row>
    <row r="482" spans="1:9" x14ac:dyDescent="0.25">
      <c r="A482" s="76"/>
      <c r="F482" s="70"/>
      <c r="G482" s="70"/>
      <c r="H482" s="70"/>
      <c r="I482" s="70"/>
    </row>
    <row r="483" spans="1:9" x14ac:dyDescent="0.25">
      <c r="A483" s="76"/>
      <c r="F483" s="70"/>
      <c r="G483" s="70"/>
      <c r="H483" s="70"/>
      <c r="I483" s="70"/>
    </row>
    <row r="484" spans="1:9" x14ac:dyDescent="0.25">
      <c r="A484" s="76"/>
      <c r="F484" s="70"/>
      <c r="G484" s="70"/>
      <c r="H484" s="70"/>
      <c r="I484" s="70"/>
    </row>
    <row r="485" spans="1:9" x14ac:dyDescent="0.25">
      <c r="A485" s="76"/>
      <c r="F485" s="70"/>
      <c r="G485" s="70"/>
      <c r="H485" s="70"/>
      <c r="I485" s="70"/>
    </row>
    <row r="486" spans="1:9" x14ac:dyDescent="0.25">
      <c r="A486" s="76"/>
      <c r="F486" s="70"/>
      <c r="G486" s="70"/>
      <c r="H486" s="70"/>
      <c r="I486" s="70"/>
    </row>
    <row r="487" spans="1:9" x14ac:dyDescent="0.25">
      <c r="A487" s="76"/>
      <c r="F487" s="70"/>
      <c r="G487" s="70"/>
      <c r="H487" s="70"/>
      <c r="I487" s="70"/>
    </row>
    <row r="488" spans="1:9" x14ac:dyDescent="0.25">
      <c r="A488" s="76"/>
      <c r="F488" s="70"/>
      <c r="G488" s="70"/>
      <c r="H488" s="70"/>
      <c r="I488" s="70"/>
    </row>
    <row r="489" spans="1:9" x14ac:dyDescent="0.25">
      <c r="A489" s="76"/>
      <c r="F489" s="70"/>
      <c r="G489" s="70"/>
      <c r="H489" s="70"/>
      <c r="I489" s="70"/>
    </row>
    <row r="490" spans="1:9" x14ac:dyDescent="0.25">
      <c r="A490" s="76"/>
      <c r="F490" s="70"/>
      <c r="G490" s="70"/>
      <c r="H490" s="70"/>
      <c r="I490" s="70"/>
    </row>
    <row r="491" spans="1:9" x14ac:dyDescent="0.25">
      <c r="A491" s="76"/>
      <c r="F491" s="70"/>
      <c r="G491" s="70"/>
      <c r="H491" s="70"/>
      <c r="I491" s="70"/>
    </row>
    <row r="492" spans="1:9" x14ac:dyDescent="0.25">
      <c r="A492" s="76"/>
      <c r="F492" s="70"/>
      <c r="G492" s="70"/>
      <c r="H492" s="70"/>
      <c r="I492" s="70"/>
    </row>
    <row r="493" spans="1:9" x14ac:dyDescent="0.25">
      <c r="A493" s="76"/>
      <c r="F493" s="70"/>
      <c r="G493" s="70"/>
      <c r="H493" s="70"/>
      <c r="I493" s="70"/>
    </row>
    <row r="494" spans="1:9" x14ac:dyDescent="0.25">
      <c r="A494" s="76"/>
      <c r="F494" s="70"/>
      <c r="G494" s="70"/>
      <c r="H494" s="70"/>
      <c r="I494" s="70"/>
    </row>
    <row r="495" spans="1:9" x14ac:dyDescent="0.25">
      <c r="A495" s="76"/>
      <c r="F495" s="70"/>
      <c r="G495" s="70"/>
      <c r="H495" s="70"/>
      <c r="I495" s="70"/>
    </row>
    <row r="496" spans="1:9" x14ac:dyDescent="0.25">
      <c r="A496" s="76"/>
      <c r="F496" s="70"/>
      <c r="G496" s="70"/>
      <c r="H496" s="70"/>
      <c r="I496" s="70"/>
    </row>
    <row r="497" spans="1:9" x14ac:dyDescent="0.25">
      <c r="A497" s="76"/>
      <c r="F497" s="70"/>
      <c r="G497" s="70"/>
      <c r="H497" s="70"/>
      <c r="I497" s="70"/>
    </row>
    <row r="498" spans="1:9" x14ac:dyDescent="0.25">
      <c r="A498" s="76"/>
      <c r="F498" s="70"/>
      <c r="G498" s="70"/>
      <c r="H498" s="70"/>
      <c r="I498" s="70"/>
    </row>
    <row r="499" spans="1:9" x14ac:dyDescent="0.25">
      <c r="A499" s="76"/>
      <c r="F499" s="70"/>
      <c r="G499" s="70"/>
      <c r="H499" s="70"/>
      <c r="I499" s="70"/>
    </row>
    <row r="500" spans="1:9" x14ac:dyDescent="0.25">
      <c r="A500" s="76"/>
      <c r="F500" s="70"/>
      <c r="G500" s="70"/>
      <c r="H500" s="70"/>
      <c r="I500" s="70"/>
    </row>
    <row r="501" spans="1:9" x14ac:dyDescent="0.25">
      <c r="A501" s="76"/>
      <c r="F501" s="70"/>
      <c r="G501" s="70"/>
      <c r="H501" s="70"/>
      <c r="I501" s="70"/>
    </row>
    <row r="502" spans="1:9" x14ac:dyDescent="0.25">
      <c r="A502" s="76"/>
      <c r="F502" s="70"/>
      <c r="G502" s="70"/>
      <c r="H502" s="70"/>
      <c r="I502" s="70"/>
    </row>
    <row r="503" spans="1:9" x14ac:dyDescent="0.25">
      <c r="A503" s="76"/>
      <c r="F503" s="70"/>
      <c r="G503" s="70"/>
      <c r="H503" s="70"/>
      <c r="I503" s="70"/>
    </row>
    <row r="504" spans="1:9" x14ac:dyDescent="0.25">
      <c r="A504" s="76"/>
      <c r="F504" s="70"/>
      <c r="G504" s="70"/>
      <c r="H504" s="70"/>
      <c r="I504" s="70"/>
    </row>
    <row r="505" spans="1:9" x14ac:dyDescent="0.25">
      <c r="A505" s="76"/>
      <c r="F505" s="70"/>
      <c r="G505" s="70"/>
      <c r="H505" s="70"/>
      <c r="I505" s="70"/>
    </row>
    <row r="506" spans="1:9" x14ac:dyDescent="0.25">
      <c r="A506" s="76"/>
      <c r="F506" s="70"/>
      <c r="G506" s="70"/>
      <c r="H506" s="70"/>
      <c r="I506" s="70"/>
    </row>
    <row r="507" spans="1:9" x14ac:dyDescent="0.25">
      <c r="A507" s="76"/>
      <c r="F507" s="70"/>
      <c r="G507" s="70"/>
      <c r="H507" s="70"/>
      <c r="I507" s="70"/>
    </row>
    <row r="508" spans="1:9" x14ac:dyDescent="0.25">
      <c r="A508" s="76"/>
      <c r="F508" s="70"/>
      <c r="G508" s="70"/>
      <c r="H508" s="70"/>
      <c r="I508" s="70"/>
    </row>
    <row r="509" spans="1:9" x14ac:dyDescent="0.25">
      <c r="A509" s="76"/>
      <c r="F509" s="70"/>
      <c r="G509" s="70"/>
      <c r="H509" s="70"/>
      <c r="I509" s="70"/>
    </row>
    <row r="510" spans="1:9" x14ac:dyDescent="0.25">
      <c r="A510" s="76"/>
      <c r="F510" s="70"/>
      <c r="G510" s="70"/>
      <c r="H510" s="70"/>
      <c r="I510" s="70"/>
    </row>
    <row r="511" spans="1:9" x14ac:dyDescent="0.25">
      <c r="A511" s="76"/>
      <c r="F511" s="70"/>
      <c r="G511" s="70"/>
      <c r="H511" s="70"/>
      <c r="I511" s="70"/>
    </row>
    <row r="512" spans="1:9" x14ac:dyDescent="0.25">
      <c r="A512" s="76"/>
      <c r="F512" s="70"/>
      <c r="G512" s="70"/>
      <c r="H512" s="70"/>
      <c r="I512" s="70"/>
    </row>
    <row r="513" spans="1:9" x14ac:dyDescent="0.25">
      <c r="A513" s="76"/>
      <c r="F513" s="70"/>
      <c r="G513" s="70"/>
      <c r="H513" s="70"/>
      <c r="I513" s="70"/>
    </row>
    <row r="514" spans="1:9" x14ac:dyDescent="0.25">
      <c r="A514" s="76"/>
      <c r="F514" s="70"/>
      <c r="G514" s="70"/>
      <c r="H514" s="70"/>
      <c r="I514" s="70"/>
    </row>
    <row r="515" spans="1:9" x14ac:dyDescent="0.25">
      <c r="A515" s="76"/>
      <c r="F515" s="70"/>
      <c r="G515" s="70"/>
      <c r="H515" s="70"/>
      <c r="I515" s="70"/>
    </row>
    <row r="516" spans="1:9" x14ac:dyDescent="0.25">
      <c r="A516" s="76"/>
      <c r="F516" s="70"/>
      <c r="G516" s="70"/>
      <c r="H516" s="70"/>
      <c r="I516" s="70"/>
    </row>
    <row r="517" spans="1:9" x14ac:dyDescent="0.25">
      <c r="A517" s="76"/>
      <c r="F517" s="70"/>
      <c r="G517" s="70"/>
      <c r="H517" s="70"/>
      <c r="I517" s="70"/>
    </row>
    <row r="518" spans="1:9" x14ac:dyDescent="0.25">
      <c r="A518" s="76"/>
      <c r="F518" s="70"/>
      <c r="G518" s="70"/>
      <c r="H518" s="70"/>
      <c r="I518" s="70"/>
    </row>
    <row r="519" spans="1:9" x14ac:dyDescent="0.25">
      <c r="A519" s="76"/>
      <c r="F519" s="70"/>
      <c r="G519" s="70"/>
      <c r="H519" s="70"/>
      <c r="I519" s="70"/>
    </row>
    <row r="520" spans="1:9" x14ac:dyDescent="0.25">
      <c r="A520" s="76"/>
      <c r="F520" s="70"/>
      <c r="G520" s="70"/>
      <c r="H520" s="70"/>
      <c r="I520" s="70"/>
    </row>
    <row r="521" spans="1:9" x14ac:dyDescent="0.25">
      <c r="A521" s="76"/>
      <c r="F521" s="70"/>
      <c r="G521" s="70"/>
      <c r="H521" s="70"/>
      <c r="I521" s="70"/>
    </row>
    <row r="522" spans="1:9" x14ac:dyDescent="0.25">
      <c r="A522" s="76"/>
      <c r="F522" s="70"/>
      <c r="G522" s="70"/>
      <c r="H522" s="70"/>
      <c r="I522" s="70"/>
    </row>
    <row r="523" spans="1:9" x14ac:dyDescent="0.25">
      <c r="A523" s="76"/>
      <c r="F523" s="70"/>
      <c r="G523" s="70"/>
      <c r="H523" s="70"/>
      <c r="I523" s="70"/>
    </row>
    <row r="524" spans="1:9" x14ac:dyDescent="0.25">
      <c r="A524" s="76"/>
      <c r="F524" s="70"/>
      <c r="G524" s="70"/>
      <c r="H524" s="70"/>
      <c r="I524" s="70"/>
    </row>
    <row r="525" spans="1:9" x14ac:dyDescent="0.25">
      <c r="A525" s="76"/>
      <c r="F525" s="70"/>
      <c r="G525" s="70"/>
      <c r="H525" s="70"/>
      <c r="I525" s="70"/>
    </row>
    <row r="526" spans="1:9" x14ac:dyDescent="0.25">
      <c r="A526" s="76"/>
      <c r="F526" s="70"/>
      <c r="G526" s="70"/>
      <c r="H526" s="70"/>
      <c r="I526" s="70"/>
    </row>
    <row r="527" spans="1:9" x14ac:dyDescent="0.25">
      <c r="A527" s="76"/>
      <c r="F527" s="70"/>
      <c r="G527" s="70"/>
      <c r="H527" s="70"/>
      <c r="I527" s="70"/>
    </row>
    <row r="528" spans="1:9" x14ac:dyDescent="0.25">
      <c r="A528" s="76"/>
      <c r="F528" s="70"/>
      <c r="G528" s="70"/>
      <c r="H528" s="70"/>
      <c r="I528" s="70"/>
    </row>
    <row r="529" spans="1:9" x14ac:dyDescent="0.25">
      <c r="A529" s="76"/>
      <c r="F529" s="70"/>
      <c r="G529" s="70"/>
      <c r="H529" s="70"/>
      <c r="I529" s="70"/>
    </row>
    <row r="530" spans="1:9" x14ac:dyDescent="0.25">
      <c r="A530" s="76"/>
      <c r="F530" s="70"/>
      <c r="G530" s="70"/>
      <c r="H530" s="70"/>
      <c r="I530" s="70"/>
    </row>
    <row r="531" spans="1:9" x14ac:dyDescent="0.25">
      <c r="A531" s="76"/>
      <c r="F531" s="70"/>
      <c r="G531" s="70"/>
      <c r="H531" s="70"/>
      <c r="I531" s="70"/>
    </row>
    <row r="532" spans="1:9" x14ac:dyDescent="0.25">
      <c r="A532" s="76"/>
      <c r="F532" s="70"/>
      <c r="G532" s="70"/>
      <c r="H532" s="70"/>
      <c r="I532" s="70"/>
    </row>
    <row r="533" spans="1:9" x14ac:dyDescent="0.25">
      <c r="A533" s="76"/>
      <c r="F533" s="70"/>
      <c r="G533" s="70"/>
      <c r="H533" s="70"/>
      <c r="I533" s="70"/>
    </row>
    <row r="534" spans="1:9" x14ac:dyDescent="0.25">
      <c r="A534" s="76"/>
      <c r="F534" s="70"/>
      <c r="G534" s="70"/>
      <c r="H534" s="70"/>
      <c r="I534" s="70"/>
    </row>
    <row r="535" spans="1:9" x14ac:dyDescent="0.25">
      <c r="A535" s="76"/>
      <c r="F535" s="70"/>
      <c r="G535" s="70"/>
      <c r="H535" s="70"/>
      <c r="I535" s="70"/>
    </row>
    <row r="536" spans="1:9" x14ac:dyDescent="0.25">
      <c r="A536" s="76"/>
      <c r="F536" s="70"/>
      <c r="G536" s="70"/>
      <c r="H536" s="70"/>
      <c r="I536" s="70"/>
    </row>
    <row r="537" spans="1:9" x14ac:dyDescent="0.25">
      <c r="A537" s="76"/>
      <c r="F537" s="70"/>
      <c r="G537" s="70"/>
      <c r="H537" s="70"/>
      <c r="I537" s="70"/>
    </row>
    <row r="538" spans="1:9" x14ac:dyDescent="0.25">
      <c r="A538" s="76"/>
      <c r="F538" s="70"/>
      <c r="G538" s="70"/>
      <c r="H538" s="70"/>
      <c r="I538" s="70"/>
    </row>
    <row r="539" spans="1:9" x14ac:dyDescent="0.25">
      <c r="A539" s="76"/>
      <c r="F539" s="70"/>
      <c r="G539" s="70"/>
      <c r="H539" s="70"/>
      <c r="I539" s="70"/>
    </row>
    <row r="540" spans="1:9" x14ac:dyDescent="0.25">
      <c r="A540" s="76"/>
      <c r="F540" s="70"/>
      <c r="G540" s="70"/>
      <c r="H540" s="70"/>
      <c r="I540" s="70"/>
    </row>
    <row r="541" spans="1:9" x14ac:dyDescent="0.25">
      <c r="A541" s="76"/>
      <c r="F541" s="70"/>
      <c r="G541" s="70"/>
      <c r="H541" s="70"/>
      <c r="I541" s="70"/>
    </row>
    <row r="542" spans="1:9" x14ac:dyDescent="0.25">
      <c r="A542" s="76"/>
      <c r="F542" s="70"/>
      <c r="G542" s="70"/>
      <c r="H542" s="70"/>
      <c r="I542" s="70"/>
    </row>
    <row r="543" spans="1:9" x14ac:dyDescent="0.25">
      <c r="A543" s="76"/>
      <c r="F543" s="70"/>
      <c r="G543" s="70"/>
      <c r="H543" s="70"/>
      <c r="I543" s="70"/>
    </row>
    <row r="544" spans="1:9" x14ac:dyDescent="0.25">
      <c r="A544" s="76"/>
      <c r="F544" s="70"/>
      <c r="G544" s="70"/>
      <c r="H544" s="70"/>
      <c r="I544" s="70"/>
    </row>
    <row r="545" spans="1:9" x14ac:dyDescent="0.25">
      <c r="A545" s="76"/>
      <c r="F545" s="70"/>
      <c r="G545" s="70"/>
      <c r="H545" s="70"/>
      <c r="I545" s="70"/>
    </row>
    <row r="546" spans="1:9" x14ac:dyDescent="0.25">
      <c r="A546" s="76"/>
      <c r="F546" s="70"/>
      <c r="G546" s="70"/>
      <c r="H546" s="70"/>
      <c r="I546" s="70"/>
    </row>
    <row r="547" spans="1:9" x14ac:dyDescent="0.25">
      <c r="A547" s="76"/>
      <c r="F547" s="70"/>
      <c r="G547" s="70"/>
      <c r="H547" s="70"/>
      <c r="I547" s="70"/>
    </row>
    <row r="548" spans="1:9" x14ac:dyDescent="0.25">
      <c r="A548" s="76"/>
      <c r="F548" s="70"/>
      <c r="G548" s="70"/>
      <c r="H548" s="70"/>
      <c r="I548" s="70"/>
    </row>
    <row r="549" spans="1:9" x14ac:dyDescent="0.25">
      <c r="A549" s="76"/>
      <c r="F549" s="70"/>
      <c r="G549" s="70"/>
      <c r="H549" s="70"/>
      <c r="I549" s="70"/>
    </row>
    <row r="550" spans="1:9" x14ac:dyDescent="0.25">
      <c r="A550" s="76"/>
      <c r="F550" s="70"/>
      <c r="G550" s="70"/>
      <c r="H550" s="70"/>
      <c r="I550" s="70"/>
    </row>
    <row r="551" spans="1:9" x14ac:dyDescent="0.25">
      <c r="A551" s="76"/>
      <c r="F551" s="70"/>
      <c r="G551" s="70"/>
      <c r="H551" s="70"/>
      <c r="I551" s="70"/>
    </row>
    <row r="552" spans="1:9" x14ac:dyDescent="0.25">
      <c r="A552" s="76"/>
      <c r="F552" s="70"/>
      <c r="G552" s="70"/>
      <c r="H552" s="70"/>
      <c r="I552" s="70"/>
    </row>
    <row r="553" spans="1:9" x14ac:dyDescent="0.25">
      <c r="A553" s="76"/>
      <c r="F553" s="70"/>
      <c r="G553" s="70"/>
      <c r="H553" s="70"/>
      <c r="I553" s="70"/>
    </row>
    <row r="554" spans="1:9" x14ac:dyDescent="0.25">
      <c r="A554" s="76"/>
      <c r="F554" s="70"/>
      <c r="G554" s="70"/>
      <c r="H554" s="70"/>
      <c r="I554" s="70"/>
    </row>
    <row r="555" spans="1:9" x14ac:dyDescent="0.25">
      <c r="A555" s="76"/>
      <c r="F555" s="70"/>
      <c r="G555" s="70"/>
      <c r="H555" s="70"/>
      <c r="I555" s="70"/>
    </row>
    <row r="556" spans="1:9" x14ac:dyDescent="0.25">
      <c r="A556" s="76"/>
      <c r="F556" s="70"/>
      <c r="G556" s="70"/>
      <c r="H556" s="70"/>
      <c r="I556" s="70"/>
    </row>
    <row r="557" spans="1:9" x14ac:dyDescent="0.25">
      <c r="A557" s="76"/>
      <c r="F557" s="70"/>
      <c r="G557" s="70"/>
      <c r="H557" s="70"/>
      <c r="I557" s="70"/>
    </row>
    <row r="558" spans="1:9" x14ac:dyDescent="0.25">
      <c r="A558" s="76"/>
      <c r="F558" s="70"/>
      <c r="G558" s="70"/>
      <c r="H558" s="70"/>
      <c r="I558" s="70"/>
    </row>
    <row r="559" spans="1:9" x14ac:dyDescent="0.25">
      <c r="A559" s="76"/>
      <c r="F559" s="70"/>
      <c r="G559" s="70"/>
      <c r="H559" s="70"/>
      <c r="I559" s="70"/>
    </row>
    <row r="560" spans="1:9" x14ac:dyDescent="0.25">
      <c r="A560" s="76"/>
      <c r="F560" s="70"/>
      <c r="G560" s="70"/>
      <c r="H560" s="70"/>
      <c r="I560" s="70"/>
    </row>
    <row r="561" spans="1:9" x14ac:dyDescent="0.25">
      <c r="A561" s="76"/>
      <c r="F561" s="70"/>
      <c r="G561" s="70"/>
      <c r="H561" s="70"/>
      <c r="I561" s="70"/>
    </row>
    <row r="562" spans="1:9" x14ac:dyDescent="0.25">
      <c r="A562" s="76"/>
      <c r="F562" s="70"/>
      <c r="G562" s="70"/>
      <c r="H562" s="70"/>
      <c r="I562" s="70"/>
    </row>
    <row r="563" spans="1:9" x14ac:dyDescent="0.25">
      <c r="A563" s="76"/>
      <c r="F563" s="70"/>
      <c r="G563" s="70"/>
      <c r="H563" s="70"/>
      <c r="I563" s="70"/>
    </row>
    <row r="564" spans="1:9" x14ac:dyDescent="0.25">
      <c r="A564" s="76"/>
      <c r="F564" s="70"/>
      <c r="G564" s="70"/>
      <c r="H564" s="70"/>
      <c r="I564" s="70"/>
    </row>
    <row r="565" spans="1:9" x14ac:dyDescent="0.25">
      <c r="A565" s="76"/>
      <c r="F565" s="70"/>
      <c r="G565" s="70"/>
      <c r="H565" s="70"/>
      <c r="I565" s="70"/>
    </row>
    <row r="566" spans="1:9" x14ac:dyDescent="0.25">
      <c r="A566" s="76"/>
      <c r="F566" s="70"/>
      <c r="G566" s="70"/>
      <c r="H566" s="70"/>
      <c r="I566" s="70"/>
    </row>
    <row r="567" spans="1:9" x14ac:dyDescent="0.25">
      <c r="A567" s="76"/>
      <c r="F567" s="70"/>
      <c r="G567" s="70"/>
      <c r="H567" s="70"/>
      <c r="I567" s="70"/>
    </row>
    <row r="568" spans="1:9" x14ac:dyDescent="0.25">
      <c r="A568" s="76"/>
      <c r="F568" s="70"/>
      <c r="G568" s="70"/>
      <c r="H568" s="70"/>
      <c r="I568" s="70"/>
    </row>
    <row r="569" spans="1:9" x14ac:dyDescent="0.25">
      <c r="A569" s="76"/>
      <c r="F569" s="70"/>
      <c r="G569" s="70"/>
      <c r="H569" s="70"/>
      <c r="I569" s="70"/>
    </row>
    <row r="570" spans="1:9" x14ac:dyDescent="0.25">
      <c r="A570" s="76"/>
      <c r="F570" s="70"/>
      <c r="G570" s="70"/>
      <c r="H570" s="70"/>
      <c r="I570" s="70"/>
    </row>
    <row r="571" spans="1:9" x14ac:dyDescent="0.25">
      <c r="A571" s="76"/>
      <c r="F571" s="70"/>
      <c r="G571" s="70"/>
      <c r="H571" s="70"/>
      <c r="I571" s="70"/>
    </row>
    <row r="572" spans="1:9" x14ac:dyDescent="0.25">
      <c r="A572" s="76"/>
      <c r="F572" s="70"/>
      <c r="G572" s="70"/>
      <c r="H572" s="70"/>
      <c r="I572" s="70"/>
    </row>
    <row r="573" spans="1:9" x14ac:dyDescent="0.25">
      <c r="A573" s="76"/>
      <c r="F573" s="70"/>
      <c r="G573" s="70"/>
      <c r="H573" s="70"/>
      <c r="I573" s="70"/>
    </row>
    <row r="574" spans="1:9" x14ac:dyDescent="0.25">
      <c r="A574" s="76"/>
      <c r="F574" s="70"/>
      <c r="G574" s="70"/>
      <c r="H574" s="70"/>
      <c r="I574" s="70"/>
    </row>
    <row r="575" spans="1:9" x14ac:dyDescent="0.25">
      <c r="A575" s="76"/>
      <c r="F575" s="70"/>
      <c r="G575" s="70"/>
      <c r="H575" s="70"/>
      <c r="I575" s="70"/>
    </row>
    <row r="576" spans="1:9" x14ac:dyDescent="0.25">
      <c r="A576" s="76"/>
      <c r="F576" s="70"/>
      <c r="G576" s="70"/>
      <c r="H576" s="70"/>
      <c r="I576" s="70"/>
    </row>
    <row r="577" spans="1:9" x14ac:dyDescent="0.25">
      <c r="A577" s="76"/>
      <c r="F577" s="70"/>
      <c r="G577" s="70"/>
      <c r="H577" s="70"/>
      <c r="I577" s="70"/>
    </row>
    <row r="578" spans="1:9" x14ac:dyDescent="0.25">
      <c r="A578" s="76"/>
      <c r="F578" s="70"/>
      <c r="G578" s="70"/>
      <c r="H578" s="70"/>
      <c r="I578" s="70"/>
    </row>
    <row r="579" spans="1:9" x14ac:dyDescent="0.25">
      <c r="A579" s="76"/>
      <c r="F579" s="70"/>
      <c r="G579" s="70"/>
      <c r="H579" s="70"/>
      <c r="I579" s="70"/>
    </row>
    <row r="580" spans="1:9" x14ac:dyDescent="0.25">
      <c r="A580" s="76"/>
      <c r="F580" s="70"/>
      <c r="G580" s="70"/>
      <c r="H580" s="70"/>
      <c r="I580" s="70"/>
    </row>
    <row r="581" spans="1:9" x14ac:dyDescent="0.25">
      <c r="A581" s="76"/>
      <c r="F581" s="70"/>
      <c r="G581" s="70"/>
      <c r="H581" s="70"/>
      <c r="I581" s="70"/>
    </row>
    <row r="582" spans="1:9" x14ac:dyDescent="0.25">
      <c r="A582" s="76"/>
      <c r="F582" s="70"/>
      <c r="G582" s="70"/>
      <c r="H582" s="70"/>
      <c r="I582" s="70"/>
    </row>
    <row r="583" spans="1:9" x14ac:dyDescent="0.25">
      <c r="A583" s="76"/>
      <c r="F583" s="70"/>
      <c r="G583" s="70"/>
      <c r="H583" s="70"/>
      <c r="I583" s="70"/>
    </row>
    <row r="584" spans="1:9" x14ac:dyDescent="0.25">
      <c r="A584" s="76"/>
      <c r="F584" s="70"/>
      <c r="G584" s="70"/>
      <c r="H584" s="70"/>
      <c r="I584" s="70"/>
    </row>
    <row r="585" spans="1:9" x14ac:dyDescent="0.25">
      <c r="A585" s="76"/>
      <c r="F585" s="70"/>
      <c r="G585" s="70"/>
      <c r="H585" s="70"/>
      <c r="I585" s="70"/>
    </row>
    <row r="586" spans="1:9" x14ac:dyDescent="0.25">
      <c r="A586" s="76"/>
      <c r="F586" s="70"/>
      <c r="G586" s="70"/>
      <c r="H586" s="70"/>
      <c r="I586" s="70"/>
    </row>
    <row r="587" spans="1:9" x14ac:dyDescent="0.25">
      <c r="A587" s="76"/>
      <c r="F587" s="70"/>
      <c r="G587" s="70"/>
      <c r="H587" s="70"/>
      <c r="I587" s="70"/>
    </row>
    <row r="588" spans="1:9" x14ac:dyDescent="0.25">
      <c r="A588" s="76"/>
      <c r="F588" s="70"/>
      <c r="G588" s="70"/>
      <c r="H588" s="70"/>
      <c r="I588" s="70"/>
    </row>
    <row r="589" spans="1:9" x14ac:dyDescent="0.25">
      <c r="A589" s="76"/>
      <c r="F589" s="70"/>
      <c r="G589" s="70"/>
      <c r="H589" s="70"/>
      <c r="I589" s="70"/>
    </row>
    <row r="590" spans="1:9" x14ac:dyDescent="0.25">
      <c r="A590" s="76"/>
      <c r="F590" s="70"/>
      <c r="G590" s="70"/>
      <c r="H590" s="70"/>
      <c r="I590" s="70"/>
    </row>
    <row r="591" spans="1:9" x14ac:dyDescent="0.25">
      <c r="A591" s="76"/>
      <c r="F591" s="70"/>
      <c r="G591" s="70"/>
      <c r="H591" s="70"/>
      <c r="I591" s="70"/>
    </row>
    <row r="592" spans="1:9" x14ac:dyDescent="0.25">
      <c r="A592" s="76"/>
      <c r="F592" s="70"/>
      <c r="G592" s="70"/>
      <c r="H592" s="70"/>
      <c r="I592" s="70"/>
    </row>
    <row r="593" spans="1:9" x14ac:dyDescent="0.25">
      <c r="A593" s="76"/>
      <c r="F593" s="70"/>
      <c r="G593" s="70"/>
      <c r="H593" s="70"/>
      <c r="I593" s="70"/>
    </row>
    <row r="594" spans="1:9" x14ac:dyDescent="0.25">
      <c r="A594" s="76"/>
      <c r="F594" s="70"/>
      <c r="G594" s="70"/>
      <c r="H594" s="70"/>
      <c r="I594" s="70"/>
    </row>
    <row r="595" spans="1:9" x14ac:dyDescent="0.25">
      <c r="A595" s="76"/>
      <c r="F595" s="70"/>
      <c r="G595" s="70"/>
      <c r="H595" s="70"/>
      <c r="I595" s="70"/>
    </row>
    <row r="596" spans="1:9" x14ac:dyDescent="0.25">
      <c r="A596" s="76"/>
      <c r="F596" s="70"/>
      <c r="G596" s="70"/>
      <c r="H596" s="70"/>
      <c r="I596" s="70"/>
    </row>
    <row r="597" spans="1:9" x14ac:dyDescent="0.25">
      <c r="A597" s="76"/>
      <c r="F597" s="70"/>
      <c r="G597" s="70"/>
      <c r="H597" s="70"/>
      <c r="I597" s="70"/>
    </row>
    <row r="598" spans="1:9" x14ac:dyDescent="0.25">
      <c r="A598" s="76"/>
      <c r="F598" s="70"/>
      <c r="G598" s="70"/>
      <c r="H598" s="70"/>
      <c r="I598" s="70"/>
    </row>
    <row r="599" spans="1:9" x14ac:dyDescent="0.25">
      <c r="A599" s="76"/>
      <c r="F599" s="70"/>
      <c r="G599" s="70"/>
      <c r="H599" s="70"/>
      <c r="I599" s="70"/>
    </row>
    <row r="600" spans="1:9" x14ac:dyDescent="0.25">
      <c r="A600" s="76"/>
      <c r="F600" s="70"/>
      <c r="G600" s="70"/>
      <c r="H600" s="70"/>
      <c r="I600" s="70"/>
    </row>
    <row r="601" spans="1:9" x14ac:dyDescent="0.25">
      <c r="A601" s="76"/>
      <c r="F601" s="70"/>
      <c r="G601" s="70"/>
      <c r="H601" s="70"/>
      <c r="I601" s="70"/>
    </row>
    <row r="602" spans="1:9" x14ac:dyDescent="0.25">
      <c r="A602" s="76"/>
      <c r="F602" s="70"/>
      <c r="G602" s="70"/>
      <c r="H602" s="70"/>
      <c r="I602" s="70"/>
    </row>
    <row r="603" spans="1:9" x14ac:dyDescent="0.25">
      <c r="A603" s="76"/>
      <c r="F603" s="70"/>
      <c r="G603" s="70"/>
      <c r="H603" s="70"/>
      <c r="I603" s="70"/>
    </row>
    <row r="604" spans="1:9" x14ac:dyDescent="0.25">
      <c r="A604" s="76"/>
      <c r="F604" s="70"/>
      <c r="G604" s="70"/>
      <c r="H604" s="70"/>
      <c r="I604" s="70"/>
    </row>
    <row r="605" spans="1:9" x14ac:dyDescent="0.25">
      <c r="A605" s="76"/>
      <c r="F605" s="70"/>
      <c r="G605" s="70"/>
      <c r="H605" s="70"/>
      <c r="I605" s="70"/>
    </row>
    <row r="606" spans="1:9" x14ac:dyDescent="0.25">
      <c r="A606" s="76"/>
      <c r="F606" s="70"/>
      <c r="G606" s="70"/>
      <c r="H606" s="70"/>
      <c r="I606" s="70"/>
    </row>
    <row r="607" spans="1:9" x14ac:dyDescent="0.25">
      <c r="A607" s="76"/>
      <c r="F607" s="70"/>
      <c r="G607" s="70"/>
      <c r="H607" s="70"/>
      <c r="I607" s="70"/>
    </row>
    <row r="608" spans="1:9" x14ac:dyDescent="0.25">
      <c r="A608" s="76"/>
      <c r="F608" s="70"/>
      <c r="G608" s="70"/>
      <c r="H608" s="70"/>
      <c r="I608" s="70"/>
    </row>
    <row r="609" spans="1:9" x14ac:dyDescent="0.25">
      <c r="A609" s="76"/>
      <c r="F609" s="70"/>
      <c r="G609" s="70"/>
      <c r="H609" s="70"/>
      <c r="I609" s="70"/>
    </row>
    <row r="610" spans="1:9" x14ac:dyDescent="0.25">
      <c r="A610" s="76"/>
      <c r="F610" s="70"/>
      <c r="G610" s="70"/>
      <c r="H610" s="70"/>
      <c r="I610" s="70"/>
    </row>
    <row r="611" spans="1:9" x14ac:dyDescent="0.25">
      <c r="A611" s="76"/>
      <c r="F611" s="70"/>
      <c r="G611" s="70"/>
      <c r="H611" s="70"/>
      <c r="I611" s="70"/>
    </row>
    <row r="612" spans="1:9" x14ac:dyDescent="0.25">
      <c r="A612" s="76"/>
      <c r="F612" s="70"/>
      <c r="G612" s="70"/>
      <c r="H612" s="70"/>
      <c r="I612" s="70"/>
    </row>
    <row r="613" spans="1:9" x14ac:dyDescent="0.25">
      <c r="A613" s="76"/>
      <c r="F613" s="70"/>
      <c r="G613" s="70"/>
      <c r="H613" s="70"/>
      <c r="I613" s="70"/>
    </row>
    <row r="614" spans="1:9" x14ac:dyDescent="0.25">
      <c r="A614" s="76"/>
      <c r="F614" s="70"/>
      <c r="G614" s="70"/>
      <c r="H614" s="70"/>
      <c r="I614" s="70"/>
    </row>
    <row r="615" spans="1:9" x14ac:dyDescent="0.25">
      <c r="A615" s="76"/>
      <c r="F615" s="70"/>
      <c r="G615" s="70"/>
      <c r="H615" s="70"/>
      <c r="I615" s="70"/>
    </row>
    <row r="616" spans="1:9" x14ac:dyDescent="0.25">
      <c r="A616" s="76"/>
      <c r="F616" s="70"/>
      <c r="G616" s="70"/>
      <c r="H616" s="70"/>
      <c r="I616" s="70"/>
    </row>
    <row r="617" spans="1:9" x14ac:dyDescent="0.25">
      <c r="A617" s="76"/>
      <c r="F617" s="70"/>
      <c r="G617" s="70"/>
      <c r="H617" s="70"/>
      <c r="I617" s="70"/>
    </row>
    <row r="618" spans="1:9" x14ac:dyDescent="0.25">
      <c r="A618" s="76"/>
      <c r="F618" s="70"/>
      <c r="G618" s="70"/>
      <c r="H618" s="70"/>
      <c r="I618" s="70"/>
    </row>
    <row r="619" spans="1:9" x14ac:dyDescent="0.25">
      <c r="A619" s="76"/>
      <c r="F619" s="70"/>
      <c r="G619" s="70"/>
      <c r="H619" s="70"/>
      <c r="I619" s="70"/>
    </row>
    <row r="620" spans="1:9" x14ac:dyDescent="0.25">
      <c r="A620" s="76"/>
      <c r="F620" s="70"/>
      <c r="G620" s="70"/>
      <c r="H620" s="70"/>
      <c r="I620" s="70"/>
    </row>
    <row r="621" spans="1:9" x14ac:dyDescent="0.25">
      <c r="A621" s="76"/>
      <c r="F621" s="70"/>
      <c r="G621" s="70"/>
      <c r="H621" s="70"/>
      <c r="I621" s="70"/>
    </row>
    <row r="622" spans="1:9" x14ac:dyDescent="0.25">
      <c r="A622" s="76"/>
      <c r="F622" s="70"/>
      <c r="G622" s="70"/>
      <c r="H622" s="70"/>
      <c r="I622" s="70"/>
    </row>
    <row r="623" spans="1:9" x14ac:dyDescent="0.25">
      <c r="A623" s="76"/>
      <c r="F623" s="70"/>
      <c r="G623" s="70"/>
      <c r="H623" s="70"/>
      <c r="I623" s="70"/>
    </row>
    <row r="624" spans="1:9" x14ac:dyDescent="0.25">
      <c r="A624" s="76"/>
      <c r="F624" s="70"/>
      <c r="G624" s="70"/>
      <c r="H624" s="70"/>
      <c r="I624" s="70"/>
    </row>
    <row r="625" spans="1:9" x14ac:dyDescent="0.25">
      <c r="A625" s="76"/>
      <c r="F625" s="70"/>
      <c r="G625" s="70"/>
      <c r="H625" s="70"/>
      <c r="I625" s="70"/>
    </row>
    <row r="626" spans="1:9" x14ac:dyDescent="0.25">
      <c r="A626" s="76"/>
      <c r="F626" s="70"/>
      <c r="G626" s="70"/>
      <c r="H626" s="70"/>
      <c r="I626" s="70"/>
    </row>
    <row r="627" spans="1:9" x14ac:dyDescent="0.25">
      <c r="A627" s="76"/>
      <c r="F627" s="70"/>
      <c r="G627" s="70"/>
      <c r="H627" s="70"/>
      <c r="I627" s="70"/>
    </row>
    <row r="628" spans="1:9" x14ac:dyDescent="0.25">
      <c r="A628" s="76"/>
      <c r="F628" s="70"/>
      <c r="G628" s="70"/>
      <c r="H628" s="70"/>
      <c r="I628" s="70"/>
    </row>
    <row r="629" spans="1:9" x14ac:dyDescent="0.25">
      <c r="A629" s="76"/>
      <c r="F629" s="70"/>
      <c r="G629" s="70"/>
      <c r="H629" s="70"/>
      <c r="I629" s="70"/>
    </row>
    <row r="630" spans="1:9" x14ac:dyDescent="0.25">
      <c r="A630" s="76"/>
      <c r="F630" s="70"/>
      <c r="G630" s="70"/>
      <c r="H630" s="70"/>
      <c r="I630" s="70"/>
    </row>
    <row r="631" spans="1:9" x14ac:dyDescent="0.25">
      <c r="A631" s="76"/>
      <c r="F631" s="70"/>
      <c r="G631" s="70"/>
      <c r="H631" s="70"/>
      <c r="I631" s="70"/>
    </row>
    <row r="632" spans="1:9" x14ac:dyDescent="0.25">
      <c r="A632" s="76"/>
      <c r="F632" s="70"/>
      <c r="G632" s="70"/>
      <c r="H632" s="70"/>
      <c r="I632" s="70"/>
    </row>
    <row r="633" spans="1:9" x14ac:dyDescent="0.25">
      <c r="A633" s="76"/>
      <c r="F633" s="70"/>
      <c r="G633" s="70"/>
      <c r="H633" s="70"/>
      <c r="I633" s="70"/>
    </row>
    <row r="634" spans="1:9" x14ac:dyDescent="0.25">
      <c r="A634" s="76"/>
      <c r="F634" s="70"/>
      <c r="G634" s="70"/>
      <c r="H634" s="70"/>
      <c r="I634" s="70"/>
    </row>
    <row r="635" spans="1:9" x14ac:dyDescent="0.25">
      <c r="A635" s="76"/>
      <c r="F635" s="70"/>
      <c r="G635" s="70"/>
      <c r="H635" s="70"/>
      <c r="I635" s="70"/>
    </row>
    <row r="636" spans="1:9" x14ac:dyDescent="0.25">
      <c r="A636" s="76"/>
      <c r="F636" s="70"/>
      <c r="G636" s="70"/>
      <c r="H636" s="70"/>
      <c r="I636" s="70"/>
    </row>
    <row r="637" spans="1:9" x14ac:dyDescent="0.25">
      <c r="A637" s="76"/>
      <c r="F637" s="70"/>
      <c r="G637" s="70"/>
      <c r="H637" s="70"/>
      <c r="I637" s="70"/>
    </row>
    <row r="638" spans="1:9" x14ac:dyDescent="0.25">
      <c r="A638" s="76"/>
      <c r="F638" s="70"/>
      <c r="G638" s="70"/>
      <c r="H638" s="70"/>
      <c r="I638" s="70"/>
    </row>
    <row r="639" spans="1:9" x14ac:dyDescent="0.25">
      <c r="A639" s="76"/>
      <c r="F639" s="70"/>
      <c r="G639" s="70"/>
      <c r="H639" s="70"/>
      <c r="I639" s="70"/>
    </row>
    <row r="640" spans="1:9" x14ac:dyDescent="0.25">
      <c r="A640" s="76"/>
      <c r="F640" s="70"/>
      <c r="G640" s="70"/>
      <c r="H640" s="70"/>
      <c r="I640" s="70"/>
    </row>
    <row r="641" spans="1:9" x14ac:dyDescent="0.25">
      <c r="A641" s="76"/>
      <c r="F641" s="70"/>
      <c r="G641" s="70"/>
      <c r="H641" s="70"/>
      <c r="I641" s="70"/>
    </row>
    <row r="642" spans="1:9" x14ac:dyDescent="0.25">
      <c r="A642" s="76"/>
      <c r="F642" s="70"/>
      <c r="G642" s="70"/>
      <c r="H642" s="70"/>
      <c r="I642" s="70"/>
    </row>
    <row r="643" spans="1:9" x14ac:dyDescent="0.25">
      <c r="A643" s="76"/>
      <c r="F643" s="70"/>
      <c r="G643" s="70"/>
      <c r="H643" s="70"/>
      <c r="I643" s="70"/>
    </row>
    <row r="644" spans="1:9" x14ac:dyDescent="0.25">
      <c r="A644" s="76"/>
      <c r="F644" s="70"/>
      <c r="G644" s="70"/>
      <c r="H644" s="70"/>
      <c r="I644" s="70"/>
    </row>
    <row r="645" spans="1:9" x14ac:dyDescent="0.25">
      <c r="A645" s="76"/>
      <c r="F645" s="70"/>
      <c r="G645" s="70"/>
      <c r="H645" s="70"/>
      <c r="I645" s="70"/>
    </row>
    <row r="646" spans="1:9" x14ac:dyDescent="0.25">
      <c r="A646" s="76"/>
      <c r="F646" s="70"/>
      <c r="G646" s="70"/>
      <c r="H646" s="70"/>
      <c r="I646" s="70"/>
    </row>
    <row r="647" spans="1:9" x14ac:dyDescent="0.25">
      <c r="A647" s="76"/>
      <c r="F647" s="70"/>
      <c r="G647" s="70"/>
      <c r="H647" s="70"/>
      <c r="I647" s="70"/>
    </row>
    <row r="648" spans="1:9" x14ac:dyDescent="0.25">
      <c r="A648" s="76"/>
      <c r="F648" s="70"/>
      <c r="G648" s="70"/>
      <c r="H648" s="70"/>
      <c r="I648" s="70"/>
    </row>
    <row r="649" spans="1:9" x14ac:dyDescent="0.25">
      <c r="A649" s="76"/>
      <c r="F649" s="70"/>
      <c r="G649" s="70"/>
      <c r="H649" s="70"/>
      <c r="I649" s="70"/>
    </row>
    <row r="650" spans="1:9" x14ac:dyDescent="0.25">
      <c r="A650" s="76"/>
      <c r="F650" s="70"/>
      <c r="G650" s="70"/>
      <c r="H650" s="70"/>
      <c r="I650" s="70"/>
    </row>
    <row r="651" spans="1:9" x14ac:dyDescent="0.25">
      <c r="A651" s="76"/>
      <c r="F651" s="70"/>
      <c r="G651" s="70"/>
      <c r="H651" s="70"/>
      <c r="I651" s="70"/>
    </row>
    <row r="652" spans="1:9" x14ac:dyDescent="0.25">
      <c r="A652" s="76"/>
      <c r="F652" s="70"/>
      <c r="G652" s="70"/>
      <c r="H652" s="70"/>
      <c r="I652" s="70"/>
    </row>
    <row r="653" spans="1:9" x14ac:dyDescent="0.25">
      <c r="A653" s="76"/>
      <c r="F653" s="70"/>
      <c r="G653" s="70"/>
      <c r="H653" s="70"/>
      <c r="I653" s="70"/>
    </row>
    <row r="654" spans="1:9" x14ac:dyDescent="0.25">
      <c r="A654" s="76"/>
      <c r="F654" s="70"/>
      <c r="G654" s="70"/>
      <c r="H654" s="70"/>
      <c r="I654" s="70"/>
    </row>
    <row r="655" spans="1:9" x14ac:dyDescent="0.25">
      <c r="A655" s="76"/>
      <c r="F655" s="70"/>
      <c r="G655" s="70"/>
      <c r="H655" s="70"/>
      <c r="I655" s="70"/>
    </row>
    <row r="656" spans="1:9" x14ac:dyDescent="0.25">
      <c r="A656" s="76"/>
      <c r="F656" s="70"/>
      <c r="G656" s="70"/>
      <c r="H656" s="70"/>
      <c r="I656" s="70"/>
    </row>
    <row r="657" spans="1:9" x14ac:dyDescent="0.25">
      <c r="A657" s="76"/>
      <c r="F657" s="70"/>
      <c r="G657" s="70"/>
      <c r="H657" s="70"/>
      <c r="I657" s="70"/>
    </row>
    <row r="658" spans="1:9" x14ac:dyDescent="0.25">
      <c r="A658" s="76"/>
      <c r="F658" s="70"/>
      <c r="G658" s="70"/>
      <c r="H658" s="70"/>
      <c r="I658" s="70"/>
    </row>
    <row r="659" spans="1:9" x14ac:dyDescent="0.25">
      <c r="A659" s="76"/>
      <c r="F659" s="70"/>
      <c r="G659" s="70"/>
      <c r="H659" s="70"/>
      <c r="I659" s="70"/>
    </row>
    <row r="660" spans="1:9" x14ac:dyDescent="0.25">
      <c r="A660" s="76"/>
      <c r="F660" s="70"/>
      <c r="G660" s="70"/>
      <c r="H660" s="70"/>
      <c r="I660" s="70"/>
    </row>
    <row r="661" spans="1:9" x14ac:dyDescent="0.25">
      <c r="A661" s="76"/>
      <c r="F661" s="70"/>
      <c r="G661" s="70"/>
      <c r="H661" s="70"/>
      <c r="I661" s="70"/>
    </row>
    <row r="662" spans="1:9" x14ac:dyDescent="0.25">
      <c r="A662" s="76"/>
      <c r="F662" s="70"/>
      <c r="G662" s="70"/>
      <c r="H662" s="70"/>
      <c r="I662" s="70"/>
    </row>
    <row r="663" spans="1:9" x14ac:dyDescent="0.25">
      <c r="A663" s="76"/>
      <c r="F663" s="70"/>
      <c r="G663" s="70"/>
      <c r="H663" s="70"/>
      <c r="I663" s="70"/>
    </row>
    <row r="664" spans="1:9" x14ac:dyDescent="0.25">
      <c r="A664" s="76"/>
      <c r="F664" s="70"/>
      <c r="G664" s="70"/>
      <c r="H664" s="70"/>
      <c r="I664" s="70"/>
    </row>
    <row r="665" spans="1:9" x14ac:dyDescent="0.25">
      <c r="A665" s="76"/>
      <c r="F665" s="70"/>
      <c r="G665" s="70"/>
      <c r="H665" s="70"/>
      <c r="I665" s="70"/>
    </row>
    <row r="666" spans="1:9" x14ac:dyDescent="0.25">
      <c r="A666" s="76"/>
      <c r="F666" s="70"/>
      <c r="G666" s="70"/>
      <c r="H666" s="70"/>
      <c r="I666" s="70"/>
    </row>
    <row r="667" spans="1:9" x14ac:dyDescent="0.25">
      <c r="A667" s="76"/>
      <c r="F667" s="70"/>
      <c r="G667" s="70"/>
      <c r="H667" s="70"/>
      <c r="I667" s="70"/>
    </row>
    <row r="668" spans="1:9" x14ac:dyDescent="0.25">
      <c r="A668" s="76"/>
      <c r="F668" s="70"/>
      <c r="G668" s="70"/>
      <c r="H668" s="70"/>
      <c r="I668" s="70"/>
    </row>
    <row r="669" spans="1:9" x14ac:dyDescent="0.25">
      <c r="A669" s="76"/>
      <c r="F669" s="70"/>
      <c r="G669" s="70"/>
      <c r="H669" s="70"/>
      <c r="I669" s="70"/>
    </row>
    <row r="670" spans="1:9" x14ac:dyDescent="0.25">
      <c r="A670" s="76"/>
      <c r="F670" s="70"/>
      <c r="G670" s="70"/>
      <c r="H670" s="70"/>
      <c r="I670" s="70"/>
    </row>
    <row r="671" spans="1:9" x14ac:dyDescent="0.25">
      <c r="A671" s="76"/>
      <c r="F671" s="70"/>
      <c r="G671" s="70"/>
      <c r="H671" s="70"/>
      <c r="I671" s="70"/>
    </row>
    <row r="672" spans="1:9" x14ac:dyDescent="0.25">
      <c r="A672" s="76"/>
      <c r="F672" s="70"/>
      <c r="G672" s="70"/>
      <c r="H672" s="70"/>
      <c r="I672" s="70"/>
    </row>
    <row r="673" spans="1:9" x14ac:dyDescent="0.25">
      <c r="A673" s="76"/>
      <c r="F673" s="70"/>
      <c r="G673" s="70"/>
      <c r="H673" s="70"/>
      <c r="I673" s="70"/>
    </row>
    <row r="674" spans="1:9" x14ac:dyDescent="0.25">
      <c r="A674" s="76"/>
      <c r="F674" s="70"/>
      <c r="G674" s="70"/>
      <c r="H674" s="70"/>
      <c r="I674" s="70"/>
    </row>
    <row r="675" spans="1:9" x14ac:dyDescent="0.25">
      <c r="A675" s="76"/>
      <c r="F675" s="70"/>
      <c r="G675" s="70"/>
      <c r="H675" s="70"/>
      <c r="I675" s="70"/>
    </row>
    <row r="676" spans="1:9" x14ac:dyDescent="0.25">
      <c r="A676" s="76"/>
      <c r="F676" s="70"/>
      <c r="G676" s="70"/>
      <c r="H676" s="70"/>
      <c r="I676" s="70"/>
    </row>
    <row r="677" spans="1:9" x14ac:dyDescent="0.25">
      <c r="A677" s="76"/>
      <c r="F677" s="70"/>
      <c r="G677" s="70"/>
      <c r="H677" s="70"/>
      <c r="I677" s="70"/>
    </row>
    <row r="678" spans="1:9" x14ac:dyDescent="0.25">
      <c r="A678" s="76"/>
      <c r="F678" s="70"/>
      <c r="G678" s="70"/>
      <c r="H678" s="70"/>
      <c r="I678" s="70"/>
    </row>
    <row r="679" spans="1:9" x14ac:dyDescent="0.25">
      <c r="A679" s="76"/>
      <c r="F679" s="70"/>
      <c r="G679" s="70"/>
      <c r="H679" s="70"/>
      <c r="I679" s="70"/>
    </row>
    <row r="680" spans="1:9" x14ac:dyDescent="0.25">
      <c r="A680" s="76"/>
      <c r="F680" s="70"/>
      <c r="G680" s="70"/>
      <c r="H680" s="70"/>
      <c r="I680" s="70"/>
    </row>
    <row r="681" spans="1:9" x14ac:dyDescent="0.25">
      <c r="A681" s="76"/>
      <c r="F681" s="70"/>
      <c r="G681" s="70"/>
      <c r="H681" s="70"/>
      <c r="I681" s="70"/>
    </row>
    <row r="682" spans="1:9" x14ac:dyDescent="0.25">
      <c r="A682" s="76"/>
      <c r="F682" s="70"/>
      <c r="G682" s="70"/>
      <c r="H682" s="70"/>
      <c r="I682" s="70"/>
    </row>
    <row r="683" spans="1:9" x14ac:dyDescent="0.25">
      <c r="A683" s="76"/>
      <c r="F683" s="70"/>
      <c r="G683" s="70"/>
      <c r="H683" s="70"/>
      <c r="I683" s="70"/>
    </row>
    <row r="684" spans="1:9" x14ac:dyDescent="0.25">
      <c r="A684" s="76"/>
      <c r="F684" s="70"/>
      <c r="G684" s="70"/>
      <c r="H684" s="70"/>
      <c r="I684" s="70"/>
    </row>
    <row r="685" spans="1:9" x14ac:dyDescent="0.25">
      <c r="A685" s="76"/>
      <c r="F685" s="70"/>
      <c r="G685" s="70"/>
      <c r="H685" s="70"/>
      <c r="I685" s="70"/>
    </row>
    <row r="686" spans="1:9" x14ac:dyDescent="0.25">
      <c r="A686" s="76"/>
      <c r="F686" s="70"/>
      <c r="G686" s="70"/>
      <c r="H686" s="70"/>
      <c r="I686" s="70"/>
    </row>
    <row r="687" spans="1:9" x14ac:dyDescent="0.25">
      <c r="A687" s="76"/>
      <c r="F687" s="70"/>
      <c r="G687" s="70"/>
      <c r="H687" s="70"/>
      <c r="I687" s="70"/>
    </row>
    <row r="688" spans="1:9" x14ac:dyDescent="0.25">
      <c r="A688" s="76"/>
      <c r="F688" s="70"/>
      <c r="G688" s="70"/>
      <c r="H688" s="70"/>
      <c r="I688" s="70"/>
    </row>
    <row r="689" spans="1:9" x14ac:dyDescent="0.25">
      <c r="A689" s="76"/>
      <c r="F689" s="70"/>
      <c r="G689" s="70"/>
      <c r="H689" s="70"/>
      <c r="I689" s="70"/>
    </row>
    <row r="690" spans="1:9" x14ac:dyDescent="0.25">
      <c r="A690" s="76"/>
      <c r="F690" s="70"/>
      <c r="G690" s="70"/>
      <c r="H690" s="70"/>
      <c r="I690" s="70"/>
    </row>
    <row r="691" spans="1:9" x14ac:dyDescent="0.25">
      <c r="A691" s="76"/>
      <c r="F691" s="70"/>
      <c r="G691" s="70"/>
      <c r="H691" s="70"/>
      <c r="I691" s="70"/>
    </row>
    <row r="692" spans="1:9" x14ac:dyDescent="0.25">
      <c r="A692" s="76"/>
      <c r="F692" s="70"/>
      <c r="G692" s="70"/>
      <c r="H692" s="70"/>
      <c r="I692" s="70"/>
    </row>
    <row r="693" spans="1:9" x14ac:dyDescent="0.25">
      <c r="A693" s="76"/>
      <c r="F693" s="70"/>
      <c r="G693" s="70"/>
      <c r="H693" s="70"/>
      <c r="I693" s="70"/>
    </row>
    <row r="694" spans="1:9" x14ac:dyDescent="0.25">
      <c r="A694" s="76"/>
      <c r="F694" s="70"/>
      <c r="G694" s="70"/>
      <c r="H694" s="70"/>
      <c r="I694" s="70"/>
    </row>
    <row r="695" spans="1:9" x14ac:dyDescent="0.25">
      <c r="A695" s="76"/>
      <c r="F695" s="70"/>
      <c r="G695" s="70"/>
      <c r="H695" s="70"/>
      <c r="I695" s="70"/>
    </row>
    <row r="696" spans="1:9" x14ac:dyDescent="0.25">
      <c r="A696" s="76"/>
      <c r="F696" s="70"/>
      <c r="G696" s="70"/>
      <c r="H696" s="70"/>
      <c r="I696" s="70"/>
    </row>
    <row r="697" spans="1:9" x14ac:dyDescent="0.25">
      <c r="A697" s="76"/>
      <c r="F697" s="70"/>
      <c r="G697" s="70"/>
      <c r="H697" s="70"/>
      <c r="I697" s="70"/>
    </row>
    <row r="698" spans="1:9" x14ac:dyDescent="0.25">
      <c r="A698" s="76"/>
      <c r="F698" s="70"/>
      <c r="G698" s="70"/>
      <c r="H698" s="70"/>
      <c r="I698" s="70"/>
    </row>
    <row r="699" spans="1:9" x14ac:dyDescent="0.25">
      <c r="A699" s="76"/>
      <c r="F699" s="70"/>
      <c r="G699" s="70"/>
      <c r="H699" s="70"/>
      <c r="I699" s="70"/>
    </row>
    <row r="700" spans="1:9" x14ac:dyDescent="0.25">
      <c r="A700" s="76"/>
      <c r="F700" s="70"/>
      <c r="G700" s="70"/>
      <c r="H700" s="70"/>
      <c r="I700" s="70"/>
    </row>
    <row r="701" spans="1:9" x14ac:dyDescent="0.25">
      <c r="A701" s="76"/>
      <c r="F701" s="70"/>
      <c r="G701" s="70"/>
      <c r="H701" s="70"/>
      <c r="I701" s="70"/>
    </row>
    <row r="702" spans="1:9" x14ac:dyDescent="0.25">
      <c r="A702" s="76"/>
      <c r="F702" s="70"/>
      <c r="G702" s="70"/>
      <c r="H702" s="70"/>
      <c r="I702" s="70"/>
    </row>
    <row r="703" spans="1:9" x14ac:dyDescent="0.25">
      <c r="A703" s="76"/>
      <c r="F703" s="70"/>
      <c r="G703" s="70"/>
      <c r="H703" s="70"/>
      <c r="I703" s="70"/>
    </row>
    <row r="704" spans="1:9" x14ac:dyDescent="0.25">
      <c r="A704" s="76"/>
      <c r="F704" s="70"/>
      <c r="G704" s="70"/>
      <c r="H704" s="70"/>
      <c r="I704" s="70"/>
    </row>
    <row r="705" spans="1:9" x14ac:dyDescent="0.25">
      <c r="A705" s="76"/>
      <c r="F705" s="70"/>
      <c r="G705" s="70"/>
      <c r="H705" s="70"/>
      <c r="I705" s="70"/>
    </row>
    <row r="706" spans="1:9" x14ac:dyDescent="0.25">
      <c r="A706" s="76"/>
      <c r="F706" s="70"/>
      <c r="G706" s="70"/>
      <c r="H706" s="70"/>
      <c r="I706" s="70"/>
    </row>
    <row r="707" spans="1:9" x14ac:dyDescent="0.25">
      <c r="A707" s="76"/>
      <c r="F707" s="70"/>
      <c r="G707" s="70"/>
      <c r="H707" s="70"/>
      <c r="I707" s="70"/>
    </row>
    <row r="708" spans="1:9" x14ac:dyDescent="0.25">
      <c r="A708" s="76"/>
      <c r="F708" s="70"/>
      <c r="G708" s="70"/>
      <c r="H708" s="70"/>
      <c r="I708" s="70"/>
    </row>
    <row r="709" spans="1:9" x14ac:dyDescent="0.25">
      <c r="A709" s="76"/>
      <c r="F709" s="70"/>
      <c r="G709" s="70"/>
      <c r="H709" s="70"/>
      <c r="I709" s="70"/>
    </row>
    <row r="710" spans="1:9" x14ac:dyDescent="0.25">
      <c r="A710" s="76"/>
      <c r="F710" s="70"/>
      <c r="G710" s="70"/>
      <c r="H710" s="70"/>
      <c r="I710" s="70"/>
    </row>
    <row r="711" spans="1:9" x14ac:dyDescent="0.25">
      <c r="A711" s="76"/>
      <c r="F711" s="70"/>
      <c r="G711" s="70"/>
      <c r="H711" s="70"/>
      <c r="I711" s="70"/>
    </row>
    <row r="712" spans="1:9" x14ac:dyDescent="0.25">
      <c r="A712" s="76"/>
      <c r="F712" s="70"/>
      <c r="G712" s="70"/>
      <c r="H712" s="70"/>
      <c r="I712" s="70"/>
    </row>
    <row r="713" spans="1:9" x14ac:dyDescent="0.25">
      <c r="A713" s="76"/>
      <c r="F713" s="70"/>
      <c r="G713" s="70"/>
      <c r="H713" s="70"/>
      <c r="I713" s="70"/>
    </row>
    <row r="714" spans="1:9" x14ac:dyDescent="0.25">
      <c r="A714" s="76"/>
      <c r="F714" s="70"/>
      <c r="G714" s="70"/>
      <c r="H714" s="70"/>
      <c r="I714" s="70"/>
    </row>
    <row r="715" spans="1:9" x14ac:dyDescent="0.25">
      <c r="A715" s="76"/>
      <c r="F715" s="70"/>
      <c r="G715" s="70"/>
      <c r="H715" s="70"/>
      <c r="I715" s="70"/>
    </row>
    <row r="716" spans="1:9" x14ac:dyDescent="0.25">
      <c r="A716" s="76"/>
      <c r="F716" s="70"/>
      <c r="G716" s="70"/>
      <c r="H716" s="70"/>
      <c r="I716" s="70"/>
    </row>
    <row r="717" spans="1:9" x14ac:dyDescent="0.25">
      <c r="A717" s="76"/>
      <c r="F717" s="70"/>
      <c r="G717" s="70"/>
      <c r="H717" s="70"/>
      <c r="I717" s="70"/>
    </row>
    <row r="718" spans="1:9" x14ac:dyDescent="0.25">
      <c r="A718" s="76"/>
      <c r="F718" s="70"/>
      <c r="G718" s="70"/>
      <c r="H718" s="70"/>
      <c r="I718" s="70"/>
    </row>
    <row r="719" spans="1:9" x14ac:dyDescent="0.25">
      <c r="A719" s="76"/>
      <c r="F719" s="70"/>
      <c r="G719" s="70"/>
      <c r="H719" s="70"/>
      <c r="I719" s="70"/>
    </row>
    <row r="720" spans="1:9" x14ac:dyDescent="0.25">
      <c r="A720" s="76"/>
      <c r="F720" s="70"/>
      <c r="G720" s="70"/>
      <c r="H720" s="70"/>
      <c r="I720" s="70"/>
    </row>
    <row r="721" spans="1:9" x14ac:dyDescent="0.25">
      <c r="A721" s="76"/>
      <c r="F721" s="70"/>
      <c r="G721" s="70"/>
      <c r="H721" s="70"/>
      <c r="I721" s="70"/>
    </row>
    <row r="722" spans="1:9" x14ac:dyDescent="0.25">
      <c r="A722" s="76"/>
      <c r="F722" s="70"/>
      <c r="G722" s="70"/>
      <c r="H722" s="70"/>
      <c r="I722" s="70"/>
    </row>
    <row r="723" spans="1:9" x14ac:dyDescent="0.25">
      <c r="A723" s="76"/>
      <c r="F723" s="70"/>
      <c r="G723" s="70"/>
      <c r="H723" s="70"/>
      <c r="I723" s="70"/>
    </row>
    <row r="724" spans="1:9" x14ac:dyDescent="0.25">
      <c r="A724" s="76"/>
      <c r="F724" s="70"/>
      <c r="G724" s="70"/>
      <c r="H724" s="70"/>
      <c r="I724" s="70"/>
    </row>
    <row r="725" spans="1:9" x14ac:dyDescent="0.25">
      <c r="A725" s="76"/>
      <c r="F725" s="70"/>
      <c r="G725" s="70"/>
      <c r="H725" s="70"/>
      <c r="I725" s="70"/>
    </row>
    <row r="726" spans="1:9" x14ac:dyDescent="0.25">
      <c r="A726" s="76"/>
      <c r="F726" s="70"/>
      <c r="G726" s="70"/>
      <c r="H726" s="70"/>
      <c r="I726" s="70"/>
    </row>
    <row r="727" spans="1:9" x14ac:dyDescent="0.25">
      <c r="A727" s="76"/>
      <c r="F727" s="70"/>
      <c r="G727" s="70"/>
      <c r="H727" s="70"/>
      <c r="I727" s="70"/>
    </row>
    <row r="728" spans="1:9" x14ac:dyDescent="0.25">
      <c r="A728" s="76"/>
      <c r="F728" s="70"/>
      <c r="G728" s="70"/>
      <c r="H728" s="70"/>
      <c r="I728" s="70"/>
    </row>
    <row r="729" spans="1:9" x14ac:dyDescent="0.25">
      <c r="A729" s="76"/>
      <c r="F729" s="70"/>
      <c r="G729" s="70"/>
      <c r="H729" s="70"/>
      <c r="I729" s="70"/>
    </row>
    <row r="730" spans="1:9" x14ac:dyDescent="0.25">
      <c r="A730" s="76"/>
      <c r="F730" s="70"/>
      <c r="G730" s="70"/>
      <c r="H730" s="70"/>
      <c r="I730" s="70"/>
    </row>
    <row r="731" spans="1:9" x14ac:dyDescent="0.25">
      <c r="A731" s="76"/>
      <c r="F731" s="70"/>
      <c r="G731" s="70"/>
      <c r="H731" s="70"/>
      <c r="I731" s="70"/>
    </row>
    <row r="732" spans="1:9" x14ac:dyDescent="0.25">
      <c r="A732" s="76"/>
      <c r="F732" s="70"/>
      <c r="G732" s="70"/>
      <c r="H732" s="70"/>
      <c r="I732" s="70"/>
    </row>
    <row r="733" spans="1:9" x14ac:dyDescent="0.25">
      <c r="A733" s="76"/>
      <c r="F733" s="70"/>
      <c r="G733" s="70"/>
      <c r="H733" s="70"/>
      <c r="I733" s="70"/>
    </row>
    <row r="734" spans="1:9" x14ac:dyDescent="0.25">
      <c r="A734" s="76"/>
      <c r="F734" s="70"/>
      <c r="G734" s="70"/>
      <c r="H734" s="70"/>
      <c r="I734" s="70"/>
    </row>
    <row r="735" spans="1:9" x14ac:dyDescent="0.25">
      <c r="A735" s="76"/>
      <c r="F735" s="70"/>
      <c r="G735" s="70"/>
      <c r="H735" s="70"/>
      <c r="I735" s="70"/>
    </row>
    <row r="736" spans="1:9" x14ac:dyDescent="0.25">
      <c r="A736" s="76"/>
      <c r="F736" s="70"/>
      <c r="G736" s="70"/>
      <c r="H736" s="70"/>
      <c r="I736" s="70"/>
    </row>
    <row r="737" spans="1:9" x14ac:dyDescent="0.25">
      <c r="A737" s="76"/>
      <c r="F737" s="70"/>
      <c r="G737" s="70"/>
      <c r="H737" s="70"/>
      <c r="I737" s="70"/>
    </row>
    <row r="738" spans="1:9" x14ac:dyDescent="0.25">
      <c r="A738" s="76"/>
      <c r="F738" s="70"/>
      <c r="G738" s="70"/>
      <c r="H738" s="70"/>
      <c r="I738" s="70"/>
    </row>
    <row r="739" spans="1:9" x14ac:dyDescent="0.25">
      <c r="A739" s="76"/>
      <c r="F739" s="70"/>
      <c r="G739" s="70"/>
      <c r="H739" s="70"/>
      <c r="I739" s="70"/>
    </row>
    <row r="740" spans="1:9" x14ac:dyDescent="0.25">
      <c r="A740" s="76"/>
      <c r="F740" s="70"/>
      <c r="G740" s="70"/>
      <c r="H740" s="70"/>
      <c r="I740" s="70"/>
    </row>
    <row r="741" spans="1:9" x14ac:dyDescent="0.25">
      <c r="A741" s="76"/>
      <c r="F741" s="70"/>
      <c r="G741" s="70"/>
      <c r="H741" s="70"/>
      <c r="I741" s="70"/>
    </row>
    <row r="742" spans="1:9" x14ac:dyDescent="0.25">
      <c r="A742" s="76"/>
      <c r="F742" s="70"/>
      <c r="G742" s="70"/>
      <c r="H742" s="70"/>
      <c r="I742" s="70"/>
    </row>
    <row r="743" spans="1:9" x14ac:dyDescent="0.25">
      <c r="A743" s="76"/>
      <c r="F743" s="70"/>
      <c r="G743" s="70"/>
      <c r="H743" s="70"/>
      <c r="I743" s="70"/>
    </row>
    <row r="744" spans="1:9" x14ac:dyDescent="0.25">
      <c r="A744" s="76"/>
      <c r="F744" s="70"/>
      <c r="G744" s="70"/>
      <c r="H744" s="70"/>
      <c r="I744" s="70"/>
    </row>
    <row r="745" spans="1:9" x14ac:dyDescent="0.25">
      <c r="A745" s="76"/>
      <c r="F745" s="70"/>
      <c r="G745" s="70"/>
      <c r="H745" s="70"/>
      <c r="I745" s="70"/>
    </row>
    <row r="746" spans="1:9" x14ac:dyDescent="0.25">
      <c r="A746" s="76"/>
      <c r="F746" s="70"/>
      <c r="G746" s="70"/>
      <c r="H746" s="70"/>
      <c r="I746" s="70"/>
    </row>
    <row r="747" spans="1:9" x14ac:dyDescent="0.25">
      <c r="A747" s="76"/>
      <c r="F747" s="70"/>
      <c r="G747" s="70"/>
      <c r="H747" s="70"/>
      <c r="I747" s="70"/>
    </row>
    <row r="748" spans="1:9" x14ac:dyDescent="0.25">
      <c r="A748" s="76"/>
      <c r="F748" s="70"/>
      <c r="G748" s="70"/>
      <c r="H748" s="70"/>
      <c r="I748" s="70"/>
    </row>
    <row r="749" spans="1:9" x14ac:dyDescent="0.25">
      <c r="A749" s="76"/>
      <c r="F749" s="70"/>
      <c r="G749" s="70"/>
      <c r="H749" s="70"/>
      <c r="I749" s="70"/>
    </row>
    <row r="750" spans="1:9" x14ac:dyDescent="0.25">
      <c r="A750" s="76"/>
      <c r="F750" s="70"/>
      <c r="G750" s="70"/>
      <c r="H750" s="70"/>
      <c r="I750" s="70"/>
    </row>
    <row r="751" spans="1:9" x14ac:dyDescent="0.25">
      <c r="A751" s="76"/>
      <c r="F751" s="70"/>
      <c r="G751" s="70"/>
      <c r="H751" s="70"/>
      <c r="I751" s="70"/>
    </row>
    <row r="752" spans="1:9" x14ac:dyDescent="0.25">
      <c r="A752" s="76"/>
      <c r="F752" s="70"/>
      <c r="G752" s="70"/>
      <c r="H752" s="70"/>
      <c r="I752" s="70"/>
    </row>
    <row r="753" spans="1:9" x14ac:dyDescent="0.25">
      <c r="A753" s="76"/>
      <c r="F753" s="70"/>
      <c r="G753" s="70"/>
      <c r="H753" s="70"/>
      <c r="I753" s="70"/>
    </row>
    <row r="754" spans="1:9" x14ac:dyDescent="0.25">
      <c r="A754" s="76"/>
      <c r="F754" s="70"/>
      <c r="G754" s="70"/>
      <c r="H754" s="70"/>
      <c r="I754" s="70"/>
    </row>
    <row r="755" spans="1:9" x14ac:dyDescent="0.25">
      <c r="A755" s="76"/>
      <c r="F755" s="70"/>
      <c r="G755" s="70"/>
      <c r="H755" s="70"/>
      <c r="I755" s="70"/>
    </row>
    <row r="756" spans="1:9" x14ac:dyDescent="0.25">
      <c r="A756" s="76"/>
      <c r="F756" s="70"/>
      <c r="G756" s="70"/>
      <c r="H756" s="70"/>
      <c r="I756" s="70"/>
    </row>
    <row r="757" spans="1:9" x14ac:dyDescent="0.25">
      <c r="A757" s="76"/>
      <c r="F757" s="70"/>
      <c r="G757" s="70"/>
      <c r="H757" s="70"/>
      <c r="I757" s="70"/>
    </row>
    <row r="758" spans="1:9" x14ac:dyDescent="0.25">
      <c r="A758" s="76"/>
      <c r="F758" s="70"/>
      <c r="G758" s="70"/>
      <c r="H758" s="70"/>
      <c r="I758" s="70"/>
    </row>
    <row r="759" spans="1:9" x14ac:dyDescent="0.25">
      <c r="A759" s="76"/>
      <c r="F759" s="70"/>
      <c r="G759" s="70"/>
      <c r="H759" s="70"/>
      <c r="I759" s="70"/>
    </row>
    <row r="760" spans="1:9" x14ac:dyDescent="0.25">
      <c r="A760" s="76"/>
      <c r="F760" s="70"/>
      <c r="G760" s="70"/>
      <c r="H760" s="70"/>
      <c r="I760" s="70"/>
    </row>
    <row r="761" spans="1:9" x14ac:dyDescent="0.25">
      <c r="A761" s="76"/>
      <c r="F761" s="70"/>
      <c r="G761" s="70"/>
      <c r="H761" s="70"/>
      <c r="I761" s="70"/>
    </row>
    <row r="762" spans="1:9" x14ac:dyDescent="0.25">
      <c r="A762" s="76"/>
      <c r="F762" s="70"/>
      <c r="G762" s="70"/>
      <c r="H762" s="70"/>
      <c r="I762" s="70"/>
    </row>
    <row r="763" spans="1:9" x14ac:dyDescent="0.25">
      <c r="A763" s="76"/>
      <c r="F763" s="70"/>
      <c r="G763" s="70"/>
      <c r="H763" s="70"/>
      <c r="I763" s="70"/>
    </row>
    <row r="764" spans="1:9" x14ac:dyDescent="0.25">
      <c r="A764" s="76"/>
      <c r="F764" s="70"/>
      <c r="G764" s="70"/>
      <c r="H764" s="70"/>
      <c r="I764" s="70"/>
    </row>
    <row r="765" spans="1:9" x14ac:dyDescent="0.25">
      <c r="A765" s="76"/>
      <c r="F765" s="70"/>
      <c r="G765" s="70"/>
      <c r="H765" s="70"/>
      <c r="I765" s="70"/>
    </row>
    <row r="766" spans="1:9" x14ac:dyDescent="0.25">
      <c r="A766" s="76"/>
      <c r="F766" s="70"/>
      <c r="G766" s="70"/>
      <c r="H766" s="70"/>
      <c r="I766" s="70"/>
    </row>
    <row r="767" spans="1:9" x14ac:dyDescent="0.25">
      <c r="A767" s="76"/>
      <c r="F767" s="70"/>
      <c r="G767" s="70"/>
      <c r="H767" s="70"/>
      <c r="I767" s="70"/>
    </row>
    <row r="768" spans="1:9" x14ac:dyDescent="0.25">
      <c r="A768" s="76"/>
      <c r="F768" s="70"/>
      <c r="G768" s="70"/>
      <c r="H768" s="70"/>
      <c r="I768" s="70"/>
    </row>
    <row r="769" spans="1:9" x14ac:dyDescent="0.25">
      <c r="A769" s="76"/>
      <c r="F769" s="70"/>
      <c r="G769" s="70"/>
      <c r="H769" s="70"/>
      <c r="I769" s="70"/>
    </row>
    <row r="770" spans="1:9" x14ac:dyDescent="0.25">
      <c r="A770" s="76"/>
      <c r="F770" s="70"/>
      <c r="G770" s="70"/>
      <c r="H770" s="70"/>
      <c r="I770" s="70"/>
    </row>
    <row r="771" spans="1:9" x14ac:dyDescent="0.25">
      <c r="A771" s="76"/>
      <c r="F771" s="70"/>
      <c r="G771" s="70"/>
      <c r="H771" s="70"/>
      <c r="I771" s="70"/>
    </row>
    <row r="772" spans="1:9" x14ac:dyDescent="0.25">
      <c r="A772" s="76"/>
      <c r="F772" s="70"/>
      <c r="G772" s="70"/>
      <c r="H772" s="70"/>
      <c r="I772" s="70"/>
    </row>
    <row r="773" spans="1:9" x14ac:dyDescent="0.25">
      <c r="A773" s="76"/>
      <c r="F773" s="70"/>
      <c r="G773" s="70"/>
      <c r="H773" s="70"/>
      <c r="I773" s="70"/>
    </row>
    <row r="774" spans="1:9" x14ac:dyDescent="0.25">
      <c r="A774" s="76"/>
      <c r="F774" s="70"/>
      <c r="G774" s="70"/>
      <c r="H774" s="70"/>
      <c r="I774" s="70"/>
    </row>
    <row r="775" spans="1:9" x14ac:dyDescent="0.25">
      <c r="A775" s="76"/>
      <c r="F775" s="70"/>
      <c r="G775" s="70"/>
      <c r="H775" s="70"/>
      <c r="I775" s="70"/>
    </row>
    <row r="776" spans="1:9" x14ac:dyDescent="0.25">
      <c r="A776" s="76"/>
      <c r="F776" s="70"/>
      <c r="G776" s="70"/>
      <c r="H776" s="70"/>
      <c r="I776" s="70"/>
    </row>
    <row r="777" spans="1:9" x14ac:dyDescent="0.25">
      <c r="A777" s="76"/>
      <c r="F777" s="70"/>
      <c r="G777" s="70"/>
      <c r="H777" s="70"/>
      <c r="I777" s="70"/>
    </row>
    <row r="778" spans="1:9" x14ac:dyDescent="0.25">
      <c r="A778" s="76"/>
      <c r="F778" s="70"/>
      <c r="G778" s="70"/>
      <c r="H778" s="70"/>
      <c r="I778" s="70"/>
    </row>
    <row r="779" spans="1:9" x14ac:dyDescent="0.25">
      <c r="A779" s="76"/>
      <c r="F779" s="70"/>
      <c r="G779" s="70"/>
      <c r="H779" s="70"/>
      <c r="I779" s="70"/>
    </row>
    <row r="780" spans="1:9" x14ac:dyDescent="0.25">
      <c r="A780" s="76"/>
      <c r="F780" s="70"/>
      <c r="G780" s="70"/>
      <c r="H780" s="70"/>
      <c r="I780" s="70"/>
    </row>
    <row r="781" spans="1:9" x14ac:dyDescent="0.25">
      <c r="A781" s="76"/>
      <c r="F781" s="70"/>
      <c r="G781" s="70"/>
      <c r="H781" s="70"/>
      <c r="I781" s="70"/>
    </row>
    <row r="782" spans="1:9" x14ac:dyDescent="0.25">
      <c r="A782" s="76"/>
      <c r="F782" s="70"/>
      <c r="G782" s="70"/>
      <c r="H782" s="70"/>
      <c r="I782" s="70"/>
    </row>
    <row r="783" spans="1:9" x14ac:dyDescent="0.25">
      <c r="A783" s="76"/>
      <c r="F783" s="70"/>
      <c r="G783" s="70"/>
      <c r="H783" s="70"/>
      <c r="I783" s="70"/>
    </row>
    <row r="784" spans="1:9" x14ac:dyDescent="0.25">
      <c r="A784" s="76"/>
      <c r="F784" s="70"/>
      <c r="G784" s="70"/>
      <c r="H784" s="70"/>
      <c r="I784" s="70"/>
    </row>
    <row r="785" spans="1:9" x14ac:dyDescent="0.25">
      <c r="A785" s="76"/>
      <c r="F785" s="70"/>
      <c r="G785" s="70"/>
      <c r="H785" s="70"/>
      <c r="I785" s="70"/>
    </row>
    <row r="786" spans="1:9" x14ac:dyDescent="0.25">
      <c r="A786" s="76"/>
      <c r="F786" s="70"/>
      <c r="G786" s="70"/>
      <c r="H786" s="70"/>
      <c r="I786" s="70"/>
    </row>
    <row r="787" spans="1:9" x14ac:dyDescent="0.25">
      <c r="A787" s="76"/>
      <c r="F787" s="70"/>
      <c r="G787" s="70"/>
      <c r="H787" s="70"/>
      <c r="I787" s="70"/>
    </row>
    <row r="788" spans="1:9" x14ac:dyDescent="0.25">
      <c r="A788" s="76"/>
      <c r="F788" s="70"/>
      <c r="G788" s="70"/>
      <c r="H788" s="70"/>
      <c r="I788" s="70"/>
    </row>
    <row r="789" spans="1:9" x14ac:dyDescent="0.25">
      <c r="A789" s="76"/>
      <c r="F789" s="70"/>
      <c r="G789" s="70"/>
      <c r="H789" s="70"/>
      <c r="I789" s="70"/>
    </row>
    <row r="790" spans="1:9" x14ac:dyDescent="0.25">
      <c r="A790" s="76"/>
      <c r="F790" s="70"/>
      <c r="G790" s="70"/>
      <c r="H790" s="70"/>
      <c r="I790" s="70"/>
    </row>
    <row r="791" spans="1:9" x14ac:dyDescent="0.25">
      <c r="A791" s="76"/>
      <c r="F791" s="70"/>
      <c r="G791" s="70"/>
      <c r="H791" s="70"/>
      <c r="I791" s="70"/>
    </row>
    <row r="792" spans="1:9" x14ac:dyDescent="0.25">
      <c r="A792" s="76"/>
      <c r="F792" s="70"/>
      <c r="G792" s="70"/>
      <c r="H792" s="70"/>
      <c r="I792" s="70"/>
    </row>
    <row r="793" spans="1:9" x14ac:dyDescent="0.25">
      <c r="A793" s="76"/>
      <c r="F793" s="70"/>
      <c r="G793" s="70"/>
      <c r="H793" s="70"/>
      <c r="I793" s="70"/>
    </row>
    <row r="794" spans="1:9" x14ac:dyDescent="0.25">
      <c r="A794" s="76"/>
      <c r="F794" s="70"/>
      <c r="G794" s="70"/>
      <c r="H794" s="70"/>
      <c r="I794" s="70"/>
    </row>
    <row r="795" spans="1:9" x14ac:dyDescent="0.25">
      <c r="A795" s="76"/>
      <c r="F795" s="70"/>
      <c r="G795" s="70"/>
      <c r="H795" s="70"/>
      <c r="I795" s="70"/>
    </row>
    <row r="796" spans="1:9" x14ac:dyDescent="0.25">
      <c r="A796" s="76"/>
      <c r="F796" s="70"/>
      <c r="G796" s="70"/>
      <c r="H796" s="70"/>
      <c r="I796" s="70"/>
    </row>
    <row r="797" spans="1:9" x14ac:dyDescent="0.25">
      <c r="A797" s="76"/>
      <c r="F797" s="70"/>
      <c r="G797" s="70"/>
      <c r="H797" s="70"/>
      <c r="I797" s="70"/>
    </row>
    <row r="798" spans="1:9" x14ac:dyDescent="0.25">
      <c r="A798" s="76"/>
      <c r="F798" s="70"/>
      <c r="G798" s="70"/>
      <c r="H798" s="70"/>
      <c r="I798" s="70"/>
    </row>
    <row r="799" spans="1:9" x14ac:dyDescent="0.25">
      <c r="A799" s="76"/>
      <c r="F799" s="70"/>
      <c r="G799" s="70"/>
      <c r="H799" s="70"/>
      <c r="I799" s="70"/>
    </row>
    <row r="800" spans="1:9" x14ac:dyDescent="0.25">
      <c r="A800" s="76"/>
      <c r="F800" s="70"/>
      <c r="G800" s="70"/>
      <c r="H800" s="70"/>
      <c r="I800" s="70"/>
    </row>
    <row r="801" spans="1:9" x14ac:dyDescent="0.25">
      <c r="A801" s="76"/>
      <c r="F801" s="70"/>
      <c r="G801" s="70"/>
      <c r="H801" s="70"/>
      <c r="I801" s="70"/>
    </row>
    <row r="802" spans="1:9" x14ac:dyDescent="0.25">
      <c r="A802" s="76"/>
      <c r="F802" s="70"/>
      <c r="G802" s="70"/>
      <c r="H802" s="70"/>
      <c r="I802" s="70"/>
    </row>
    <row r="803" spans="1:9" x14ac:dyDescent="0.25">
      <c r="A803" s="76"/>
      <c r="F803" s="70"/>
      <c r="G803" s="70"/>
      <c r="H803" s="70"/>
      <c r="I803" s="70"/>
    </row>
    <row r="804" spans="1:9" x14ac:dyDescent="0.25">
      <c r="A804" s="76"/>
      <c r="F804" s="70"/>
      <c r="G804" s="70"/>
      <c r="H804" s="70"/>
      <c r="I804" s="70"/>
    </row>
    <row r="805" spans="1:9" x14ac:dyDescent="0.25">
      <c r="A805" s="76"/>
      <c r="F805" s="70"/>
      <c r="G805" s="70"/>
      <c r="H805" s="70"/>
      <c r="I805" s="70"/>
    </row>
    <row r="806" spans="1:9" x14ac:dyDescent="0.25">
      <c r="A806" s="76"/>
      <c r="F806" s="70"/>
      <c r="G806" s="70"/>
      <c r="H806" s="70"/>
      <c r="I806" s="70"/>
    </row>
    <row r="807" spans="1:9" x14ac:dyDescent="0.25">
      <c r="A807" s="76"/>
      <c r="F807" s="70"/>
      <c r="G807" s="70"/>
      <c r="H807" s="70"/>
      <c r="I807" s="70"/>
    </row>
    <row r="808" spans="1:9" x14ac:dyDescent="0.25">
      <c r="A808" s="76"/>
      <c r="F808" s="70"/>
      <c r="G808" s="70"/>
      <c r="H808" s="70"/>
      <c r="I808" s="70"/>
    </row>
    <row r="809" spans="1:9" x14ac:dyDescent="0.25">
      <c r="A809" s="76"/>
      <c r="F809" s="70"/>
      <c r="G809" s="70"/>
      <c r="H809" s="70"/>
      <c r="I809" s="70"/>
    </row>
    <row r="810" spans="1:9" x14ac:dyDescent="0.25">
      <c r="A810" s="76"/>
      <c r="F810" s="70"/>
      <c r="G810" s="70"/>
      <c r="H810" s="70"/>
      <c r="I810" s="70"/>
    </row>
    <row r="811" spans="1:9" x14ac:dyDescent="0.25">
      <c r="A811" s="76"/>
      <c r="F811" s="70"/>
      <c r="G811" s="70"/>
      <c r="H811" s="70"/>
      <c r="I811" s="70"/>
    </row>
    <row r="812" spans="1:9" x14ac:dyDescent="0.25">
      <c r="A812" s="76"/>
      <c r="F812" s="70"/>
      <c r="G812" s="70"/>
      <c r="H812" s="70"/>
      <c r="I812" s="70"/>
    </row>
    <row r="813" spans="1:9" x14ac:dyDescent="0.25">
      <c r="A813" s="76"/>
      <c r="F813" s="70"/>
      <c r="G813" s="70"/>
      <c r="H813" s="70"/>
      <c r="I813" s="70"/>
    </row>
    <row r="814" spans="1:9" x14ac:dyDescent="0.25">
      <c r="A814" s="76"/>
      <c r="F814" s="70"/>
      <c r="G814" s="70"/>
      <c r="H814" s="70"/>
      <c r="I814" s="70"/>
    </row>
    <row r="815" spans="1:9" x14ac:dyDescent="0.25">
      <c r="A815" s="76"/>
      <c r="F815" s="70"/>
      <c r="G815" s="70"/>
      <c r="H815" s="70"/>
      <c r="I815" s="70"/>
    </row>
    <row r="816" spans="1:9" x14ac:dyDescent="0.25">
      <c r="A816" s="76"/>
      <c r="F816" s="70"/>
      <c r="G816" s="70"/>
      <c r="H816" s="70"/>
      <c r="I816" s="70"/>
    </row>
    <row r="817" spans="1:9" x14ac:dyDescent="0.25">
      <c r="A817" s="76"/>
      <c r="F817" s="70"/>
      <c r="G817" s="70"/>
      <c r="H817" s="70"/>
      <c r="I817" s="70"/>
    </row>
    <row r="818" spans="1:9" x14ac:dyDescent="0.25">
      <c r="A818" s="76"/>
      <c r="F818" s="70"/>
      <c r="G818" s="70"/>
      <c r="H818" s="70"/>
      <c r="I818" s="70"/>
    </row>
    <row r="819" spans="1:9" x14ac:dyDescent="0.25">
      <c r="A819" s="76"/>
      <c r="F819" s="70"/>
      <c r="G819" s="70"/>
      <c r="H819" s="70"/>
      <c r="I819" s="70"/>
    </row>
    <row r="820" spans="1:9" x14ac:dyDescent="0.25">
      <c r="A820" s="76"/>
      <c r="F820" s="70"/>
      <c r="G820" s="70"/>
      <c r="H820" s="70"/>
      <c r="I820" s="70"/>
    </row>
    <row r="821" spans="1:9" x14ac:dyDescent="0.25">
      <c r="A821" s="76"/>
      <c r="F821" s="70"/>
      <c r="G821" s="70"/>
      <c r="H821" s="70"/>
      <c r="I821" s="70"/>
    </row>
    <row r="822" spans="1:9" x14ac:dyDescent="0.25">
      <c r="A822" s="76"/>
      <c r="F822" s="70"/>
      <c r="G822" s="70"/>
      <c r="H822" s="70"/>
      <c r="I822" s="70"/>
    </row>
    <row r="823" spans="1:9" x14ac:dyDescent="0.25">
      <c r="A823" s="76"/>
      <c r="F823" s="70"/>
      <c r="G823" s="70"/>
      <c r="H823" s="70"/>
      <c r="I823" s="70"/>
    </row>
    <row r="824" spans="1:9" x14ac:dyDescent="0.25">
      <c r="A824" s="76"/>
      <c r="F824" s="70"/>
      <c r="G824" s="70"/>
      <c r="H824" s="70"/>
      <c r="I824" s="70"/>
    </row>
    <row r="825" spans="1:9" x14ac:dyDescent="0.25">
      <c r="A825" s="76"/>
      <c r="F825" s="70"/>
      <c r="G825" s="70"/>
      <c r="H825" s="70"/>
      <c r="I825" s="70"/>
    </row>
    <row r="826" spans="1:9" x14ac:dyDescent="0.25">
      <c r="A826" s="76"/>
      <c r="F826" s="70"/>
      <c r="G826" s="70"/>
      <c r="H826" s="70"/>
      <c r="I826" s="70"/>
    </row>
    <row r="827" spans="1:9" x14ac:dyDescent="0.25">
      <c r="A827" s="76"/>
      <c r="F827" s="70"/>
      <c r="G827" s="70"/>
      <c r="H827" s="70"/>
      <c r="I827" s="70"/>
    </row>
    <row r="828" spans="1:9" x14ac:dyDescent="0.25">
      <c r="A828" s="76"/>
      <c r="F828" s="70"/>
      <c r="G828" s="70"/>
      <c r="H828" s="70"/>
      <c r="I828" s="70"/>
    </row>
    <row r="829" spans="1:9" x14ac:dyDescent="0.25">
      <c r="A829" s="76"/>
      <c r="F829" s="70"/>
      <c r="G829" s="70"/>
      <c r="H829" s="70"/>
      <c r="I829" s="70"/>
    </row>
    <row r="830" spans="1:9" x14ac:dyDescent="0.25">
      <c r="A830" s="76"/>
      <c r="F830" s="70"/>
      <c r="G830" s="70"/>
      <c r="H830" s="70"/>
      <c r="I830" s="70"/>
    </row>
    <row r="831" spans="1:9" x14ac:dyDescent="0.25">
      <c r="A831" s="76"/>
      <c r="F831" s="70"/>
      <c r="G831" s="70"/>
      <c r="H831" s="70"/>
      <c r="I831" s="70"/>
    </row>
    <row r="832" spans="1:9" x14ac:dyDescent="0.25">
      <c r="A832" s="76"/>
      <c r="F832" s="70"/>
      <c r="G832" s="70"/>
      <c r="H832" s="70"/>
      <c r="I832" s="70"/>
    </row>
    <row r="833" spans="1:9" x14ac:dyDescent="0.25">
      <c r="A833" s="76"/>
      <c r="F833" s="70"/>
      <c r="G833" s="70"/>
      <c r="H833" s="70"/>
      <c r="I833" s="70"/>
    </row>
    <row r="834" spans="1:9" x14ac:dyDescent="0.25">
      <c r="A834" s="76"/>
      <c r="F834" s="70"/>
      <c r="G834" s="70"/>
      <c r="H834" s="70"/>
      <c r="I834" s="70"/>
    </row>
    <row r="835" spans="1:9" x14ac:dyDescent="0.25">
      <c r="A835" s="76"/>
      <c r="F835" s="70"/>
      <c r="G835" s="70"/>
      <c r="H835" s="70"/>
      <c r="I835" s="70"/>
    </row>
    <row r="836" spans="1:9" x14ac:dyDescent="0.25">
      <c r="A836" s="76"/>
      <c r="F836" s="70"/>
      <c r="G836" s="70"/>
      <c r="H836" s="70"/>
      <c r="I836" s="70"/>
    </row>
    <row r="837" spans="1:9" x14ac:dyDescent="0.25">
      <c r="A837" s="76"/>
      <c r="F837" s="70"/>
      <c r="G837" s="70"/>
      <c r="H837" s="70"/>
      <c r="I837" s="70"/>
    </row>
    <row r="838" spans="1:9" x14ac:dyDescent="0.25">
      <c r="A838" s="76"/>
      <c r="F838" s="70"/>
      <c r="G838" s="70"/>
      <c r="H838" s="70"/>
      <c r="I838" s="70"/>
    </row>
    <row r="839" spans="1:9" x14ac:dyDescent="0.25">
      <c r="A839" s="76"/>
      <c r="F839" s="70"/>
      <c r="G839" s="70"/>
      <c r="H839" s="70"/>
      <c r="I839" s="70"/>
    </row>
    <row r="840" spans="1:9" x14ac:dyDescent="0.25">
      <c r="A840" s="76"/>
      <c r="F840" s="70"/>
      <c r="G840" s="70"/>
      <c r="H840" s="70"/>
      <c r="I840" s="70"/>
    </row>
    <row r="841" spans="1:9" x14ac:dyDescent="0.25">
      <c r="A841" s="76"/>
      <c r="F841" s="70"/>
      <c r="G841" s="70"/>
      <c r="H841" s="70"/>
      <c r="I841" s="70"/>
    </row>
    <row r="842" spans="1:9" x14ac:dyDescent="0.25">
      <c r="A842" s="76"/>
      <c r="F842" s="70"/>
      <c r="G842" s="70"/>
      <c r="H842" s="70"/>
      <c r="I842" s="70"/>
    </row>
    <row r="843" spans="1:9" x14ac:dyDescent="0.25">
      <c r="A843" s="76"/>
      <c r="F843" s="70"/>
      <c r="G843" s="70"/>
      <c r="H843" s="70"/>
      <c r="I843" s="70"/>
    </row>
    <row r="844" spans="1:9" x14ac:dyDescent="0.25">
      <c r="A844" s="76"/>
      <c r="F844" s="70"/>
      <c r="G844" s="70"/>
      <c r="H844" s="70"/>
      <c r="I844" s="70"/>
    </row>
    <row r="845" spans="1:9" x14ac:dyDescent="0.25">
      <c r="A845" s="76"/>
      <c r="F845" s="70"/>
      <c r="G845" s="70"/>
      <c r="H845" s="70"/>
      <c r="I845" s="70"/>
    </row>
    <row r="846" spans="1:9" x14ac:dyDescent="0.25">
      <c r="A846" s="76"/>
      <c r="F846" s="70"/>
      <c r="G846" s="70"/>
      <c r="H846" s="70"/>
      <c r="I846" s="70"/>
    </row>
    <row r="847" spans="1:9" x14ac:dyDescent="0.25">
      <c r="A847" s="76"/>
      <c r="F847" s="70"/>
      <c r="G847" s="70"/>
      <c r="H847" s="70"/>
      <c r="I847" s="70"/>
    </row>
    <row r="848" spans="1:9" x14ac:dyDescent="0.25">
      <c r="A848" s="76"/>
      <c r="F848" s="70"/>
      <c r="G848" s="70"/>
      <c r="H848" s="70"/>
      <c r="I848" s="70"/>
    </row>
    <row r="849" spans="1:9" x14ac:dyDescent="0.25">
      <c r="A849" s="76"/>
      <c r="F849" s="70"/>
      <c r="G849" s="70"/>
      <c r="H849" s="70"/>
      <c r="I849" s="70"/>
    </row>
    <row r="850" spans="1:9" x14ac:dyDescent="0.25">
      <c r="A850" s="76"/>
      <c r="F850" s="70"/>
      <c r="G850" s="70"/>
      <c r="H850" s="70"/>
      <c r="I850" s="70"/>
    </row>
    <row r="851" spans="1:9" x14ac:dyDescent="0.25">
      <c r="A851" s="76"/>
      <c r="F851" s="70"/>
      <c r="G851" s="70"/>
      <c r="H851" s="70"/>
      <c r="I851" s="70"/>
    </row>
    <row r="852" spans="1:9" x14ac:dyDescent="0.25">
      <c r="A852" s="76"/>
      <c r="F852" s="70"/>
      <c r="G852" s="70"/>
      <c r="H852" s="70"/>
      <c r="I852" s="70"/>
    </row>
    <row r="853" spans="1:9" x14ac:dyDescent="0.25">
      <c r="A853" s="76"/>
      <c r="F853" s="70"/>
      <c r="G853" s="70"/>
      <c r="H853" s="70"/>
      <c r="I853" s="70"/>
    </row>
    <row r="854" spans="1:9" x14ac:dyDescent="0.25">
      <c r="A854" s="76"/>
      <c r="F854" s="70"/>
      <c r="G854" s="70"/>
      <c r="H854" s="70"/>
      <c r="I854" s="70"/>
    </row>
    <row r="855" spans="1:9" x14ac:dyDescent="0.25">
      <c r="A855" s="76"/>
      <c r="F855" s="70"/>
      <c r="G855" s="70"/>
      <c r="H855" s="70"/>
      <c r="I855" s="70"/>
    </row>
    <row r="856" spans="1:9" x14ac:dyDescent="0.25">
      <c r="A856" s="76"/>
      <c r="F856" s="70"/>
      <c r="G856" s="70"/>
      <c r="H856" s="70"/>
      <c r="I856" s="70"/>
    </row>
    <row r="857" spans="1:9" x14ac:dyDescent="0.25">
      <c r="A857" s="76"/>
      <c r="F857" s="70"/>
      <c r="G857" s="70"/>
      <c r="H857" s="70"/>
      <c r="I857" s="70"/>
    </row>
    <row r="858" spans="1:9" x14ac:dyDescent="0.25">
      <c r="A858" s="76"/>
      <c r="F858" s="70"/>
      <c r="G858" s="70"/>
      <c r="H858" s="70"/>
      <c r="I858" s="70"/>
    </row>
    <row r="859" spans="1:9" x14ac:dyDescent="0.25">
      <c r="A859" s="76"/>
      <c r="F859" s="70"/>
      <c r="G859" s="70"/>
      <c r="H859" s="70"/>
      <c r="I859" s="70"/>
    </row>
    <row r="860" spans="1:9" x14ac:dyDescent="0.25">
      <c r="A860" s="76"/>
      <c r="F860" s="70"/>
      <c r="G860" s="70"/>
      <c r="H860" s="70"/>
      <c r="I860" s="70"/>
    </row>
    <row r="861" spans="1:9" x14ac:dyDescent="0.25">
      <c r="A861" s="76"/>
      <c r="F861" s="70"/>
      <c r="G861" s="70"/>
      <c r="H861" s="70"/>
      <c r="I861" s="70"/>
    </row>
    <row r="862" spans="1:9" x14ac:dyDescent="0.25">
      <c r="A862" s="76"/>
      <c r="F862" s="70"/>
      <c r="G862" s="70"/>
      <c r="H862" s="70"/>
      <c r="I862" s="70"/>
    </row>
    <row r="863" spans="1:9" x14ac:dyDescent="0.25">
      <c r="A863" s="76"/>
      <c r="F863" s="70"/>
      <c r="G863" s="70"/>
      <c r="H863" s="70"/>
      <c r="I863" s="70"/>
    </row>
    <row r="864" spans="1:9" x14ac:dyDescent="0.25">
      <c r="A864" s="76"/>
      <c r="F864" s="70"/>
      <c r="G864" s="70"/>
      <c r="H864" s="70"/>
      <c r="I864" s="70"/>
    </row>
    <row r="865" spans="1:9" x14ac:dyDescent="0.25">
      <c r="A865" s="76"/>
      <c r="F865" s="70"/>
      <c r="G865" s="70"/>
      <c r="H865" s="70"/>
      <c r="I865" s="70"/>
    </row>
    <row r="866" spans="1:9" x14ac:dyDescent="0.25">
      <c r="A866" s="76"/>
      <c r="F866" s="70"/>
      <c r="G866" s="70"/>
      <c r="H866" s="70"/>
      <c r="I866" s="70"/>
    </row>
    <row r="867" spans="1:9" x14ac:dyDescent="0.25">
      <c r="A867" s="76"/>
      <c r="F867" s="70"/>
      <c r="G867" s="70"/>
      <c r="H867" s="70"/>
      <c r="I867" s="70"/>
    </row>
    <row r="868" spans="1:9" x14ac:dyDescent="0.25">
      <c r="A868" s="76"/>
      <c r="F868" s="70"/>
      <c r="G868" s="70"/>
      <c r="H868" s="70"/>
      <c r="I868" s="70"/>
    </row>
    <row r="869" spans="1:9" x14ac:dyDescent="0.25">
      <c r="A869" s="76"/>
      <c r="F869" s="70"/>
      <c r="G869" s="70"/>
      <c r="H869" s="70"/>
      <c r="I869" s="70"/>
    </row>
    <row r="870" spans="1:9" x14ac:dyDescent="0.25">
      <c r="A870" s="76"/>
      <c r="F870" s="70"/>
      <c r="G870" s="70"/>
      <c r="H870" s="70"/>
      <c r="I870" s="70"/>
    </row>
    <row r="871" spans="1:9" x14ac:dyDescent="0.25">
      <c r="A871" s="76"/>
      <c r="F871" s="70"/>
      <c r="G871" s="70"/>
      <c r="H871" s="70"/>
      <c r="I871" s="70"/>
    </row>
    <row r="872" spans="1:9" x14ac:dyDescent="0.25">
      <c r="A872" s="76"/>
      <c r="F872" s="70"/>
      <c r="G872" s="70"/>
      <c r="H872" s="70"/>
      <c r="I872" s="70"/>
    </row>
    <row r="873" spans="1:9" x14ac:dyDescent="0.25">
      <c r="A873" s="76"/>
      <c r="F873" s="70"/>
      <c r="G873" s="70"/>
      <c r="H873" s="70"/>
      <c r="I873" s="70"/>
    </row>
    <row r="874" spans="1:9" x14ac:dyDescent="0.25">
      <c r="A874" s="76"/>
      <c r="F874" s="70"/>
      <c r="G874" s="70"/>
      <c r="H874" s="70"/>
      <c r="I874" s="70"/>
    </row>
    <row r="875" spans="1:9" x14ac:dyDescent="0.25">
      <c r="A875" s="76"/>
      <c r="F875" s="70"/>
      <c r="G875" s="70"/>
      <c r="H875" s="70"/>
      <c r="I875" s="70"/>
    </row>
    <row r="876" spans="1:9" x14ac:dyDescent="0.25">
      <c r="A876" s="76"/>
      <c r="F876" s="70"/>
      <c r="G876" s="70"/>
      <c r="H876" s="70"/>
      <c r="I876" s="70"/>
    </row>
    <row r="877" spans="1:9" x14ac:dyDescent="0.25">
      <c r="A877" s="76"/>
      <c r="F877" s="70"/>
      <c r="G877" s="70"/>
      <c r="H877" s="70"/>
      <c r="I877" s="70"/>
    </row>
    <row r="878" spans="1:9" x14ac:dyDescent="0.25">
      <c r="A878" s="76"/>
      <c r="F878" s="70"/>
      <c r="G878" s="70"/>
      <c r="H878" s="70"/>
      <c r="I878" s="70"/>
    </row>
    <row r="879" spans="1:9" x14ac:dyDescent="0.25">
      <c r="A879" s="76"/>
      <c r="F879" s="70"/>
      <c r="G879" s="70"/>
      <c r="H879" s="70"/>
      <c r="I879" s="70"/>
    </row>
    <row r="880" spans="1:9" x14ac:dyDescent="0.25">
      <c r="A880" s="76"/>
      <c r="F880" s="70"/>
      <c r="G880" s="70"/>
      <c r="H880" s="70"/>
      <c r="I880" s="70"/>
    </row>
    <row r="881" spans="1:9" x14ac:dyDescent="0.25">
      <c r="A881" s="76"/>
      <c r="F881" s="70"/>
      <c r="G881" s="70"/>
      <c r="H881" s="70"/>
      <c r="I881" s="70"/>
    </row>
    <row r="882" spans="1:9" x14ac:dyDescent="0.25">
      <c r="A882" s="76"/>
      <c r="F882" s="70"/>
      <c r="G882" s="70"/>
      <c r="H882" s="70"/>
      <c r="I882" s="70"/>
    </row>
    <row r="883" spans="1:9" x14ac:dyDescent="0.25">
      <c r="A883" s="76"/>
      <c r="F883" s="70"/>
      <c r="G883" s="70"/>
      <c r="H883" s="70"/>
      <c r="I883" s="70"/>
    </row>
    <row r="884" spans="1:9" x14ac:dyDescent="0.25">
      <c r="A884" s="76"/>
      <c r="F884" s="70"/>
      <c r="G884" s="70"/>
      <c r="H884" s="70"/>
      <c r="I884" s="70"/>
    </row>
    <row r="885" spans="1:9" x14ac:dyDescent="0.25">
      <c r="A885" s="76"/>
      <c r="F885" s="70"/>
      <c r="G885" s="70"/>
      <c r="H885" s="70"/>
      <c r="I885" s="70"/>
    </row>
    <row r="886" spans="1:9" x14ac:dyDescent="0.25">
      <c r="A886" s="76"/>
      <c r="F886" s="70"/>
      <c r="G886" s="70"/>
      <c r="H886" s="70"/>
      <c r="I886" s="70"/>
    </row>
    <row r="887" spans="1:9" x14ac:dyDescent="0.25">
      <c r="A887" s="76"/>
      <c r="F887" s="70"/>
      <c r="G887" s="70"/>
      <c r="H887" s="70"/>
      <c r="I887" s="70"/>
    </row>
    <row r="888" spans="1:9" x14ac:dyDescent="0.25">
      <c r="A888" s="76"/>
      <c r="F888" s="70"/>
      <c r="G888" s="70"/>
      <c r="H888" s="70"/>
      <c r="I888" s="70"/>
    </row>
    <row r="889" spans="1:9" x14ac:dyDescent="0.25">
      <c r="A889" s="76"/>
      <c r="F889" s="70"/>
      <c r="G889" s="70"/>
      <c r="H889" s="70"/>
      <c r="I889" s="70"/>
    </row>
    <row r="890" spans="1:9" x14ac:dyDescent="0.25">
      <c r="A890" s="76"/>
      <c r="F890" s="70"/>
      <c r="G890" s="70"/>
      <c r="H890" s="70"/>
      <c r="I890" s="70"/>
    </row>
    <row r="891" spans="1:9" x14ac:dyDescent="0.25">
      <c r="A891" s="76"/>
      <c r="F891" s="70"/>
      <c r="G891" s="70"/>
      <c r="H891" s="70"/>
      <c r="I891" s="70"/>
    </row>
    <row r="892" spans="1:9" x14ac:dyDescent="0.25">
      <c r="A892" s="76"/>
      <c r="F892" s="70"/>
      <c r="G892" s="70"/>
      <c r="H892" s="70"/>
      <c r="I892" s="70"/>
    </row>
    <row r="893" spans="1:9" x14ac:dyDescent="0.25">
      <c r="A893" s="76"/>
      <c r="F893" s="70"/>
      <c r="G893" s="70"/>
      <c r="H893" s="70"/>
      <c r="I893" s="70"/>
    </row>
    <row r="894" spans="1:9" x14ac:dyDescent="0.25">
      <c r="A894" s="76"/>
      <c r="F894" s="70"/>
      <c r="G894" s="70"/>
      <c r="H894" s="70"/>
      <c r="I894" s="70"/>
    </row>
    <row r="895" spans="1:9" x14ac:dyDescent="0.25">
      <c r="A895" s="76"/>
      <c r="F895" s="70"/>
      <c r="G895" s="70"/>
      <c r="H895" s="70"/>
      <c r="I895" s="70"/>
    </row>
    <row r="896" spans="1:9" x14ac:dyDescent="0.25">
      <c r="A896" s="76"/>
      <c r="F896" s="70"/>
      <c r="G896" s="70"/>
      <c r="H896" s="70"/>
      <c r="I896" s="70"/>
    </row>
    <row r="897" spans="1:9" x14ac:dyDescent="0.25">
      <c r="A897" s="76"/>
      <c r="F897" s="70"/>
      <c r="G897" s="70"/>
      <c r="H897" s="70"/>
      <c r="I897" s="70"/>
    </row>
    <row r="898" spans="1:9" x14ac:dyDescent="0.25">
      <c r="A898" s="76"/>
      <c r="F898" s="70"/>
      <c r="G898" s="70"/>
      <c r="H898" s="70"/>
      <c r="I898" s="70"/>
    </row>
    <row r="899" spans="1:9" x14ac:dyDescent="0.25">
      <c r="A899" s="76"/>
      <c r="F899" s="70"/>
      <c r="G899" s="70"/>
      <c r="H899" s="70"/>
      <c r="I899" s="70"/>
    </row>
    <row r="900" spans="1:9" x14ac:dyDescent="0.25">
      <c r="A900" s="76"/>
      <c r="F900" s="70"/>
      <c r="G900" s="70"/>
      <c r="H900" s="70"/>
      <c r="I900" s="70"/>
    </row>
    <row r="901" spans="1:9" x14ac:dyDescent="0.25">
      <c r="A901" s="76"/>
      <c r="F901" s="70"/>
      <c r="G901" s="70"/>
      <c r="H901" s="70"/>
      <c r="I901" s="70"/>
    </row>
    <row r="902" spans="1:9" x14ac:dyDescent="0.25">
      <c r="A902" s="76"/>
      <c r="F902" s="70"/>
      <c r="G902" s="70"/>
      <c r="H902" s="70"/>
      <c r="I902" s="70"/>
    </row>
    <row r="903" spans="1:9" x14ac:dyDescent="0.25">
      <c r="A903" s="76"/>
      <c r="F903" s="70"/>
      <c r="G903" s="70"/>
      <c r="H903" s="70"/>
      <c r="I903" s="70"/>
    </row>
    <row r="904" spans="1:9" x14ac:dyDescent="0.25">
      <c r="A904" s="76"/>
      <c r="F904" s="70"/>
      <c r="G904" s="70"/>
      <c r="H904" s="70"/>
      <c r="I904" s="70"/>
    </row>
    <row r="905" spans="1:9" x14ac:dyDescent="0.25">
      <c r="A905" s="76"/>
      <c r="F905" s="70"/>
      <c r="G905" s="70"/>
      <c r="H905" s="70"/>
      <c r="I905" s="70"/>
    </row>
    <row r="906" spans="1:9" x14ac:dyDescent="0.25">
      <c r="A906" s="76"/>
      <c r="F906" s="70"/>
      <c r="G906" s="70"/>
      <c r="H906" s="70"/>
      <c r="I906" s="70"/>
    </row>
    <row r="907" spans="1:9" x14ac:dyDescent="0.25">
      <c r="A907" s="76"/>
      <c r="F907" s="70"/>
      <c r="G907" s="70"/>
      <c r="H907" s="70"/>
      <c r="I907" s="70"/>
    </row>
    <row r="908" spans="1:9" x14ac:dyDescent="0.25">
      <c r="A908" s="76"/>
      <c r="F908" s="70"/>
      <c r="G908" s="70"/>
      <c r="H908" s="70"/>
      <c r="I908" s="70"/>
    </row>
    <row r="909" spans="1:9" x14ac:dyDescent="0.25">
      <c r="A909" s="76"/>
      <c r="F909" s="70"/>
      <c r="G909" s="70"/>
      <c r="H909" s="70"/>
      <c r="I909" s="70"/>
    </row>
    <row r="910" spans="1:9" x14ac:dyDescent="0.25">
      <c r="A910" s="76"/>
      <c r="F910" s="70"/>
      <c r="G910" s="70"/>
      <c r="H910" s="70"/>
      <c r="I910" s="70"/>
    </row>
    <row r="911" spans="1:9" x14ac:dyDescent="0.25">
      <c r="A911" s="76"/>
      <c r="F911" s="70"/>
      <c r="G911" s="70"/>
      <c r="H911" s="70"/>
      <c r="I911" s="70"/>
    </row>
    <row r="912" spans="1:9" x14ac:dyDescent="0.25">
      <c r="A912" s="76"/>
      <c r="F912" s="70"/>
      <c r="G912" s="70"/>
      <c r="H912" s="70"/>
      <c r="I912" s="70"/>
    </row>
    <row r="913" spans="1:9" x14ac:dyDescent="0.25">
      <c r="A913" s="76"/>
      <c r="F913" s="70"/>
      <c r="G913" s="70"/>
      <c r="H913" s="70"/>
      <c r="I913" s="70"/>
    </row>
    <row r="914" spans="1:9" x14ac:dyDescent="0.25">
      <c r="A914" s="76"/>
      <c r="F914" s="70"/>
      <c r="G914" s="70"/>
      <c r="H914" s="70"/>
      <c r="I914" s="70"/>
    </row>
    <row r="915" spans="1:9" x14ac:dyDescent="0.25">
      <c r="A915" s="76"/>
      <c r="F915" s="70"/>
      <c r="G915" s="70"/>
      <c r="H915" s="70"/>
      <c r="I915" s="70"/>
    </row>
    <row r="916" spans="1:9" x14ac:dyDescent="0.25">
      <c r="A916" s="76"/>
      <c r="F916" s="70"/>
      <c r="G916" s="70"/>
      <c r="H916" s="70"/>
      <c r="I916" s="70"/>
    </row>
    <row r="917" spans="1:9" x14ac:dyDescent="0.25">
      <c r="A917" s="76"/>
      <c r="F917" s="70"/>
      <c r="G917" s="70"/>
      <c r="H917" s="70"/>
      <c r="I917" s="70"/>
    </row>
    <row r="918" spans="1:9" x14ac:dyDescent="0.25">
      <c r="A918" s="76"/>
      <c r="F918" s="70"/>
      <c r="G918" s="70"/>
      <c r="H918" s="70"/>
      <c r="I918" s="70"/>
    </row>
    <row r="919" spans="1:9" x14ac:dyDescent="0.25">
      <c r="A919" s="76"/>
      <c r="F919" s="70"/>
      <c r="G919" s="70"/>
      <c r="H919" s="70"/>
      <c r="I919" s="70"/>
    </row>
    <row r="920" spans="1:9" x14ac:dyDescent="0.25">
      <c r="A920" s="76"/>
      <c r="F920" s="70"/>
      <c r="G920" s="70"/>
      <c r="H920" s="70"/>
      <c r="I920" s="70"/>
    </row>
    <row r="921" spans="1:9" x14ac:dyDescent="0.25">
      <c r="A921" s="76"/>
      <c r="F921" s="70"/>
      <c r="G921" s="70"/>
      <c r="H921" s="70"/>
      <c r="I921" s="70"/>
    </row>
    <row r="922" spans="1:9" x14ac:dyDescent="0.25">
      <c r="A922" s="76"/>
      <c r="F922" s="70"/>
      <c r="G922" s="70"/>
      <c r="H922" s="70"/>
      <c r="I922" s="70"/>
    </row>
    <row r="923" spans="1:9" x14ac:dyDescent="0.25">
      <c r="A923" s="76"/>
      <c r="F923" s="70"/>
      <c r="G923" s="70"/>
      <c r="H923" s="70"/>
      <c r="I923" s="70"/>
    </row>
    <row r="924" spans="1:9" x14ac:dyDescent="0.25">
      <c r="A924" s="76"/>
      <c r="F924" s="70"/>
      <c r="G924" s="70"/>
      <c r="H924" s="70"/>
      <c r="I924" s="70"/>
    </row>
    <row r="925" spans="1:9" x14ac:dyDescent="0.25">
      <c r="A925" s="76"/>
      <c r="F925" s="70"/>
      <c r="G925" s="70"/>
      <c r="H925" s="70"/>
      <c r="I925" s="70"/>
    </row>
    <row r="926" spans="1:9" x14ac:dyDescent="0.25">
      <c r="A926" s="76"/>
      <c r="F926" s="70"/>
      <c r="G926" s="70"/>
      <c r="H926" s="70"/>
      <c r="I926" s="70"/>
    </row>
    <row r="927" spans="1:9" x14ac:dyDescent="0.25">
      <c r="A927" s="76"/>
      <c r="F927" s="70"/>
      <c r="G927" s="70"/>
      <c r="H927" s="70"/>
      <c r="I927" s="70"/>
    </row>
    <row r="928" spans="1:9" x14ac:dyDescent="0.25">
      <c r="A928" s="76"/>
      <c r="F928" s="70"/>
      <c r="G928" s="70"/>
      <c r="H928" s="70"/>
      <c r="I928" s="70"/>
    </row>
    <row r="929" spans="1:9" x14ac:dyDescent="0.25">
      <c r="A929" s="76"/>
      <c r="F929" s="70"/>
      <c r="G929" s="70"/>
      <c r="H929" s="70"/>
      <c r="I929" s="70"/>
    </row>
    <row r="930" spans="1:9" x14ac:dyDescent="0.25">
      <c r="A930" s="76"/>
      <c r="F930" s="70"/>
      <c r="G930" s="70"/>
      <c r="H930" s="70"/>
      <c r="I930" s="70"/>
    </row>
    <row r="931" spans="1:9" x14ac:dyDescent="0.25">
      <c r="A931" s="76"/>
      <c r="F931" s="70"/>
      <c r="G931" s="70"/>
      <c r="H931" s="70"/>
      <c r="I931" s="70"/>
    </row>
    <row r="932" spans="1:9" x14ac:dyDescent="0.25">
      <c r="A932" s="76"/>
      <c r="F932" s="70"/>
      <c r="G932" s="70"/>
      <c r="H932" s="70"/>
      <c r="I932" s="70"/>
    </row>
    <row r="933" spans="1:9" x14ac:dyDescent="0.25">
      <c r="A933" s="76"/>
      <c r="F933" s="70"/>
      <c r="G933" s="70"/>
      <c r="H933" s="70"/>
      <c r="I933" s="70"/>
    </row>
    <row r="934" spans="1:9" x14ac:dyDescent="0.25">
      <c r="A934" s="76"/>
      <c r="F934" s="70"/>
      <c r="G934" s="70"/>
      <c r="H934" s="70"/>
      <c r="I934" s="70"/>
    </row>
    <row r="935" spans="1:9" x14ac:dyDescent="0.25">
      <c r="A935" s="76"/>
      <c r="F935" s="70"/>
      <c r="G935" s="70"/>
      <c r="H935" s="70"/>
      <c r="I935" s="70"/>
    </row>
    <row r="936" spans="1:9" x14ac:dyDescent="0.25">
      <c r="A936" s="76"/>
      <c r="F936" s="70"/>
      <c r="G936" s="70"/>
      <c r="H936" s="70"/>
      <c r="I936" s="70"/>
    </row>
    <row r="937" spans="1:9" x14ac:dyDescent="0.25">
      <c r="A937" s="76"/>
      <c r="F937" s="70"/>
      <c r="G937" s="70"/>
      <c r="H937" s="70"/>
      <c r="I937" s="70"/>
    </row>
    <row r="938" spans="1:9" x14ac:dyDescent="0.25">
      <c r="A938" s="76"/>
      <c r="F938" s="70"/>
      <c r="G938" s="70"/>
      <c r="H938" s="70"/>
      <c r="I938" s="70"/>
    </row>
    <row r="939" spans="1:9" x14ac:dyDescent="0.25">
      <c r="A939" s="76"/>
      <c r="F939" s="70"/>
      <c r="G939" s="70"/>
      <c r="H939" s="70"/>
      <c r="I939" s="70"/>
    </row>
    <row r="940" spans="1:9" x14ac:dyDescent="0.25">
      <c r="A940" s="76"/>
      <c r="F940" s="70"/>
      <c r="G940" s="70"/>
      <c r="H940" s="70"/>
      <c r="I940" s="70"/>
    </row>
    <row r="941" spans="1:9" x14ac:dyDescent="0.25">
      <c r="A941" s="76"/>
      <c r="F941" s="70"/>
      <c r="G941" s="70"/>
      <c r="H941" s="70"/>
      <c r="I941" s="70"/>
    </row>
    <row r="942" spans="1:9" x14ac:dyDescent="0.25">
      <c r="A942" s="76"/>
      <c r="F942" s="70"/>
      <c r="G942" s="70"/>
      <c r="H942" s="70"/>
      <c r="I942" s="70"/>
    </row>
    <row r="943" spans="1:9" x14ac:dyDescent="0.25">
      <c r="A943" s="76"/>
      <c r="F943" s="70"/>
      <c r="G943" s="70"/>
      <c r="H943" s="70"/>
      <c r="I943" s="70"/>
    </row>
    <row r="944" spans="1:9" x14ac:dyDescent="0.25">
      <c r="A944" s="76"/>
      <c r="F944" s="70"/>
      <c r="G944" s="70"/>
      <c r="H944" s="70"/>
      <c r="I944" s="70"/>
    </row>
    <row r="945" spans="1:9" x14ac:dyDescent="0.25">
      <c r="A945" s="76"/>
      <c r="F945" s="70"/>
      <c r="G945" s="70"/>
      <c r="H945" s="70"/>
      <c r="I945" s="70"/>
    </row>
    <row r="946" spans="1:9" x14ac:dyDescent="0.25">
      <c r="A946" s="76"/>
      <c r="F946" s="70"/>
      <c r="G946" s="70"/>
      <c r="H946" s="70"/>
      <c r="I946" s="70"/>
    </row>
    <row r="947" spans="1:9" x14ac:dyDescent="0.25">
      <c r="A947" s="76"/>
      <c r="F947" s="70"/>
      <c r="G947" s="70"/>
      <c r="H947" s="70"/>
      <c r="I947" s="70"/>
    </row>
    <row r="948" spans="1:9" x14ac:dyDescent="0.25">
      <c r="A948" s="76"/>
      <c r="F948" s="70"/>
      <c r="G948" s="70"/>
      <c r="H948" s="70"/>
      <c r="I948" s="70"/>
    </row>
    <row r="949" spans="1:9" x14ac:dyDescent="0.25">
      <c r="A949" s="76"/>
      <c r="F949" s="70"/>
      <c r="G949" s="70"/>
      <c r="H949" s="70"/>
      <c r="I949" s="70"/>
    </row>
    <row r="950" spans="1:9" x14ac:dyDescent="0.25">
      <c r="A950" s="76"/>
      <c r="F950" s="70"/>
      <c r="G950" s="70"/>
      <c r="H950" s="70"/>
      <c r="I950" s="70"/>
    </row>
    <row r="951" spans="1:9" x14ac:dyDescent="0.25">
      <c r="A951" s="76"/>
      <c r="F951" s="70"/>
      <c r="G951" s="70"/>
      <c r="H951" s="70"/>
      <c r="I951" s="70"/>
    </row>
    <row r="952" spans="1:9" x14ac:dyDescent="0.25">
      <c r="A952" s="76"/>
      <c r="F952" s="70"/>
      <c r="G952" s="70"/>
      <c r="H952" s="70"/>
      <c r="I952" s="70"/>
    </row>
    <row r="953" spans="1:9" x14ac:dyDescent="0.25">
      <c r="A953" s="76"/>
      <c r="F953" s="70"/>
      <c r="G953" s="70"/>
      <c r="H953" s="70"/>
      <c r="I953" s="70"/>
    </row>
    <row r="954" spans="1:9" x14ac:dyDescent="0.25">
      <c r="A954" s="76"/>
      <c r="F954" s="70"/>
      <c r="G954" s="70"/>
      <c r="H954" s="70"/>
      <c r="I954" s="70"/>
    </row>
    <row r="955" spans="1:9" x14ac:dyDescent="0.25">
      <c r="A955" s="76"/>
      <c r="F955" s="70"/>
      <c r="G955" s="70"/>
      <c r="H955" s="70"/>
      <c r="I955" s="70"/>
    </row>
    <row r="956" spans="1:9" x14ac:dyDescent="0.25">
      <c r="A956" s="76"/>
      <c r="F956" s="70"/>
      <c r="G956" s="70"/>
      <c r="H956" s="70"/>
      <c r="I956" s="70"/>
    </row>
    <row r="957" spans="1:9" x14ac:dyDescent="0.25">
      <c r="A957" s="76"/>
      <c r="F957" s="70"/>
      <c r="G957" s="70"/>
      <c r="H957" s="70"/>
      <c r="I957" s="70"/>
    </row>
    <row r="958" spans="1:9" x14ac:dyDescent="0.25">
      <c r="A958" s="76"/>
      <c r="F958" s="70"/>
      <c r="G958" s="70"/>
      <c r="H958" s="70"/>
      <c r="I958" s="70"/>
    </row>
    <row r="959" spans="1:9" x14ac:dyDescent="0.25">
      <c r="A959" s="76"/>
      <c r="F959" s="70"/>
      <c r="G959" s="70"/>
      <c r="H959" s="70"/>
      <c r="I959" s="70"/>
    </row>
    <row r="960" spans="1:9" x14ac:dyDescent="0.25">
      <c r="A960" s="76"/>
      <c r="F960" s="70"/>
      <c r="G960" s="70"/>
      <c r="H960" s="70"/>
      <c r="I960" s="70"/>
    </row>
    <row r="961" spans="1:9" x14ac:dyDescent="0.25">
      <c r="A961" s="76"/>
      <c r="F961" s="70"/>
      <c r="G961" s="70"/>
      <c r="H961" s="70"/>
      <c r="I961" s="70"/>
    </row>
    <row r="962" spans="1:9" x14ac:dyDescent="0.25">
      <c r="A962" s="76"/>
      <c r="F962" s="70"/>
      <c r="G962" s="70"/>
      <c r="H962" s="70"/>
      <c r="I962" s="70"/>
    </row>
    <row r="963" spans="1:9" x14ac:dyDescent="0.25">
      <c r="A963" s="76"/>
      <c r="F963" s="70"/>
      <c r="G963" s="70"/>
      <c r="H963" s="70"/>
      <c r="I963" s="70"/>
    </row>
    <row r="964" spans="1:9" x14ac:dyDescent="0.25">
      <c r="A964" s="76"/>
      <c r="F964" s="70"/>
      <c r="G964" s="70"/>
      <c r="H964" s="70"/>
      <c r="I964" s="70"/>
    </row>
    <row r="965" spans="1:9" x14ac:dyDescent="0.25">
      <c r="A965" s="76"/>
      <c r="F965" s="70"/>
      <c r="G965" s="70"/>
      <c r="H965" s="70"/>
      <c r="I965" s="70"/>
    </row>
    <row r="966" spans="1:9" x14ac:dyDescent="0.25">
      <c r="A966" s="76"/>
      <c r="F966" s="70"/>
      <c r="G966" s="70"/>
      <c r="H966" s="70"/>
      <c r="I966" s="70"/>
    </row>
    <row r="967" spans="1:9" x14ac:dyDescent="0.25">
      <c r="A967" s="76"/>
      <c r="F967" s="70"/>
      <c r="G967" s="70"/>
      <c r="H967" s="70"/>
      <c r="I967" s="70"/>
    </row>
    <row r="968" spans="1:9" x14ac:dyDescent="0.25">
      <c r="A968" s="76"/>
      <c r="F968" s="70"/>
      <c r="G968" s="70"/>
      <c r="H968" s="70"/>
      <c r="I968" s="70"/>
    </row>
    <row r="969" spans="1:9" x14ac:dyDescent="0.25">
      <c r="A969" s="76"/>
      <c r="F969" s="70"/>
      <c r="G969" s="70"/>
      <c r="H969" s="70"/>
      <c r="I969" s="70"/>
    </row>
    <row r="970" spans="1:9" x14ac:dyDescent="0.25">
      <c r="A970" s="76"/>
      <c r="F970" s="70"/>
      <c r="G970" s="70"/>
      <c r="H970" s="70"/>
      <c r="I970" s="70"/>
    </row>
    <row r="971" spans="1:9" x14ac:dyDescent="0.25">
      <c r="A971" s="76"/>
      <c r="F971" s="70"/>
      <c r="G971" s="70"/>
      <c r="H971" s="70"/>
      <c r="I971" s="70"/>
    </row>
    <row r="972" spans="1:9" x14ac:dyDescent="0.25">
      <c r="A972" s="76"/>
      <c r="F972" s="70"/>
      <c r="G972" s="70"/>
      <c r="H972" s="70"/>
      <c r="I972" s="70"/>
    </row>
    <row r="973" spans="1:9" x14ac:dyDescent="0.25">
      <c r="A973" s="75"/>
      <c r="F973" s="70"/>
      <c r="G973" s="70"/>
      <c r="H973" s="70"/>
      <c r="I973" s="70"/>
    </row>
    <row r="974" spans="1:9" x14ac:dyDescent="0.25">
      <c r="A974" s="75"/>
      <c r="F974" s="70"/>
      <c r="G974" s="70"/>
      <c r="H974" s="70"/>
      <c r="I974" s="70"/>
    </row>
    <row r="975" spans="1:9" x14ac:dyDescent="0.25">
      <c r="A975" s="75"/>
      <c r="F975" s="70"/>
      <c r="G975" s="70"/>
      <c r="H975" s="70"/>
      <c r="I975" s="70"/>
    </row>
    <row r="976" spans="1:9" x14ac:dyDescent="0.25">
      <c r="A976" s="75"/>
      <c r="F976" s="70"/>
      <c r="G976" s="70"/>
      <c r="H976" s="70"/>
      <c r="I976" s="70"/>
    </row>
    <row r="977" spans="1:9" x14ac:dyDescent="0.25">
      <c r="A977" s="75"/>
      <c r="F977" s="70"/>
      <c r="G977" s="70"/>
      <c r="H977" s="70"/>
      <c r="I977" s="70"/>
    </row>
    <row r="978" spans="1:9" x14ac:dyDescent="0.25">
      <c r="A978" s="75"/>
      <c r="F978" s="70"/>
      <c r="G978" s="70"/>
      <c r="H978" s="70"/>
      <c r="I978" s="70"/>
    </row>
    <row r="979" spans="1:9" x14ac:dyDescent="0.25">
      <c r="A979" s="75"/>
      <c r="F979" s="70"/>
      <c r="G979" s="70"/>
      <c r="H979" s="70"/>
      <c r="I979" s="70"/>
    </row>
    <row r="980" spans="1:9" x14ac:dyDescent="0.25">
      <c r="A980" s="75"/>
      <c r="F980" s="70"/>
      <c r="G980" s="70"/>
      <c r="H980" s="70"/>
      <c r="I980" s="70"/>
    </row>
    <row r="981" spans="1:9" x14ac:dyDescent="0.25">
      <c r="A981" s="75"/>
      <c r="F981" s="70"/>
      <c r="G981" s="70"/>
      <c r="H981" s="70"/>
      <c r="I981" s="70"/>
    </row>
    <row r="982" spans="1:9" x14ac:dyDescent="0.25">
      <c r="A982" s="75"/>
      <c r="F982" s="70"/>
      <c r="G982" s="70"/>
      <c r="H982" s="70"/>
      <c r="I982" s="70"/>
    </row>
    <row r="983" spans="1:9" x14ac:dyDescent="0.25">
      <c r="A983" s="75"/>
      <c r="F983" s="70"/>
      <c r="G983" s="70"/>
      <c r="H983" s="70"/>
      <c r="I983" s="70"/>
    </row>
    <row r="984" spans="1:9" x14ac:dyDescent="0.25">
      <c r="A984" s="75"/>
      <c r="F984" s="70"/>
      <c r="G984" s="70"/>
      <c r="H984" s="70"/>
      <c r="I984" s="70"/>
    </row>
    <row r="985" spans="1:9" x14ac:dyDescent="0.25">
      <c r="A985" s="75"/>
      <c r="F985" s="70"/>
      <c r="G985" s="70"/>
      <c r="H985" s="70"/>
      <c r="I985" s="70"/>
    </row>
    <row r="986" spans="1:9" x14ac:dyDescent="0.25">
      <c r="A986" s="75"/>
      <c r="F986" s="70"/>
      <c r="G986" s="70"/>
      <c r="H986" s="70"/>
      <c r="I986" s="70"/>
    </row>
    <row r="987" spans="1:9" x14ac:dyDescent="0.25">
      <c r="A987" s="75"/>
      <c r="F987" s="70"/>
      <c r="G987" s="70"/>
      <c r="H987" s="70"/>
      <c r="I987" s="70"/>
    </row>
    <row r="988" spans="1:9" x14ac:dyDescent="0.25">
      <c r="A988" s="75"/>
      <c r="F988" s="70"/>
      <c r="G988" s="70"/>
      <c r="H988" s="70"/>
      <c r="I988" s="70"/>
    </row>
    <row r="989" spans="1:9" x14ac:dyDescent="0.25">
      <c r="A989" s="75"/>
      <c r="F989" s="70"/>
      <c r="G989" s="70"/>
      <c r="H989" s="70"/>
      <c r="I989" s="70"/>
    </row>
    <row r="990" spans="1:9" x14ac:dyDescent="0.25">
      <c r="A990" s="75"/>
      <c r="F990" s="70"/>
      <c r="G990" s="70"/>
      <c r="H990" s="70"/>
      <c r="I990" s="70"/>
    </row>
    <row r="991" spans="1:9" x14ac:dyDescent="0.25">
      <c r="A991" s="75"/>
      <c r="F991" s="70"/>
      <c r="G991" s="70"/>
      <c r="H991" s="70"/>
      <c r="I991" s="70"/>
    </row>
    <row r="992" spans="1:9" x14ac:dyDescent="0.25">
      <c r="A992" s="75"/>
      <c r="F992" s="70"/>
      <c r="G992" s="70"/>
      <c r="H992" s="70"/>
      <c r="I992" s="70"/>
    </row>
    <row r="993" spans="1:9" x14ac:dyDescent="0.25">
      <c r="A993" s="75"/>
      <c r="F993" s="70"/>
      <c r="G993" s="70"/>
      <c r="H993" s="70"/>
      <c r="I993" s="70"/>
    </row>
    <row r="994" spans="1:9" x14ac:dyDescent="0.25">
      <c r="A994" s="75"/>
      <c r="F994" s="70"/>
      <c r="G994" s="70"/>
      <c r="H994" s="70"/>
      <c r="I994" s="70"/>
    </row>
    <row r="995" spans="1:9" x14ac:dyDescent="0.25">
      <c r="A995" s="75"/>
      <c r="F995" s="70"/>
      <c r="G995" s="70"/>
      <c r="H995" s="70"/>
      <c r="I995" s="70"/>
    </row>
    <row r="996" spans="1:9" x14ac:dyDescent="0.25">
      <c r="A996" s="75"/>
      <c r="F996" s="70"/>
      <c r="G996" s="70"/>
      <c r="H996" s="70"/>
      <c r="I996" s="70"/>
    </row>
    <row r="997" spans="1:9" x14ac:dyDescent="0.25">
      <c r="A997" s="39"/>
      <c r="F997" s="70"/>
      <c r="G997" s="70"/>
      <c r="H997" s="70"/>
      <c r="I997" s="70"/>
    </row>
    <row r="998" spans="1:9" x14ac:dyDescent="0.25">
      <c r="A998" s="39"/>
      <c r="F998" s="70"/>
      <c r="G998" s="70"/>
      <c r="H998" s="70"/>
      <c r="I998" s="70"/>
    </row>
    <row r="999" spans="1:9" x14ac:dyDescent="0.25">
      <c r="A999" s="39"/>
      <c r="F999" s="70"/>
      <c r="G999" s="70"/>
      <c r="H999" s="70"/>
      <c r="I999" s="70"/>
    </row>
    <row r="1000" spans="1:9" x14ac:dyDescent="0.25">
      <c r="A1000" s="39"/>
      <c r="F1000" s="70"/>
      <c r="G1000" s="70"/>
      <c r="H1000" s="70"/>
      <c r="I1000" s="70"/>
    </row>
    <row r="1001" spans="1:9" x14ac:dyDescent="0.25">
      <c r="A1001" s="39"/>
      <c r="F1001" s="70"/>
      <c r="G1001" s="70"/>
      <c r="H1001" s="70"/>
      <c r="I1001" s="70"/>
    </row>
    <row r="1002" spans="1:9" x14ac:dyDescent="0.25">
      <c r="F1002" s="70"/>
      <c r="G1002" s="70"/>
      <c r="H1002" s="70"/>
      <c r="I1002" s="70"/>
    </row>
  </sheetData>
  <autoFilter ref="A1:M51" xr:uid="{03B94C9D-0646-413C-B61C-349F9851D0BF}"/>
  <sortState xmlns:xlrd2="http://schemas.microsoft.com/office/spreadsheetml/2017/richdata2" ref="A2:M51">
    <sortCondition ref="B2:B51"/>
  </sortState>
  <dataValidations count="2">
    <dataValidation type="whole" allowBlank="1" showInputMessage="1" showErrorMessage="1" sqref="E2:F2" xr:uid="{0FD8602D-1685-4F2F-A1AE-44280BFB6432}">
      <formula1>0</formula1>
      <formula2>6</formula2>
    </dataValidation>
    <dataValidation type="whole" allowBlank="1" showInputMessage="1" showErrorMessage="1" sqref="B2:C2" xr:uid="{99C3DD0D-00FD-4933-919C-C78AA292D3D0}">
      <formula1>25</formula1>
      <formula2>64</formula2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E30DA-19D0-4167-BE9E-667843510857}">
  <sheetPr codeName="Sheet5"/>
  <dimension ref="A1:E58"/>
  <sheetViews>
    <sheetView workbookViewId="0"/>
  </sheetViews>
  <sheetFormatPr defaultRowHeight="15" x14ac:dyDescent="0.25"/>
  <cols>
    <col min="1" max="1" width="28" bestFit="1" customWidth="1"/>
    <col min="2" max="2" width="22.7109375" customWidth="1"/>
    <col min="3" max="4" width="13.7109375" bestFit="1" customWidth="1"/>
  </cols>
  <sheetData>
    <row r="1" spans="1:5" x14ac:dyDescent="0.25">
      <c r="A1" t="s">
        <v>65</v>
      </c>
      <c r="B1" t="s">
        <v>66</v>
      </c>
      <c r="C1" t="s">
        <v>67</v>
      </c>
      <c r="D1" t="s">
        <v>68</v>
      </c>
      <c r="E1" t="s">
        <v>133</v>
      </c>
    </row>
    <row r="2" spans="1:5" x14ac:dyDescent="0.25">
      <c r="A2" s="67"/>
      <c r="B2" s="67" t="s">
        <v>69</v>
      </c>
      <c r="C2" s="67"/>
      <c r="D2" s="67"/>
      <c r="E2" s="67"/>
    </row>
    <row r="3" spans="1:5" x14ac:dyDescent="0.25">
      <c r="A3" s="67"/>
      <c r="B3" s="67" t="s">
        <v>70</v>
      </c>
      <c r="C3" s="67"/>
      <c r="D3" s="67"/>
      <c r="E3" s="67"/>
    </row>
    <row r="4" spans="1:5" x14ac:dyDescent="0.25">
      <c r="A4" s="67"/>
      <c r="B4" s="67" t="s">
        <v>71</v>
      </c>
      <c r="C4" s="67" t="s">
        <v>72</v>
      </c>
      <c r="D4" s="67" t="s">
        <v>71</v>
      </c>
      <c r="E4" s="67"/>
    </row>
    <row r="5" spans="1:5" x14ac:dyDescent="0.25">
      <c r="A5" s="67" t="s">
        <v>131</v>
      </c>
      <c r="B5" s="67" t="s">
        <v>73</v>
      </c>
      <c r="C5" s="67" t="s">
        <v>74</v>
      </c>
      <c r="D5" s="67" t="s">
        <v>75</v>
      </c>
      <c r="E5" s="67" t="s">
        <v>134</v>
      </c>
    </row>
    <row r="6" spans="1:5" x14ac:dyDescent="0.25">
      <c r="A6" s="67" t="s">
        <v>76</v>
      </c>
      <c r="B6" s="68">
        <v>66700</v>
      </c>
      <c r="C6" s="68">
        <v>70400</v>
      </c>
      <c r="D6" s="68">
        <v>55100</v>
      </c>
      <c r="E6" s="67" t="s">
        <v>135</v>
      </c>
    </row>
    <row r="7" spans="1:5" x14ac:dyDescent="0.25">
      <c r="A7" s="67" t="s">
        <v>77</v>
      </c>
      <c r="B7" s="68">
        <v>93900</v>
      </c>
      <c r="C7" s="68">
        <v>99500</v>
      </c>
      <c r="D7" s="68">
        <v>80600</v>
      </c>
      <c r="E7" s="67" t="s">
        <v>136</v>
      </c>
    </row>
    <row r="8" spans="1:5" x14ac:dyDescent="0.25">
      <c r="A8" s="67" t="s">
        <v>78</v>
      </c>
      <c r="B8" s="68">
        <v>73200</v>
      </c>
      <c r="C8" s="68">
        <v>74300</v>
      </c>
      <c r="D8" s="68">
        <v>51900</v>
      </c>
      <c r="E8" s="67" t="s">
        <v>137</v>
      </c>
    </row>
    <row r="9" spans="1:5" x14ac:dyDescent="0.25">
      <c r="A9" s="67" t="s">
        <v>79</v>
      </c>
      <c r="B9" s="68">
        <v>60700</v>
      </c>
      <c r="C9" s="68">
        <v>66900</v>
      </c>
      <c r="D9" s="68">
        <v>54100</v>
      </c>
      <c r="E9" s="67" t="s">
        <v>138</v>
      </c>
    </row>
    <row r="10" spans="1:5" x14ac:dyDescent="0.25">
      <c r="A10" s="67" t="s">
        <v>80</v>
      </c>
      <c r="B10" s="68">
        <v>90100</v>
      </c>
      <c r="C10" s="68">
        <v>90600</v>
      </c>
      <c r="D10" s="68">
        <v>69700</v>
      </c>
      <c r="E10" s="67" t="s">
        <v>139</v>
      </c>
    </row>
    <row r="11" spans="1:5" x14ac:dyDescent="0.25">
      <c r="A11" s="67" t="s">
        <v>81</v>
      </c>
      <c r="B11" s="68">
        <v>93000</v>
      </c>
      <c r="C11" s="68">
        <v>96500</v>
      </c>
      <c r="D11" s="68">
        <v>73500</v>
      </c>
      <c r="E11" s="67" t="s">
        <v>140</v>
      </c>
    </row>
    <row r="12" spans="1:5" x14ac:dyDescent="0.25">
      <c r="A12" s="67" t="s">
        <v>82</v>
      </c>
      <c r="B12" s="68">
        <v>102600</v>
      </c>
      <c r="C12" s="68">
        <v>102500</v>
      </c>
      <c r="D12" s="68">
        <v>102900</v>
      </c>
      <c r="E12" s="67" t="s">
        <v>141</v>
      </c>
    </row>
    <row r="13" spans="1:5" x14ac:dyDescent="0.25">
      <c r="A13" s="67" t="s">
        <v>83</v>
      </c>
      <c r="B13" s="68">
        <v>83000</v>
      </c>
      <c r="C13" s="68">
        <v>83000</v>
      </c>
      <c r="D13" s="68" t="s">
        <v>84</v>
      </c>
      <c r="E13" s="67" t="s">
        <v>142</v>
      </c>
    </row>
    <row r="14" spans="1:5" x14ac:dyDescent="0.25">
      <c r="A14" s="67" t="s">
        <v>85</v>
      </c>
      <c r="B14" s="68">
        <v>123100</v>
      </c>
      <c r="C14" s="68">
        <v>123100</v>
      </c>
      <c r="D14" s="68" t="s">
        <v>84</v>
      </c>
      <c r="E14" s="67" t="s">
        <v>143</v>
      </c>
    </row>
    <row r="15" spans="1:5" x14ac:dyDescent="0.25">
      <c r="A15" s="67" t="s">
        <v>86</v>
      </c>
      <c r="B15" s="68">
        <v>70000</v>
      </c>
      <c r="C15" s="68">
        <v>70600</v>
      </c>
      <c r="D15" s="68">
        <v>55400</v>
      </c>
      <c r="E15" s="67" t="s">
        <v>144</v>
      </c>
    </row>
    <row r="16" spans="1:5" x14ac:dyDescent="0.25">
      <c r="A16" s="67" t="s">
        <v>87</v>
      </c>
      <c r="B16" s="68">
        <v>74700</v>
      </c>
      <c r="C16" s="68">
        <v>79700</v>
      </c>
      <c r="D16" s="68">
        <v>54900</v>
      </c>
      <c r="E16" s="67" t="s">
        <v>145</v>
      </c>
    </row>
    <row r="17" spans="1:5" x14ac:dyDescent="0.25">
      <c r="A17" s="67" t="s">
        <v>88</v>
      </c>
      <c r="B17" s="68">
        <v>99800</v>
      </c>
      <c r="C17" s="68">
        <v>104700</v>
      </c>
      <c r="D17" s="68">
        <v>81100</v>
      </c>
      <c r="E17" s="67" t="s">
        <v>146</v>
      </c>
    </row>
    <row r="18" spans="1:5" x14ac:dyDescent="0.25">
      <c r="A18" s="67" t="s">
        <v>89</v>
      </c>
      <c r="B18" s="68">
        <v>69000</v>
      </c>
      <c r="C18" s="68">
        <v>72500</v>
      </c>
      <c r="D18" s="68">
        <v>59500</v>
      </c>
      <c r="E18" s="67" t="s">
        <v>147</v>
      </c>
    </row>
    <row r="19" spans="1:5" x14ac:dyDescent="0.25">
      <c r="A19" s="67" t="s">
        <v>90</v>
      </c>
      <c r="B19" s="68">
        <v>85000</v>
      </c>
      <c r="C19" s="68">
        <v>88400</v>
      </c>
      <c r="D19" s="68">
        <v>67900</v>
      </c>
      <c r="E19" s="67" t="s">
        <v>148</v>
      </c>
    </row>
    <row r="20" spans="1:5" x14ac:dyDescent="0.25">
      <c r="A20" s="67" t="s">
        <v>91</v>
      </c>
      <c r="B20" s="68">
        <v>73300</v>
      </c>
      <c r="C20" s="68">
        <v>75300</v>
      </c>
      <c r="D20" s="68">
        <v>66800</v>
      </c>
      <c r="E20" s="67" t="s">
        <v>149</v>
      </c>
    </row>
    <row r="21" spans="1:5" x14ac:dyDescent="0.25">
      <c r="A21" s="67" t="s">
        <v>92</v>
      </c>
      <c r="B21" s="68">
        <v>79500</v>
      </c>
      <c r="C21" s="68">
        <v>85400</v>
      </c>
      <c r="D21" s="68">
        <v>71800</v>
      </c>
      <c r="E21" s="67" t="s">
        <v>150</v>
      </c>
    </row>
    <row r="22" spans="1:5" x14ac:dyDescent="0.25">
      <c r="A22" s="67" t="s">
        <v>93</v>
      </c>
      <c r="B22" s="68">
        <v>77400</v>
      </c>
      <c r="C22" s="68">
        <v>85200</v>
      </c>
      <c r="D22" s="68">
        <v>65100</v>
      </c>
      <c r="E22" s="67" t="s">
        <v>151</v>
      </c>
    </row>
    <row r="23" spans="1:5" x14ac:dyDescent="0.25">
      <c r="A23" s="67" t="s">
        <v>94</v>
      </c>
      <c r="B23" s="68">
        <v>65100</v>
      </c>
      <c r="C23" s="68">
        <v>74400</v>
      </c>
      <c r="D23" s="68">
        <v>54300</v>
      </c>
      <c r="E23" s="67" t="s">
        <v>152</v>
      </c>
    </row>
    <row r="24" spans="1:5" x14ac:dyDescent="0.25">
      <c r="A24" s="67" t="s">
        <v>95</v>
      </c>
      <c r="B24" s="68">
        <v>64700</v>
      </c>
      <c r="C24" s="68">
        <v>68300</v>
      </c>
      <c r="D24" s="68">
        <v>48400</v>
      </c>
      <c r="E24" s="67" t="s">
        <v>153</v>
      </c>
    </row>
    <row r="25" spans="1:5" x14ac:dyDescent="0.25">
      <c r="A25" s="67" t="s">
        <v>96</v>
      </c>
      <c r="B25" s="68">
        <v>75700</v>
      </c>
      <c r="C25" s="68">
        <v>85100</v>
      </c>
      <c r="D25" s="68">
        <v>63600</v>
      </c>
      <c r="E25" s="67" t="s">
        <v>154</v>
      </c>
    </row>
    <row r="26" spans="1:5" x14ac:dyDescent="0.25">
      <c r="A26" s="67" t="s">
        <v>97</v>
      </c>
      <c r="B26" s="68">
        <v>106000</v>
      </c>
      <c r="C26" s="68">
        <v>107000</v>
      </c>
      <c r="D26" s="68">
        <v>72000</v>
      </c>
      <c r="E26" s="67" t="s">
        <v>155</v>
      </c>
    </row>
    <row r="27" spans="1:5" x14ac:dyDescent="0.25">
      <c r="A27" s="67" t="s">
        <v>98</v>
      </c>
      <c r="B27" s="68">
        <v>106200</v>
      </c>
      <c r="C27" s="68">
        <v>106500</v>
      </c>
      <c r="D27" s="68">
        <v>84100</v>
      </c>
      <c r="E27" s="67" t="s">
        <v>156</v>
      </c>
    </row>
    <row r="28" spans="1:5" x14ac:dyDescent="0.25">
      <c r="A28" s="67" t="s">
        <v>99</v>
      </c>
      <c r="B28" s="68">
        <v>75300</v>
      </c>
      <c r="C28" s="68">
        <v>78500</v>
      </c>
      <c r="D28" s="68">
        <v>64500</v>
      </c>
      <c r="E28" s="67" t="s">
        <v>157</v>
      </c>
    </row>
    <row r="29" spans="1:5" x14ac:dyDescent="0.25">
      <c r="A29" s="67" t="s">
        <v>100</v>
      </c>
      <c r="B29" s="68">
        <v>93100</v>
      </c>
      <c r="C29" s="68">
        <v>99600</v>
      </c>
      <c r="D29" s="68">
        <v>74500</v>
      </c>
      <c r="E29" s="67" t="s">
        <v>158</v>
      </c>
    </row>
    <row r="30" spans="1:5" x14ac:dyDescent="0.25">
      <c r="A30" s="67" t="s">
        <v>101</v>
      </c>
      <c r="B30" s="68">
        <v>60000</v>
      </c>
      <c r="C30" s="68">
        <v>68200</v>
      </c>
      <c r="D30" s="68">
        <v>53100</v>
      </c>
      <c r="E30" s="67" t="s">
        <v>159</v>
      </c>
    </row>
    <row r="31" spans="1:5" x14ac:dyDescent="0.25">
      <c r="A31" s="67" t="s">
        <v>102</v>
      </c>
      <c r="B31" s="68">
        <v>72300</v>
      </c>
      <c r="C31" s="68">
        <v>78900</v>
      </c>
      <c r="D31" s="68">
        <v>56300</v>
      </c>
      <c r="E31" s="67" t="s">
        <v>160</v>
      </c>
    </row>
    <row r="32" spans="1:5" x14ac:dyDescent="0.25">
      <c r="A32" s="67" t="s">
        <v>103</v>
      </c>
      <c r="B32" s="68">
        <v>72100</v>
      </c>
      <c r="C32" s="68">
        <v>73800</v>
      </c>
      <c r="D32" s="68">
        <v>71000</v>
      </c>
      <c r="E32" s="67" t="s">
        <v>161</v>
      </c>
    </row>
    <row r="33" spans="1:5" x14ac:dyDescent="0.25">
      <c r="A33" s="67" t="s">
        <v>104</v>
      </c>
      <c r="B33" s="68">
        <v>79400</v>
      </c>
      <c r="C33" s="68">
        <v>85600</v>
      </c>
      <c r="D33" s="68">
        <v>70300</v>
      </c>
      <c r="E33" s="67" t="s">
        <v>162</v>
      </c>
    </row>
    <row r="34" spans="1:5" x14ac:dyDescent="0.25">
      <c r="A34" s="67" t="s">
        <v>105</v>
      </c>
      <c r="B34" s="68">
        <v>75100</v>
      </c>
      <c r="C34" s="68">
        <v>74500</v>
      </c>
      <c r="D34" s="68">
        <v>80100</v>
      </c>
      <c r="E34" s="67" t="s">
        <v>163</v>
      </c>
    </row>
    <row r="35" spans="1:5" x14ac:dyDescent="0.25">
      <c r="A35" s="67" t="s">
        <v>106</v>
      </c>
      <c r="B35" s="68">
        <v>98200</v>
      </c>
      <c r="C35" s="68">
        <v>106200</v>
      </c>
      <c r="D35" s="68">
        <v>85300</v>
      </c>
      <c r="E35" s="67" t="s">
        <v>164</v>
      </c>
    </row>
    <row r="36" spans="1:5" x14ac:dyDescent="0.25">
      <c r="A36" s="67" t="s">
        <v>107</v>
      </c>
      <c r="B36" s="68">
        <v>106000</v>
      </c>
      <c r="C36" s="68">
        <v>106000</v>
      </c>
      <c r="D36" s="68" t="s">
        <v>84</v>
      </c>
      <c r="E36" s="67" t="s">
        <v>165</v>
      </c>
    </row>
    <row r="37" spans="1:5" x14ac:dyDescent="0.25">
      <c r="A37" s="67" t="s">
        <v>108</v>
      </c>
      <c r="B37" s="68">
        <v>61400</v>
      </c>
      <c r="C37" s="68">
        <v>64500</v>
      </c>
      <c r="D37" s="68">
        <v>54600</v>
      </c>
      <c r="E37" s="67" t="s">
        <v>166</v>
      </c>
    </row>
    <row r="38" spans="1:5" x14ac:dyDescent="0.25">
      <c r="A38" s="67" t="s">
        <v>109</v>
      </c>
      <c r="B38" s="68">
        <v>87100</v>
      </c>
      <c r="C38" s="68">
        <v>89500</v>
      </c>
      <c r="D38" s="68">
        <v>69400</v>
      </c>
      <c r="E38" s="67" t="s">
        <v>167</v>
      </c>
    </row>
    <row r="39" spans="1:5" x14ac:dyDescent="0.25">
      <c r="A39" s="67" t="s">
        <v>110</v>
      </c>
      <c r="B39" s="68">
        <v>70900</v>
      </c>
      <c r="C39" s="68">
        <v>75000</v>
      </c>
      <c r="D39" s="68">
        <v>58500</v>
      </c>
      <c r="E39" s="67" t="s">
        <v>168</v>
      </c>
    </row>
    <row r="40" spans="1:5" x14ac:dyDescent="0.25">
      <c r="A40" s="67" t="s">
        <v>111</v>
      </c>
      <c r="B40" s="68">
        <v>90100</v>
      </c>
      <c r="C40" s="68">
        <v>93000</v>
      </c>
      <c r="D40" s="68">
        <v>85800</v>
      </c>
      <c r="E40" s="67" t="s">
        <v>169</v>
      </c>
    </row>
    <row r="41" spans="1:5" x14ac:dyDescent="0.25">
      <c r="A41" s="67" t="s">
        <v>112</v>
      </c>
      <c r="B41" s="68">
        <v>75300</v>
      </c>
      <c r="C41" s="68">
        <v>78200</v>
      </c>
      <c r="D41" s="68">
        <v>66300</v>
      </c>
      <c r="E41" s="67" t="s">
        <v>170</v>
      </c>
    </row>
    <row r="42" spans="1:5" x14ac:dyDescent="0.25">
      <c r="A42" s="67" t="s">
        <v>113</v>
      </c>
      <c r="B42" s="68">
        <v>67000</v>
      </c>
      <c r="C42" s="68">
        <v>71400</v>
      </c>
      <c r="D42" s="68">
        <v>59300</v>
      </c>
      <c r="E42" s="67" t="s">
        <v>171</v>
      </c>
    </row>
    <row r="43" spans="1:5" x14ac:dyDescent="0.25">
      <c r="A43" s="67" t="s">
        <v>114</v>
      </c>
      <c r="B43" s="68">
        <v>81200</v>
      </c>
      <c r="C43" s="68">
        <v>85000</v>
      </c>
      <c r="D43" s="68">
        <v>65800</v>
      </c>
      <c r="E43" s="67" t="s">
        <v>172</v>
      </c>
    </row>
    <row r="44" spans="1:5" x14ac:dyDescent="0.25">
      <c r="A44" s="67" t="s">
        <v>115</v>
      </c>
      <c r="B44" s="68">
        <v>81000</v>
      </c>
      <c r="C44" s="68">
        <v>83800</v>
      </c>
      <c r="D44" s="68">
        <v>65100</v>
      </c>
      <c r="E44" s="67" t="s">
        <v>173</v>
      </c>
    </row>
    <row r="45" spans="1:5" x14ac:dyDescent="0.25">
      <c r="A45" s="67" t="s">
        <v>116</v>
      </c>
      <c r="B45" s="68">
        <v>88000</v>
      </c>
      <c r="C45" s="68">
        <v>88000</v>
      </c>
      <c r="D45" s="68" t="s">
        <v>84</v>
      </c>
      <c r="E45" s="67" t="s">
        <v>174</v>
      </c>
    </row>
    <row r="46" spans="1:5" x14ac:dyDescent="0.25">
      <c r="A46" s="67" t="s">
        <v>117</v>
      </c>
      <c r="B46" s="68">
        <v>68700</v>
      </c>
      <c r="C46" s="68">
        <v>71300</v>
      </c>
      <c r="D46" s="68">
        <v>53600</v>
      </c>
      <c r="E46" s="67" t="s">
        <v>175</v>
      </c>
    </row>
    <row r="47" spans="1:5" x14ac:dyDescent="0.25">
      <c r="A47" s="67" t="s">
        <v>118</v>
      </c>
      <c r="B47" s="68">
        <v>75500</v>
      </c>
      <c r="C47" s="68">
        <v>82000</v>
      </c>
      <c r="D47" s="68">
        <v>70100</v>
      </c>
      <c r="E47" s="67" t="s">
        <v>176</v>
      </c>
    </row>
    <row r="48" spans="1:5" x14ac:dyDescent="0.25">
      <c r="A48" s="67" t="s">
        <v>119</v>
      </c>
      <c r="B48" s="68">
        <v>68600</v>
      </c>
      <c r="C48" s="68">
        <v>72800</v>
      </c>
      <c r="D48" s="68">
        <v>56400</v>
      </c>
      <c r="E48" s="67" t="s">
        <v>177</v>
      </c>
    </row>
    <row r="49" spans="1:5" x14ac:dyDescent="0.25">
      <c r="A49" s="67" t="s">
        <v>120</v>
      </c>
      <c r="B49" s="68">
        <v>75100</v>
      </c>
      <c r="C49" s="68">
        <v>77400</v>
      </c>
      <c r="D49" s="68">
        <v>60900</v>
      </c>
      <c r="E49" s="67" t="s">
        <v>178</v>
      </c>
    </row>
    <row r="50" spans="1:5" x14ac:dyDescent="0.25">
      <c r="A50" s="67" t="s">
        <v>121</v>
      </c>
      <c r="B50" s="68">
        <v>85300</v>
      </c>
      <c r="C50" s="68">
        <v>86500</v>
      </c>
      <c r="D50" s="68">
        <v>74100</v>
      </c>
      <c r="E50" s="67" t="s">
        <v>179</v>
      </c>
    </row>
    <row r="51" spans="1:5" x14ac:dyDescent="0.25">
      <c r="A51" s="67" t="s">
        <v>122</v>
      </c>
      <c r="B51" s="68">
        <v>84100</v>
      </c>
      <c r="C51" s="68">
        <v>95900</v>
      </c>
      <c r="D51" s="68">
        <v>78800</v>
      </c>
      <c r="E51" s="67" t="s">
        <v>180</v>
      </c>
    </row>
    <row r="52" spans="1:5" x14ac:dyDescent="0.25">
      <c r="A52" s="67" t="s">
        <v>123</v>
      </c>
      <c r="B52" s="68">
        <v>93000</v>
      </c>
      <c r="C52" s="68">
        <v>99500</v>
      </c>
      <c r="D52" s="68">
        <v>59700</v>
      </c>
      <c r="E52" s="67" t="s">
        <v>181</v>
      </c>
    </row>
    <row r="53" spans="1:5" x14ac:dyDescent="0.25">
      <c r="A53" s="67" t="s">
        <v>124</v>
      </c>
      <c r="B53" s="68">
        <v>91600</v>
      </c>
      <c r="C53" s="68">
        <v>95200</v>
      </c>
      <c r="D53" s="68">
        <v>71300</v>
      </c>
      <c r="E53" s="67" t="s">
        <v>182</v>
      </c>
    </row>
    <row r="54" spans="1:5" x14ac:dyDescent="0.25">
      <c r="A54" s="67" t="s">
        <v>125</v>
      </c>
      <c r="B54" s="68">
        <v>60300</v>
      </c>
      <c r="C54" s="68">
        <v>63800</v>
      </c>
      <c r="D54" s="68">
        <v>54800</v>
      </c>
      <c r="E54" s="67" t="s">
        <v>183</v>
      </c>
    </row>
    <row r="55" spans="1:5" x14ac:dyDescent="0.25">
      <c r="A55" s="67" t="s">
        <v>126</v>
      </c>
      <c r="B55" s="68">
        <v>80300</v>
      </c>
      <c r="C55" s="68">
        <v>84400</v>
      </c>
      <c r="D55" s="68">
        <v>71800</v>
      </c>
      <c r="E55" s="67" t="s">
        <v>184</v>
      </c>
    </row>
    <row r="56" spans="1:5" x14ac:dyDescent="0.25">
      <c r="A56" s="67" t="s">
        <v>127</v>
      </c>
      <c r="B56" s="68">
        <v>81900</v>
      </c>
      <c r="C56" s="68">
        <v>83200</v>
      </c>
      <c r="D56" s="68">
        <v>81000</v>
      </c>
      <c r="E56" s="67" t="s">
        <v>185</v>
      </c>
    </row>
    <row r="57" spans="1:5" x14ac:dyDescent="0.25">
      <c r="A57" s="67" t="s">
        <v>128</v>
      </c>
      <c r="B57" s="68">
        <v>79900</v>
      </c>
      <c r="C57" s="68">
        <v>82800</v>
      </c>
      <c r="D57" s="68">
        <v>63400</v>
      </c>
      <c r="E57" s="67"/>
    </row>
    <row r="58" spans="1:5" x14ac:dyDescent="0.25">
      <c r="A58" s="67" t="s">
        <v>129</v>
      </c>
      <c r="B58" s="67"/>
      <c r="C58" s="67"/>
      <c r="D58" s="67"/>
      <c r="E58" s="67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5E200-54EE-432E-AD6A-50B1AFCE321D}">
  <sheetPr codeName="Sheet6"/>
  <dimension ref="A1:L1001"/>
  <sheetViews>
    <sheetView zoomScale="120" zoomScaleNormal="12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7109375" bestFit="1" customWidth="1"/>
    <col min="2" max="2" width="4.5703125" bestFit="1" customWidth="1"/>
    <col min="3" max="3" width="5.7109375" bestFit="1" customWidth="1"/>
    <col min="4" max="4" width="11.85546875" bestFit="1" customWidth="1"/>
    <col min="5" max="5" width="20.85546875" bestFit="1" customWidth="1"/>
    <col min="6" max="6" width="18.140625" bestFit="1" customWidth="1"/>
    <col min="7" max="7" width="23.7109375" bestFit="1" customWidth="1"/>
    <col min="8" max="8" width="22" bestFit="1" customWidth="1"/>
    <col min="9" max="9" width="22.140625" style="61" bestFit="1" customWidth="1"/>
    <col min="10" max="10" width="15.5703125" style="54" bestFit="1" customWidth="1"/>
    <col min="11" max="11" width="14.140625" style="61" bestFit="1" customWidth="1"/>
    <col min="12" max="12" width="10.85546875" style="12" bestFit="1" customWidth="1"/>
  </cols>
  <sheetData>
    <row r="1" spans="1:12" s="1" customFormat="1" ht="24" customHeight="1" x14ac:dyDescent="0.25">
      <c r="A1" s="57" t="s">
        <v>50</v>
      </c>
      <c r="B1" s="57" t="s">
        <v>1</v>
      </c>
      <c r="C1" s="57" t="s">
        <v>132</v>
      </c>
      <c r="D1" s="57" t="s">
        <v>6</v>
      </c>
      <c r="E1" s="57" t="s">
        <v>27</v>
      </c>
      <c r="F1" s="57" t="s">
        <v>51</v>
      </c>
      <c r="G1" s="57" t="s">
        <v>52</v>
      </c>
      <c r="H1" s="57" t="s">
        <v>53</v>
      </c>
      <c r="I1" s="60" t="s">
        <v>38</v>
      </c>
      <c r="J1" s="58" t="s">
        <v>54</v>
      </c>
      <c r="K1" s="60" t="s">
        <v>55</v>
      </c>
      <c r="L1" s="69" t="s">
        <v>64</v>
      </c>
    </row>
    <row r="2" spans="1:12" s="42" customFormat="1" x14ac:dyDescent="0.25">
      <c r="A2" s="39">
        <v>25</v>
      </c>
      <c r="B2">
        <v>35</v>
      </c>
      <c r="C2"/>
      <c r="D2">
        <v>2</v>
      </c>
      <c r="E2">
        <v>2</v>
      </c>
      <c r="F2" s="48">
        <v>120000</v>
      </c>
      <c r="G2" s="49">
        <v>107000</v>
      </c>
      <c r="H2" s="49">
        <v>61306.53</v>
      </c>
      <c r="I2" s="55">
        <v>698.73</v>
      </c>
      <c r="J2" s="54">
        <v>7</v>
      </c>
      <c r="K2" s="56">
        <v>58693.320000000007</v>
      </c>
      <c r="L2" s="66">
        <f t="shared" ref="L2:L39" si="0">H2/F2</f>
        <v>0.51088774999999997</v>
      </c>
    </row>
    <row r="3" spans="1:12" x14ac:dyDescent="0.25">
      <c r="A3" s="39">
        <v>22</v>
      </c>
      <c r="B3">
        <v>49</v>
      </c>
      <c r="D3">
        <v>2</v>
      </c>
      <c r="E3">
        <v>2</v>
      </c>
      <c r="F3" s="48">
        <v>88000</v>
      </c>
      <c r="G3" s="49">
        <v>97500</v>
      </c>
      <c r="H3" s="49">
        <v>81114.63</v>
      </c>
      <c r="I3" s="55">
        <v>81.97</v>
      </c>
      <c r="J3" s="54">
        <v>7</v>
      </c>
      <c r="K3" s="56">
        <f>I3*J3*12</f>
        <v>6885.48</v>
      </c>
      <c r="L3" s="66">
        <f t="shared" si="0"/>
        <v>0.92175715909090916</v>
      </c>
    </row>
    <row r="4" spans="1:12" x14ac:dyDescent="0.25">
      <c r="A4" s="39">
        <v>15</v>
      </c>
      <c r="B4">
        <v>37</v>
      </c>
      <c r="D4">
        <v>2</v>
      </c>
      <c r="E4">
        <v>0</v>
      </c>
      <c r="F4" s="48">
        <v>84000</v>
      </c>
      <c r="G4" s="49">
        <v>123000</v>
      </c>
      <c r="H4" s="49">
        <v>32072.1</v>
      </c>
      <c r="I4" s="55">
        <v>618.19000000000005</v>
      </c>
      <c r="J4" s="54">
        <v>7</v>
      </c>
      <c r="K4" s="56">
        <f>I4*J4*12</f>
        <v>51927.96</v>
      </c>
      <c r="L4" s="66">
        <f t="shared" si="0"/>
        <v>0.38181071428571428</v>
      </c>
    </row>
    <row r="5" spans="1:12" x14ac:dyDescent="0.25">
      <c r="A5" s="39">
        <v>11</v>
      </c>
      <c r="B5">
        <v>45</v>
      </c>
      <c r="D5">
        <v>2</v>
      </c>
      <c r="E5">
        <v>2</v>
      </c>
      <c r="F5" s="48">
        <v>82000</v>
      </c>
      <c r="G5" s="49">
        <v>105000</v>
      </c>
      <c r="H5" s="49">
        <v>55472.12</v>
      </c>
      <c r="I5" s="55">
        <v>315.81</v>
      </c>
      <c r="J5" s="54">
        <v>7</v>
      </c>
      <c r="K5" s="56">
        <f>I5*J5*12</f>
        <v>26528.04</v>
      </c>
      <c r="L5" s="66">
        <f t="shared" si="0"/>
        <v>0.67648926829268297</v>
      </c>
    </row>
    <row r="6" spans="1:12" x14ac:dyDescent="0.25">
      <c r="A6" s="39">
        <v>32</v>
      </c>
      <c r="B6">
        <v>47</v>
      </c>
      <c r="D6">
        <v>2</v>
      </c>
      <c r="E6">
        <v>3</v>
      </c>
      <c r="F6" s="48">
        <v>81000</v>
      </c>
      <c r="G6" s="49">
        <v>94500</v>
      </c>
      <c r="H6" s="49">
        <v>72080.95</v>
      </c>
      <c r="I6" s="55">
        <v>106.18</v>
      </c>
      <c r="J6" s="54">
        <v>7</v>
      </c>
      <c r="K6" s="56">
        <v>8919.0499999999993</v>
      </c>
      <c r="L6" s="66">
        <f t="shared" si="0"/>
        <v>0.88988827160493822</v>
      </c>
    </row>
    <row r="7" spans="1:12" x14ac:dyDescent="0.25">
      <c r="A7" s="39">
        <v>10</v>
      </c>
      <c r="B7">
        <v>49</v>
      </c>
      <c r="D7">
        <v>2</v>
      </c>
      <c r="E7">
        <v>3</v>
      </c>
      <c r="F7" s="48">
        <v>78000</v>
      </c>
      <c r="G7" s="49">
        <v>100000</v>
      </c>
      <c r="H7" s="49">
        <v>65378.1</v>
      </c>
      <c r="I7" s="55">
        <v>150.26</v>
      </c>
      <c r="J7" s="54">
        <v>7</v>
      </c>
      <c r="K7" s="56">
        <f>I7*J7*12</f>
        <v>12621.84</v>
      </c>
      <c r="L7" s="66">
        <f t="shared" si="0"/>
        <v>0.83818076923076923</v>
      </c>
    </row>
    <row r="8" spans="1:12" x14ac:dyDescent="0.25">
      <c r="A8" s="39">
        <v>14</v>
      </c>
      <c r="B8">
        <v>40</v>
      </c>
      <c r="D8">
        <v>1</v>
      </c>
      <c r="E8">
        <v>0</v>
      </c>
      <c r="F8" s="48">
        <v>73000</v>
      </c>
      <c r="G8" s="49">
        <v>119000</v>
      </c>
      <c r="H8" s="49">
        <v>30415.94</v>
      </c>
      <c r="I8" s="55">
        <v>506.95</v>
      </c>
      <c r="J8" s="54">
        <v>7</v>
      </c>
      <c r="K8" s="56">
        <f>I8*J8*12</f>
        <v>42583.8</v>
      </c>
      <c r="L8" s="66">
        <f t="shared" si="0"/>
        <v>0.41665671232876711</v>
      </c>
    </row>
    <row r="9" spans="1:12" x14ac:dyDescent="0.25">
      <c r="A9" s="39">
        <v>34</v>
      </c>
      <c r="B9">
        <v>39</v>
      </c>
      <c r="D9">
        <v>1</v>
      </c>
      <c r="E9">
        <v>0</v>
      </c>
      <c r="F9" s="48">
        <v>67000</v>
      </c>
      <c r="G9" s="49">
        <v>58750</v>
      </c>
      <c r="H9" s="49">
        <v>54514.17</v>
      </c>
      <c r="I9" s="55">
        <v>148.63999999999999</v>
      </c>
      <c r="J9" s="54">
        <v>7</v>
      </c>
      <c r="K9" s="56">
        <v>12485.83</v>
      </c>
      <c r="L9" s="66">
        <f t="shared" si="0"/>
        <v>0.81364432835820888</v>
      </c>
    </row>
    <row r="10" spans="1:12" x14ac:dyDescent="0.25">
      <c r="A10" s="39">
        <v>29</v>
      </c>
      <c r="B10">
        <v>39</v>
      </c>
      <c r="D10">
        <v>2</v>
      </c>
      <c r="E10">
        <v>0</v>
      </c>
      <c r="F10" s="48">
        <v>64000</v>
      </c>
      <c r="G10" s="49">
        <v>52000</v>
      </c>
      <c r="H10" s="49">
        <v>56730.5</v>
      </c>
      <c r="I10" s="55">
        <v>86.54</v>
      </c>
      <c r="J10" s="54">
        <v>7</v>
      </c>
      <c r="K10" s="56">
        <v>7269.5</v>
      </c>
      <c r="L10" s="66">
        <f t="shared" si="0"/>
        <v>0.88641406249999999</v>
      </c>
    </row>
    <row r="11" spans="1:12" x14ac:dyDescent="0.25">
      <c r="A11" s="39">
        <v>6</v>
      </c>
      <c r="B11">
        <v>34</v>
      </c>
      <c r="D11">
        <v>2</v>
      </c>
      <c r="E11">
        <v>0</v>
      </c>
      <c r="F11" s="48">
        <v>63000</v>
      </c>
      <c r="G11" s="49">
        <v>31500</v>
      </c>
      <c r="H11" s="49">
        <v>55363.519999999997</v>
      </c>
      <c r="I11" s="55">
        <v>90.91</v>
      </c>
      <c r="J11" s="54">
        <v>7</v>
      </c>
      <c r="K11" s="56">
        <f>I11*J11*12</f>
        <v>7636.4400000000005</v>
      </c>
      <c r="L11" s="66">
        <f t="shared" si="0"/>
        <v>0.87878603174603165</v>
      </c>
    </row>
    <row r="12" spans="1:12" x14ac:dyDescent="0.25">
      <c r="A12" s="39">
        <v>35</v>
      </c>
      <c r="B12">
        <v>37</v>
      </c>
      <c r="D12">
        <v>1</v>
      </c>
      <c r="E12">
        <v>0</v>
      </c>
      <c r="F12" s="48">
        <v>56000</v>
      </c>
      <c r="G12" s="49">
        <v>48000</v>
      </c>
      <c r="H12" s="49">
        <v>45435.19</v>
      </c>
      <c r="I12" s="55">
        <v>125.77</v>
      </c>
      <c r="J12" s="54">
        <v>7</v>
      </c>
      <c r="K12" s="56">
        <v>10564.81</v>
      </c>
      <c r="L12" s="66">
        <f t="shared" si="0"/>
        <v>0.81134267857142861</v>
      </c>
    </row>
    <row r="13" spans="1:12" x14ac:dyDescent="0.25">
      <c r="A13" s="41">
        <v>1</v>
      </c>
      <c r="B13">
        <v>29</v>
      </c>
      <c r="D13" s="46">
        <v>1</v>
      </c>
      <c r="E13" s="47">
        <v>0</v>
      </c>
      <c r="F13" s="48">
        <v>50000</v>
      </c>
      <c r="G13" s="49">
        <v>36000</v>
      </c>
      <c r="H13" s="49">
        <v>40794.99</v>
      </c>
      <c r="I13" s="55">
        <v>109.58</v>
      </c>
      <c r="J13" s="50">
        <v>7</v>
      </c>
      <c r="K13" s="56">
        <f>I13*J13*12</f>
        <v>9204.7199999999993</v>
      </c>
      <c r="L13" s="66">
        <f t="shared" si="0"/>
        <v>0.81589979999999995</v>
      </c>
    </row>
    <row r="14" spans="1:12" x14ac:dyDescent="0.25">
      <c r="A14" s="39">
        <v>2</v>
      </c>
      <c r="B14">
        <v>32</v>
      </c>
      <c r="D14" s="51">
        <v>1</v>
      </c>
      <c r="E14" s="51">
        <v>0</v>
      </c>
      <c r="F14" s="48">
        <v>50000</v>
      </c>
      <c r="G14" s="49">
        <v>35500</v>
      </c>
      <c r="H14" s="49">
        <v>40987.4</v>
      </c>
      <c r="I14" s="55">
        <v>107.29</v>
      </c>
      <c r="J14" s="51">
        <v>7</v>
      </c>
      <c r="K14" s="56">
        <f>I14*J14*12</f>
        <v>9012.36</v>
      </c>
      <c r="L14" s="66">
        <f t="shared" si="0"/>
        <v>0.81974800000000003</v>
      </c>
    </row>
    <row r="15" spans="1:12" x14ac:dyDescent="0.25">
      <c r="A15" s="39">
        <v>37</v>
      </c>
      <c r="B15">
        <v>46</v>
      </c>
      <c r="D15">
        <v>1</v>
      </c>
      <c r="E15">
        <v>0</v>
      </c>
      <c r="F15" s="48">
        <v>50000</v>
      </c>
      <c r="G15" s="49">
        <v>47050</v>
      </c>
      <c r="H15" s="49">
        <v>43425.39</v>
      </c>
      <c r="I15" s="55">
        <v>78.269145039834356</v>
      </c>
      <c r="J15" s="54">
        <v>7</v>
      </c>
      <c r="K15" s="56">
        <v>6574.6081833460858</v>
      </c>
      <c r="L15" s="66">
        <f t="shared" si="0"/>
        <v>0.86850779999999994</v>
      </c>
    </row>
    <row r="16" spans="1:12" x14ac:dyDescent="0.25">
      <c r="A16" s="39">
        <v>7</v>
      </c>
      <c r="B16">
        <v>44</v>
      </c>
      <c r="D16">
        <v>3</v>
      </c>
      <c r="E16">
        <v>1</v>
      </c>
      <c r="F16" s="48">
        <v>49000</v>
      </c>
      <c r="G16" s="49">
        <v>60000</v>
      </c>
      <c r="H16" s="49">
        <v>42803.93</v>
      </c>
      <c r="I16" s="55">
        <v>73.760000000000005</v>
      </c>
      <c r="J16" s="54">
        <v>7</v>
      </c>
      <c r="K16" s="56">
        <f>I16*J16*12</f>
        <v>6195.84</v>
      </c>
      <c r="L16" s="66">
        <f t="shared" si="0"/>
        <v>0.87354959183673475</v>
      </c>
    </row>
    <row r="17" spans="1:12" x14ac:dyDescent="0.25">
      <c r="A17" s="39">
        <v>3</v>
      </c>
      <c r="B17">
        <v>47</v>
      </c>
      <c r="D17">
        <v>2</v>
      </c>
      <c r="E17">
        <v>2</v>
      </c>
      <c r="F17" s="48">
        <v>48000</v>
      </c>
      <c r="G17" s="49">
        <v>39000</v>
      </c>
      <c r="H17" s="49">
        <v>44199.66</v>
      </c>
      <c r="I17" s="55">
        <v>45.24</v>
      </c>
      <c r="J17" s="54">
        <v>7</v>
      </c>
      <c r="K17" s="56">
        <f>I17*J17*12</f>
        <v>3800.16</v>
      </c>
      <c r="L17" s="66">
        <f t="shared" si="0"/>
        <v>0.92082625000000007</v>
      </c>
    </row>
    <row r="18" spans="1:12" x14ac:dyDescent="0.25">
      <c r="A18" s="39">
        <v>20</v>
      </c>
      <c r="B18">
        <v>59</v>
      </c>
      <c r="D18">
        <v>1</v>
      </c>
      <c r="E18">
        <v>0</v>
      </c>
      <c r="F18" s="48">
        <v>47500</v>
      </c>
      <c r="G18" s="49">
        <v>29500</v>
      </c>
      <c r="H18" s="49">
        <v>44886.38</v>
      </c>
      <c r="I18" s="55">
        <v>31.11</v>
      </c>
      <c r="J18" s="54">
        <v>7</v>
      </c>
      <c r="K18" s="56">
        <f>I18*J18*12</f>
        <v>2613.2399999999998</v>
      </c>
      <c r="L18" s="66">
        <f t="shared" si="0"/>
        <v>0.94497642105263158</v>
      </c>
    </row>
    <row r="19" spans="1:12" x14ac:dyDescent="0.25">
      <c r="A19" s="39">
        <v>9</v>
      </c>
      <c r="B19">
        <v>58</v>
      </c>
      <c r="D19">
        <v>2</v>
      </c>
      <c r="E19">
        <v>0</v>
      </c>
      <c r="F19" s="48">
        <v>45000</v>
      </c>
      <c r="G19" s="49">
        <v>40500</v>
      </c>
      <c r="H19" s="49">
        <v>41729.379999999997</v>
      </c>
      <c r="I19" s="55">
        <v>38.94</v>
      </c>
      <c r="J19" s="54">
        <v>7</v>
      </c>
      <c r="K19" s="56">
        <f>I19*J19*12</f>
        <v>3270.96</v>
      </c>
      <c r="L19" s="66">
        <f t="shared" si="0"/>
        <v>0.92731955555555545</v>
      </c>
    </row>
    <row r="20" spans="1:12" x14ac:dyDescent="0.25">
      <c r="A20" s="39">
        <v>23</v>
      </c>
      <c r="B20">
        <v>33</v>
      </c>
      <c r="D20">
        <v>1</v>
      </c>
      <c r="E20">
        <v>0</v>
      </c>
      <c r="F20" s="48">
        <v>45000</v>
      </c>
      <c r="G20" s="49">
        <v>50000</v>
      </c>
      <c r="H20" s="49">
        <v>36627.82</v>
      </c>
      <c r="I20" s="55">
        <v>99.67</v>
      </c>
      <c r="J20" s="54">
        <v>7</v>
      </c>
      <c r="K20" s="56">
        <v>8372.2800000000007</v>
      </c>
      <c r="L20" s="66">
        <f t="shared" si="0"/>
        <v>0.81395155555555554</v>
      </c>
    </row>
    <row r="21" spans="1:12" x14ac:dyDescent="0.25">
      <c r="A21" s="39">
        <v>17</v>
      </c>
      <c r="B21">
        <v>36</v>
      </c>
      <c r="D21">
        <v>2</v>
      </c>
      <c r="E21">
        <v>2</v>
      </c>
      <c r="F21" s="48">
        <v>43000</v>
      </c>
      <c r="G21" s="49">
        <v>35250</v>
      </c>
      <c r="H21" s="49">
        <v>38216.129999999997</v>
      </c>
      <c r="I21" s="55">
        <v>56.95</v>
      </c>
      <c r="J21" s="54">
        <v>7</v>
      </c>
      <c r="K21" s="56">
        <f>I21*J21*12</f>
        <v>4783.8</v>
      </c>
      <c r="L21" s="66">
        <f t="shared" si="0"/>
        <v>0.88874720930232554</v>
      </c>
    </row>
    <row r="22" spans="1:12" x14ac:dyDescent="0.25">
      <c r="A22" s="39">
        <v>38</v>
      </c>
      <c r="B22">
        <v>58</v>
      </c>
      <c r="D22">
        <v>2</v>
      </c>
      <c r="E22">
        <v>0</v>
      </c>
      <c r="F22" s="48">
        <v>43000</v>
      </c>
      <c r="G22" s="49">
        <v>45000</v>
      </c>
      <c r="H22" s="49">
        <v>40606.51</v>
      </c>
      <c r="I22" s="55">
        <v>28.493909806562161</v>
      </c>
      <c r="J22" s="54">
        <v>7</v>
      </c>
      <c r="K22" s="56">
        <v>2393.4884237512215</v>
      </c>
      <c r="L22" s="66">
        <f t="shared" si="0"/>
        <v>0.9443374418604652</v>
      </c>
    </row>
    <row r="23" spans="1:12" x14ac:dyDescent="0.25">
      <c r="A23" s="39">
        <v>21</v>
      </c>
      <c r="B23">
        <v>63</v>
      </c>
      <c r="D23">
        <v>2</v>
      </c>
      <c r="E23">
        <v>0</v>
      </c>
      <c r="F23" s="48">
        <v>41000</v>
      </c>
      <c r="G23" s="49">
        <v>27750</v>
      </c>
      <c r="H23" s="49">
        <v>41000</v>
      </c>
      <c r="I23" s="55">
        <v>0</v>
      </c>
      <c r="J23" s="54">
        <v>0</v>
      </c>
      <c r="K23" s="56">
        <f>I23*J23*12</f>
        <v>0</v>
      </c>
      <c r="L23" s="66">
        <f t="shared" si="0"/>
        <v>1</v>
      </c>
    </row>
    <row r="24" spans="1:12" x14ac:dyDescent="0.25">
      <c r="A24" s="39">
        <v>18</v>
      </c>
      <c r="B24">
        <v>31</v>
      </c>
      <c r="D24">
        <v>1</v>
      </c>
      <c r="E24">
        <v>0</v>
      </c>
      <c r="F24" s="48">
        <v>40000</v>
      </c>
      <c r="G24" s="49">
        <v>41750</v>
      </c>
      <c r="H24" s="49">
        <v>32125.58</v>
      </c>
      <c r="I24" s="55">
        <v>93.74</v>
      </c>
      <c r="J24" s="54">
        <v>7</v>
      </c>
      <c r="K24" s="56">
        <f>I24*J24*12</f>
        <v>7874.16</v>
      </c>
      <c r="L24" s="66">
        <f t="shared" si="0"/>
        <v>0.80313950000000001</v>
      </c>
    </row>
    <row r="25" spans="1:12" x14ac:dyDescent="0.25">
      <c r="A25" s="39">
        <v>31</v>
      </c>
      <c r="B25">
        <v>32</v>
      </c>
      <c r="D25">
        <v>1</v>
      </c>
      <c r="E25">
        <v>0</v>
      </c>
      <c r="F25" s="48">
        <v>39000</v>
      </c>
      <c r="G25" s="49">
        <v>30000</v>
      </c>
      <c r="H25" s="49">
        <v>31816.1</v>
      </c>
      <c r="I25" s="55">
        <v>85.52</v>
      </c>
      <c r="J25" s="54">
        <v>7</v>
      </c>
      <c r="K25" s="56">
        <v>7183.9</v>
      </c>
      <c r="L25" s="66">
        <f t="shared" si="0"/>
        <v>0.81579743589743581</v>
      </c>
    </row>
    <row r="26" spans="1:12" x14ac:dyDescent="0.25">
      <c r="A26" s="39">
        <v>13</v>
      </c>
      <c r="B26">
        <v>48</v>
      </c>
      <c r="D26">
        <v>3</v>
      </c>
      <c r="E26">
        <v>4</v>
      </c>
      <c r="F26" s="48">
        <v>38000</v>
      </c>
      <c r="G26" s="49">
        <v>37000</v>
      </c>
      <c r="H26" s="49">
        <v>34324.629999999997</v>
      </c>
      <c r="I26" s="55">
        <v>43.75</v>
      </c>
      <c r="J26" s="54">
        <v>7</v>
      </c>
      <c r="K26" s="56">
        <f>I26*J26*12</f>
        <v>3675</v>
      </c>
      <c r="L26" s="66">
        <f t="shared" si="0"/>
        <v>0.90327973684210516</v>
      </c>
    </row>
    <row r="27" spans="1:12" x14ac:dyDescent="0.25">
      <c r="A27" s="39">
        <v>4</v>
      </c>
      <c r="B27">
        <v>54</v>
      </c>
      <c r="D27">
        <v>2</v>
      </c>
      <c r="E27">
        <v>0</v>
      </c>
      <c r="F27" s="48">
        <v>36000</v>
      </c>
      <c r="G27" s="49">
        <v>35500</v>
      </c>
      <c r="H27" s="49">
        <v>32294.62</v>
      </c>
      <c r="I27" s="55">
        <v>44.11</v>
      </c>
      <c r="J27" s="54">
        <v>7</v>
      </c>
      <c r="K27" s="56">
        <f>I27*J27*12</f>
        <v>3705.24</v>
      </c>
      <c r="L27" s="66">
        <f t="shared" si="0"/>
        <v>0.89707277777777772</v>
      </c>
    </row>
    <row r="28" spans="1:12" x14ac:dyDescent="0.25">
      <c r="A28" s="39">
        <v>27</v>
      </c>
      <c r="B28">
        <v>31</v>
      </c>
      <c r="D28">
        <v>1</v>
      </c>
      <c r="E28">
        <v>0</v>
      </c>
      <c r="F28" s="48">
        <v>36000</v>
      </c>
      <c r="G28" s="49">
        <v>40500</v>
      </c>
      <c r="H28" s="49">
        <v>28538.62</v>
      </c>
      <c r="I28" s="55">
        <v>88.83</v>
      </c>
      <c r="J28" s="54">
        <v>7</v>
      </c>
      <c r="K28" s="56">
        <v>7461.7199999999993</v>
      </c>
      <c r="L28" s="66">
        <f t="shared" si="0"/>
        <v>0.79273944444444444</v>
      </c>
    </row>
    <row r="29" spans="1:12" x14ac:dyDescent="0.25">
      <c r="A29" s="39">
        <v>12</v>
      </c>
      <c r="B29">
        <v>33</v>
      </c>
      <c r="D29">
        <v>3</v>
      </c>
      <c r="E29">
        <v>2</v>
      </c>
      <c r="F29" s="48">
        <v>34000</v>
      </c>
      <c r="G29" s="49">
        <v>27500</v>
      </c>
      <c r="H29" s="49">
        <v>29925.45</v>
      </c>
      <c r="I29" s="55">
        <v>48.51</v>
      </c>
      <c r="J29" s="54">
        <v>7</v>
      </c>
      <c r="K29" s="56">
        <f>I29*J29*12</f>
        <v>4074.84</v>
      </c>
      <c r="L29" s="66">
        <f t="shared" si="0"/>
        <v>0.88016029411764707</v>
      </c>
    </row>
    <row r="30" spans="1:12" x14ac:dyDescent="0.25">
      <c r="A30" s="39">
        <v>16</v>
      </c>
      <c r="B30">
        <v>28</v>
      </c>
      <c r="D30">
        <v>3</v>
      </c>
      <c r="E30">
        <v>1</v>
      </c>
      <c r="F30" s="48">
        <v>30000</v>
      </c>
      <c r="G30" s="49">
        <v>26500</v>
      </c>
      <c r="H30" s="49">
        <v>25887.86</v>
      </c>
      <c r="I30" s="55">
        <v>48.95</v>
      </c>
      <c r="J30" s="54">
        <v>7</v>
      </c>
      <c r="K30" s="56">
        <f>I30*J30*12</f>
        <v>4111.8</v>
      </c>
      <c r="L30" s="66">
        <f t="shared" si="0"/>
        <v>0.86292866666666668</v>
      </c>
    </row>
    <row r="31" spans="1:12" x14ac:dyDescent="0.25">
      <c r="A31" s="39">
        <v>36</v>
      </c>
      <c r="B31">
        <v>34</v>
      </c>
      <c r="D31">
        <v>2</v>
      </c>
      <c r="E31">
        <v>0</v>
      </c>
      <c r="F31" s="48">
        <v>29600</v>
      </c>
      <c r="G31" s="49">
        <v>47000</v>
      </c>
      <c r="H31" s="49">
        <v>24399.41</v>
      </c>
      <c r="I31" s="55">
        <v>61.91</v>
      </c>
      <c r="J31" s="54">
        <v>7</v>
      </c>
      <c r="K31" s="56">
        <v>5200.59</v>
      </c>
      <c r="L31" s="66">
        <f t="shared" si="0"/>
        <v>0.82430439189189186</v>
      </c>
    </row>
    <row r="32" spans="1:12" x14ac:dyDescent="0.25">
      <c r="A32" s="39">
        <v>33</v>
      </c>
      <c r="B32">
        <v>60</v>
      </c>
      <c r="D32">
        <v>1</v>
      </c>
      <c r="E32">
        <v>0</v>
      </c>
      <c r="F32" s="48">
        <v>29035</v>
      </c>
      <c r="G32" s="49">
        <v>32750</v>
      </c>
      <c r="H32" s="49">
        <v>27620.720000000001</v>
      </c>
      <c r="I32" s="55">
        <v>23.57</v>
      </c>
      <c r="J32" s="54">
        <v>5</v>
      </c>
      <c r="K32" s="56">
        <v>1414.28</v>
      </c>
      <c r="L32" s="66">
        <f t="shared" si="0"/>
        <v>0.9512905114516963</v>
      </c>
    </row>
    <row r="33" spans="1:12" x14ac:dyDescent="0.25">
      <c r="A33" s="39">
        <v>5</v>
      </c>
      <c r="B33">
        <v>62</v>
      </c>
      <c r="D33">
        <v>1</v>
      </c>
      <c r="E33">
        <v>0</v>
      </c>
      <c r="F33" s="48">
        <v>29000</v>
      </c>
      <c r="G33" s="49">
        <v>22500</v>
      </c>
      <c r="H33" s="49">
        <v>28538.81</v>
      </c>
      <c r="I33" s="55">
        <v>0</v>
      </c>
      <c r="J33" s="54">
        <v>0</v>
      </c>
      <c r="K33" s="56">
        <f>I33*J33*12</f>
        <v>0</v>
      </c>
      <c r="L33" s="66">
        <f t="shared" si="0"/>
        <v>0.98409689655172417</v>
      </c>
    </row>
    <row r="34" spans="1:12" x14ac:dyDescent="0.25">
      <c r="A34" s="39">
        <v>26</v>
      </c>
      <c r="B34">
        <v>45</v>
      </c>
      <c r="D34">
        <v>2</v>
      </c>
      <c r="E34">
        <v>4</v>
      </c>
      <c r="F34" s="48">
        <v>28900</v>
      </c>
      <c r="G34" s="49">
        <v>38500</v>
      </c>
      <c r="H34" s="49">
        <v>25586.02</v>
      </c>
      <c r="I34" s="55">
        <v>39.450000000000003</v>
      </c>
      <c r="J34" s="54">
        <v>7</v>
      </c>
      <c r="K34" s="56">
        <v>3313.8</v>
      </c>
      <c r="L34" s="66">
        <f t="shared" si="0"/>
        <v>0.88532941176470592</v>
      </c>
    </row>
    <row r="35" spans="1:12" x14ac:dyDescent="0.25">
      <c r="A35" s="39">
        <v>8</v>
      </c>
      <c r="B35">
        <v>41</v>
      </c>
      <c r="D35">
        <v>1</v>
      </c>
      <c r="E35">
        <v>0</v>
      </c>
      <c r="F35" s="48">
        <v>27000</v>
      </c>
      <c r="G35" s="49">
        <v>35500</v>
      </c>
      <c r="H35" s="49">
        <v>22295.09</v>
      </c>
      <c r="I35" s="55">
        <v>56.01</v>
      </c>
      <c r="J35" s="54">
        <v>7</v>
      </c>
      <c r="K35" s="56">
        <f>I35*J35*12</f>
        <v>4704.84</v>
      </c>
      <c r="L35" s="66">
        <f t="shared" si="0"/>
        <v>0.82574407407407413</v>
      </c>
    </row>
    <row r="36" spans="1:12" x14ac:dyDescent="0.25">
      <c r="A36" s="39">
        <v>24</v>
      </c>
      <c r="B36">
        <v>29</v>
      </c>
      <c r="D36">
        <v>3</v>
      </c>
      <c r="E36">
        <v>3</v>
      </c>
      <c r="F36" s="48">
        <v>26000</v>
      </c>
      <c r="G36" s="49">
        <v>29500</v>
      </c>
      <c r="H36" s="49">
        <v>22112.39</v>
      </c>
      <c r="I36" s="55">
        <v>46.28</v>
      </c>
      <c r="J36" s="54">
        <v>7</v>
      </c>
      <c r="K36" s="56">
        <v>3887.5200000000004</v>
      </c>
      <c r="L36" s="66">
        <f t="shared" si="0"/>
        <v>0.85047653846153848</v>
      </c>
    </row>
    <row r="37" spans="1:12" x14ac:dyDescent="0.25">
      <c r="A37" s="39">
        <v>28</v>
      </c>
      <c r="B37">
        <v>27</v>
      </c>
      <c r="D37">
        <v>1</v>
      </c>
      <c r="E37">
        <v>0</v>
      </c>
      <c r="F37" s="48">
        <v>26000</v>
      </c>
      <c r="G37" s="49">
        <v>37000</v>
      </c>
      <c r="H37" s="49">
        <v>20798.88</v>
      </c>
      <c r="I37" s="55">
        <v>61.92</v>
      </c>
      <c r="J37" s="54">
        <v>7</v>
      </c>
      <c r="K37" s="56">
        <v>5201.28</v>
      </c>
      <c r="L37" s="66">
        <f t="shared" si="0"/>
        <v>0.79995692307692312</v>
      </c>
    </row>
    <row r="38" spans="1:12" x14ac:dyDescent="0.25">
      <c r="A38" s="39">
        <v>19</v>
      </c>
      <c r="B38">
        <v>61</v>
      </c>
      <c r="D38">
        <v>1</v>
      </c>
      <c r="E38">
        <v>0</v>
      </c>
      <c r="F38" s="48">
        <v>24600</v>
      </c>
      <c r="G38" s="49">
        <v>23500</v>
      </c>
      <c r="H38" s="49">
        <v>24577.5</v>
      </c>
      <c r="I38" s="55">
        <v>0</v>
      </c>
      <c r="J38" s="54">
        <v>0</v>
      </c>
      <c r="K38" s="56">
        <f>I38*J38*12</f>
        <v>0</v>
      </c>
      <c r="L38" s="66">
        <f t="shared" si="0"/>
        <v>0.99908536585365859</v>
      </c>
    </row>
    <row r="39" spans="1:12" x14ac:dyDescent="0.25">
      <c r="A39" s="39">
        <v>30</v>
      </c>
      <c r="B39">
        <v>60</v>
      </c>
      <c r="D39">
        <v>2</v>
      </c>
      <c r="E39">
        <v>0</v>
      </c>
      <c r="F39" s="48">
        <v>23000</v>
      </c>
      <c r="G39" s="49">
        <v>32000</v>
      </c>
      <c r="H39" s="49">
        <v>22027.09</v>
      </c>
      <c r="I39" s="55">
        <v>16.22</v>
      </c>
      <c r="J39" s="54">
        <v>5</v>
      </c>
      <c r="K39" s="56">
        <v>972.91</v>
      </c>
      <c r="L39" s="66">
        <f t="shared" si="0"/>
        <v>0.9576995652173913</v>
      </c>
    </row>
    <row r="40" spans="1:12" x14ac:dyDescent="0.25">
      <c r="A40" s="39"/>
      <c r="D40" s="40"/>
      <c r="F40" s="48"/>
      <c r="G40" s="49"/>
      <c r="H40" s="49"/>
      <c r="I40" s="55"/>
      <c r="K40" s="56"/>
    </row>
    <row r="41" spans="1:12" x14ac:dyDescent="0.25">
      <c r="A41" s="39"/>
      <c r="F41" s="48"/>
      <c r="G41" s="49"/>
      <c r="H41" s="49"/>
      <c r="I41" s="55"/>
      <c r="K41" s="56"/>
    </row>
    <row r="42" spans="1:12" x14ac:dyDescent="0.25">
      <c r="A42" s="39"/>
      <c r="F42" s="48"/>
      <c r="G42" s="49"/>
      <c r="H42" s="49"/>
      <c r="I42" s="55"/>
      <c r="K42" s="56"/>
    </row>
    <row r="43" spans="1:12" x14ac:dyDescent="0.25">
      <c r="A43" s="39"/>
      <c r="F43" s="48"/>
      <c r="G43" s="49"/>
      <c r="H43" s="49"/>
      <c r="I43" s="55"/>
      <c r="K43" s="56"/>
    </row>
    <row r="44" spans="1:12" x14ac:dyDescent="0.25">
      <c r="A44" s="39"/>
      <c r="F44" s="48"/>
      <c r="G44" s="49"/>
      <c r="H44" s="49"/>
      <c r="I44" s="55"/>
      <c r="K44" s="56"/>
    </row>
    <row r="45" spans="1:12" x14ac:dyDescent="0.25">
      <c r="A45" s="39"/>
      <c r="F45" s="48"/>
      <c r="G45" s="49"/>
      <c r="H45" s="49"/>
      <c r="I45" s="55"/>
      <c r="K45" s="56"/>
    </row>
    <row r="46" spans="1:12" x14ac:dyDescent="0.25">
      <c r="A46" s="39"/>
      <c r="F46" s="48"/>
      <c r="G46" s="49"/>
      <c r="H46" s="49"/>
      <c r="I46" s="55"/>
      <c r="K46" s="56"/>
    </row>
    <row r="47" spans="1:12" x14ac:dyDescent="0.25">
      <c r="A47" s="39"/>
      <c r="F47" s="48"/>
      <c r="G47" s="49"/>
      <c r="H47" s="49"/>
      <c r="I47" s="55"/>
      <c r="K47" s="56"/>
    </row>
    <row r="48" spans="1:12" x14ac:dyDescent="0.25">
      <c r="A48" s="39"/>
      <c r="F48" s="48"/>
      <c r="G48" s="49"/>
      <c r="H48" s="49"/>
      <c r="I48" s="55"/>
      <c r="K48" s="56"/>
    </row>
    <row r="49" spans="1:11" x14ac:dyDescent="0.25">
      <c r="A49" s="39"/>
      <c r="F49" s="48"/>
      <c r="G49" s="49"/>
      <c r="H49" s="49"/>
      <c r="I49" s="55"/>
      <c r="K49" s="56"/>
    </row>
    <row r="50" spans="1:11" x14ac:dyDescent="0.25">
      <c r="A50" s="39"/>
      <c r="F50" s="48"/>
      <c r="G50" s="49"/>
      <c r="H50" s="49"/>
      <c r="I50" s="55"/>
      <c r="K50" s="56"/>
    </row>
    <row r="51" spans="1:11" x14ac:dyDescent="0.25">
      <c r="A51" s="39"/>
      <c r="F51" s="48"/>
      <c r="G51" s="49"/>
      <c r="H51" s="49"/>
      <c r="I51" s="55"/>
      <c r="K51" s="56"/>
    </row>
    <row r="52" spans="1:11" x14ac:dyDescent="0.25">
      <c r="A52" s="39"/>
      <c r="F52" s="48"/>
      <c r="G52" s="49"/>
      <c r="H52" s="49"/>
      <c r="I52" s="55"/>
      <c r="K52" s="56"/>
    </row>
    <row r="53" spans="1:11" x14ac:dyDescent="0.25">
      <c r="A53" s="39"/>
      <c r="F53" s="48"/>
      <c r="G53" s="49"/>
      <c r="H53" s="49"/>
      <c r="I53" s="55"/>
      <c r="K53" s="56"/>
    </row>
    <row r="54" spans="1:11" x14ac:dyDescent="0.25">
      <c r="A54" s="39"/>
      <c r="F54" s="48"/>
      <c r="G54" s="49"/>
      <c r="H54" s="49"/>
      <c r="I54" s="55"/>
      <c r="K54" s="56"/>
    </row>
    <row r="55" spans="1:11" x14ac:dyDescent="0.25">
      <c r="A55" s="39"/>
      <c r="F55" s="48"/>
      <c r="G55" s="49"/>
      <c r="H55" s="49"/>
      <c r="I55" s="55"/>
      <c r="K55" s="56"/>
    </row>
    <row r="56" spans="1:11" x14ac:dyDescent="0.25">
      <c r="A56" s="39"/>
      <c r="F56" s="48"/>
      <c r="G56" s="49"/>
      <c r="H56" s="49"/>
      <c r="I56" s="55"/>
      <c r="K56" s="56"/>
    </row>
    <row r="57" spans="1:11" x14ac:dyDescent="0.25">
      <c r="A57" s="39"/>
      <c r="F57" s="48"/>
      <c r="G57" s="49"/>
      <c r="H57" s="49"/>
      <c r="I57" s="55"/>
      <c r="K57" s="56"/>
    </row>
    <row r="58" spans="1:11" x14ac:dyDescent="0.25">
      <c r="A58" s="39"/>
      <c r="F58" s="48"/>
      <c r="G58" s="49"/>
      <c r="H58" s="49"/>
      <c r="I58" s="55"/>
      <c r="K58" s="56"/>
    </row>
    <row r="59" spans="1:11" x14ac:dyDescent="0.25">
      <c r="A59" s="39"/>
      <c r="F59" s="48"/>
      <c r="G59" s="49"/>
      <c r="H59" s="49"/>
      <c r="I59" s="55"/>
      <c r="K59" s="56"/>
    </row>
    <row r="60" spans="1:11" x14ac:dyDescent="0.25">
      <c r="A60" s="39"/>
      <c r="F60" s="48"/>
      <c r="G60" s="49"/>
      <c r="H60" s="49"/>
      <c r="I60" s="55"/>
      <c r="K60" s="56"/>
    </row>
    <row r="61" spans="1:11" x14ac:dyDescent="0.25">
      <c r="A61" s="39"/>
      <c r="F61" s="48"/>
      <c r="G61" s="49"/>
      <c r="H61" s="49"/>
      <c r="I61" s="55"/>
      <c r="K61" s="56"/>
    </row>
    <row r="62" spans="1:11" x14ac:dyDescent="0.25">
      <c r="A62" s="39"/>
      <c r="F62" s="48"/>
      <c r="G62" s="49"/>
      <c r="H62" s="49"/>
      <c r="I62" s="55"/>
      <c r="K62" s="56"/>
    </row>
    <row r="63" spans="1:11" x14ac:dyDescent="0.25">
      <c r="A63" s="39"/>
      <c r="F63" s="48"/>
      <c r="G63" s="49"/>
      <c r="H63" s="49"/>
      <c r="I63" s="55"/>
      <c r="K63" s="56"/>
    </row>
    <row r="64" spans="1:11" x14ac:dyDescent="0.25">
      <c r="A64" s="39"/>
      <c r="F64" s="48"/>
      <c r="G64" s="49"/>
      <c r="H64" s="49"/>
      <c r="I64" s="55"/>
      <c r="K64" s="56"/>
    </row>
    <row r="65" spans="1:11" x14ac:dyDescent="0.25">
      <c r="A65" s="39"/>
      <c r="F65" s="48"/>
      <c r="G65" s="49"/>
      <c r="H65" s="49"/>
      <c r="I65" s="55"/>
      <c r="K65" s="56"/>
    </row>
    <row r="66" spans="1:11" x14ac:dyDescent="0.25">
      <c r="A66" s="39"/>
      <c r="F66" s="48"/>
      <c r="G66" s="49"/>
      <c r="H66" s="49"/>
      <c r="I66" s="55"/>
      <c r="K66" s="56"/>
    </row>
    <row r="67" spans="1:11" x14ac:dyDescent="0.25">
      <c r="A67" s="39"/>
      <c r="F67" s="48"/>
      <c r="G67" s="49"/>
      <c r="H67" s="49"/>
      <c r="I67" s="55"/>
      <c r="K67" s="56"/>
    </row>
    <row r="68" spans="1:11" x14ac:dyDescent="0.25">
      <c r="A68" s="39"/>
      <c r="F68" s="48"/>
      <c r="G68" s="49"/>
      <c r="H68" s="49"/>
      <c r="I68" s="55"/>
      <c r="K68" s="56"/>
    </row>
    <row r="69" spans="1:11" x14ac:dyDescent="0.25">
      <c r="A69" s="39"/>
      <c r="F69" s="48"/>
      <c r="G69" s="49"/>
      <c r="H69" s="49"/>
      <c r="I69" s="55"/>
      <c r="K69" s="56"/>
    </row>
    <row r="70" spans="1:11" x14ac:dyDescent="0.25">
      <c r="A70" s="39"/>
      <c r="F70" s="48"/>
      <c r="G70" s="49"/>
      <c r="H70" s="49"/>
      <c r="I70" s="55"/>
      <c r="K70" s="56"/>
    </row>
    <row r="71" spans="1:11" x14ac:dyDescent="0.25">
      <c r="A71" s="39"/>
      <c r="F71" s="48"/>
      <c r="G71" s="49"/>
      <c r="H71" s="49"/>
      <c r="I71" s="55"/>
      <c r="K71" s="56"/>
    </row>
    <row r="72" spans="1:11" x14ac:dyDescent="0.25">
      <c r="A72" s="39"/>
      <c r="F72" s="48"/>
      <c r="G72" s="49"/>
      <c r="H72" s="49"/>
      <c r="I72" s="55"/>
      <c r="K72" s="56"/>
    </row>
    <row r="73" spans="1:11" x14ac:dyDescent="0.25">
      <c r="A73" s="39"/>
      <c r="F73" s="48"/>
      <c r="G73" s="49"/>
      <c r="H73" s="49"/>
      <c r="I73" s="55"/>
      <c r="K73" s="56"/>
    </row>
    <row r="74" spans="1:11" x14ac:dyDescent="0.25">
      <c r="A74" s="39"/>
      <c r="F74" s="48"/>
      <c r="G74" s="49"/>
      <c r="H74" s="49"/>
      <c r="I74" s="55"/>
      <c r="K74" s="56"/>
    </row>
    <row r="75" spans="1:11" x14ac:dyDescent="0.25">
      <c r="A75" s="39"/>
      <c r="F75" s="48"/>
      <c r="G75" s="49"/>
      <c r="H75" s="49"/>
      <c r="I75" s="55"/>
      <c r="K75" s="56"/>
    </row>
    <row r="76" spans="1:11" x14ac:dyDescent="0.25">
      <c r="A76" s="39"/>
      <c r="F76" s="48"/>
      <c r="G76" s="49"/>
      <c r="H76" s="49"/>
      <c r="I76" s="55"/>
      <c r="K76" s="56"/>
    </row>
    <row r="77" spans="1:11" x14ac:dyDescent="0.25">
      <c r="A77" s="39"/>
      <c r="F77" s="48"/>
      <c r="G77" s="49"/>
      <c r="H77" s="49"/>
      <c r="I77" s="55"/>
      <c r="K77" s="56"/>
    </row>
    <row r="78" spans="1:11" x14ac:dyDescent="0.25">
      <c r="A78" s="39"/>
      <c r="F78" s="48"/>
      <c r="G78" s="49"/>
      <c r="H78" s="49"/>
      <c r="I78" s="55"/>
      <c r="K78" s="56"/>
    </row>
    <row r="79" spans="1:11" x14ac:dyDescent="0.25">
      <c r="A79" s="39"/>
      <c r="F79" s="48"/>
      <c r="G79" s="49"/>
      <c r="H79" s="49"/>
      <c r="I79" s="55"/>
      <c r="K79" s="56"/>
    </row>
    <row r="80" spans="1:11" x14ac:dyDescent="0.25">
      <c r="A80" s="39"/>
      <c r="F80" s="48"/>
      <c r="G80" s="49"/>
      <c r="H80" s="49"/>
      <c r="I80" s="55"/>
      <c r="K80" s="56"/>
    </row>
    <row r="81" spans="1:11" x14ac:dyDescent="0.25">
      <c r="A81" s="39"/>
      <c r="F81" s="48"/>
      <c r="G81" s="49"/>
      <c r="H81" s="49"/>
      <c r="I81" s="55"/>
      <c r="K81" s="56"/>
    </row>
    <row r="82" spans="1:11" x14ac:dyDescent="0.25">
      <c r="A82" s="39"/>
      <c r="F82" s="48"/>
      <c r="G82" s="49"/>
      <c r="H82" s="49"/>
      <c r="I82" s="55"/>
      <c r="K82" s="56"/>
    </row>
    <row r="83" spans="1:11" x14ac:dyDescent="0.25">
      <c r="A83" s="39"/>
      <c r="F83" s="48"/>
      <c r="G83" s="49"/>
      <c r="H83" s="49"/>
      <c r="I83" s="55"/>
      <c r="K83" s="56"/>
    </row>
    <row r="84" spans="1:11" x14ac:dyDescent="0.25">
      <c r="A84" s="39"/>
      <c r="F84" s="48"/>
      <c r="G84" s="49"/>
      <c r="H84" s="49"/>
      <c r="I84" s="55"/>
      <c r="K84" s="56"/>
    </row>
    <row r="85" spans="1:11" x14ac:dyDescent="0.25">
      <c r="A85" s="39"/>
      <c r="F85" s="48"/>
      <c r="G85" s="49"/>
      <c r="H85" s="49"/>
      <c r="I85" s="55"/>
      <c r="K85" s="56"/>
    </row>
    <row r="86" spans="1:11" x14ac:dyDescent="0.25">
      <c r="A86" s="39"/>
      <c r="F86" s="48"/>
      <c r="G86" s="49"/>
      <c r="H86" s="49"/>
      <c r="I86" s="55"/>
      <c r="K86" s="56"/>
    </row>
    <row r="87" spans="1:11" x14ac:dyDescent="0.25">
      <c r="A87" s="39"/>
      <c r="F87" s="48"/>
      <c r="G87" s="49"/>
      <c r="H87" s="49"/>
      <c r="I87" s="55"/>
      <c r="K87" s="56"/>
    </row>
    <row r="88" spans="1:11" x14ac:dyDescent="0.25">
      <c r="A88" s="39"/>
      <c r="F88" s="48"/>
      <c r="G88" s="49"/>
      <c r="H88" s="49"/>
      <c r="I88" s="55"/>
      <c r="K88" s="56"/>
    </row>
    <row r="89" spans="1:11" x14ac:dyDescent="0.25">
      <c r="A89" s="39"/>
      <c r="F89" s="48"/>
      <c r="G89" s="49"/>
      <c r="H89" s="49"/>
      <c r="I89" s="55"/>
      <c r="K89" s="56"/>
    </row>
    <row r="90" spans="1:11" x14ac:dyDescent="0.25">
      <c r="A90" s="39"/>
      <c r="F90" s="48"/>
      <c r="G90" s="49"/>
      <c r="H90" s="49"/>
      <c r="I90" s="55"/>
      <c r="K90" s="56"/>
    </row>
    <row r="91" spans="1:11" x14ac:dyDescent="0.25">
      <c r="A91" s="39"/>
      <c r="F91" s="48"/>
      <c r="G91" s="49"/>
      <c r="H91" s="49"/>
      <c r="I91" s="55"/>
      <c r="K91" s="56"/>
    </row>
    <row r="92" spans="1:11" x14ac:dyDescent="0.25">
      <c r="A92" s="39"/>
      <c r="F92" s="48"/>
      <c r="G92" s="49"/>
      <c r="H92" s="49"/>
      <c r="I92" s="55"/>
      <c r="K92" s="56"/>
    </row>
    <row r="93" spans="1:11" x14ac:dyDescent="0.25">
      <c r="A93" s="39"/>
      <c r="F93" s="48"/>
      <c r="G93" s="49"/>
      <c r="H93" s="49"/>
      <c r="I93" s="55"/>
      <c r="K93" s="56"/>
    </row>
    <row r="94" spans="1:11" x14ac:dyDescent="0.25">
      <c r="A94" s="39"/>
      <c r="F94" s="48"/>
      <c r="G94" s="49"/>
      <c r="H94" s="49"/>
      <c r="I94" s="55"/>
      <c r="K94" s="56"/>
    </row>
    <row r="95" spans="1:11" x14ac:dyDescent="0.25">
      <c r="A95" s="39"/>
      <c r="F95" s="48"/>
      <c r="G95" s="49"/>
      <c r="H95" s="49"/>
      <c r="I95" s="55"/>
      <c r="K95" s="56"/>
    </row>
    <row r="96" spans="1:11" x14ac:dyDescent="0.25">
      <c r="A96" s="39"/>
      <c r="F96" s="48"/>
      <c r="G96" s="49"/>
      <c r="H96" s="49"/>
      <c r="I96" s="55"/>
      <c r="K96" s="56"/>
    </row>
    <row r="97" spans="1:11" x14ac:dyDescent="0.25">
      <c r="A97" s="39"/>
      <c r="F97" s="48"/>
      <c r="G97" s="49"/>
      <c r="H97" s="49"/>
      <c r="I97" s="55"/>
      <c r="K97" s="56"/>
    </row>
    <row r="98" spans="1:11" x14ac:dyDescent="0.25">
      <c r="A98" s="39"/>
      <c r="F98" s="48"/>
      <c r="G98" s="49"/>
      <c r="H98" s="49"/>
      <c r="I98" s="55"/>
      <c r="K98" s="56"/>
    </row>
    <row r="99" spans="1:11" x14ac:dyDescent="0.25">
      <c r="A99" s="39"/>
      <c r="F99" s="48"/>
      <c r="G99" s="49"/>
      <c r="H99" s="49"/>
      <c r="I99" s="55"/>
      <c r="K99" s="56"/>
    </row>
    <row r="100" spans="1:11" x14ac:dyDescent="0.25">
      <c r="A100" s="39"/>
      <c r="F100" s="48"/>
      <c r="G100" s="49"/>
      <c r="H100" s="49"/>
      <c r="I100" s="55"/>
      <c r="K100" s="56"/>
    </row>
    <row r="101" spans="1:11" x14ac:dyDescent="0.25">
      <c r="A101" s="39"/>
      <c r="F101" s="48"/>
      <c r="G101" s="49"/>
      <c r="H101" s="49"/>
      <c r="I101" s="55"/>
      <c r="K101" s="56"/>
    </row>
    <row r="102" spans="1:11" x14ac:dyDescent="0.25">
      <c r="A102" s="39"/>
      <c r="F102" s="48"/>
      <c r="G102" s="49"/>
      <c r="H102" s="49"/>
      <c r="I102" s="55"/>
      <c r="K102" s="56"/>
    </row>
    <row r="103" spans="1:11" x14ac:dyDescent="0.25">
      <c r="A103" s="39"/>
      <c r="F103" s="48"/>
      <c r="G103" s="49"/>
      <c r="H103" s="49"/>
      <c r="I103" s="55"/>
      <c r="K103" s="56"/>
    </row>
    <row r="104" spans="1:11" x14ac:dyDescent="0.25">
      <c r="A104" s="39"/>
      <c r="F104" s="48"/>
      <c r="G104" s="49"/>
      <c r="H104" s="49"/>
      <c r="I104" s="55"/>
      <c r="K104" s="56"/>
    </row>
    <row r="105" spans="1:11" x14ac:dyDescent="0.25">
      <c r="A105" s="39"/>
      <c r="F105" s="48"/>
      <c r="G105" s="49"/>
      <c r="H105" s="49"/>
      <c r="I105" s="55"/>
      <c r="K105" s="56"/>
    </row>
    <row r="106" spans="1:11" x14ac:dyDescent="0.25">
      <c r="A106" s="39"/>
      <c r="F106" s="48"/>
      <c r="G106" s="49"/>
      <c r="H106" s="49"/>
      <c r="I106" s="55"/>
      <c r="K106" s="56"/>
    </row>
    <row r="107" spans="1:11" x14ac:dyDescent="0.25">
      <c r="A107" s="39"/>
      <c r="F107" s="48"/>
      <c r="G107" s="49"/>
      <c r="H107" s="49"/>
      <c r="I107" s="55"/>
      <c r="K107" s="56"/>
    </row>
    <row r="108" spans="1:11" x14ac:dyDescent="0.25">
      <c r="A108" s="39"/>
      <c r="F108" s="48"/>
      <c r="G108" s="49"/>
      <c r="H108" s="49"/>
      <c r="I108" s="55"/>
      <c r="K108" s="56"/>
    </row>
    <row r="109" spans="1:11" x14ac:dyDescent="0.25">
      <c r="A109" s="39"/>
      <c r="F109" s="48"/>
      <c r="G109" s="49"/>
      <c r="H109" s="49"/>
      <c r="I109" s="55"/>
      <c r="K109" s="56"/>
    </row>
    <row r="110" spans="1:11" x14ac:dyDescent="0.25">
      <c r="A110" s="39"/>
      <c r="F110" s="48"/>
      <c r="G110" s="49"/>
      <c r="H110" s="49"/>
      <c r="I110" s="55"/>
      <c r="K110" s="56"/>
    </row>
    <row r="111" spans="1:11" x14ac:dyDescent="0.25">
      <c r="A111" s="39"/>
      <c r="F111" s="48"/>
      <c r="G111" s="49"/>
      <c r="H111" s="49"/>
      <c r="I111" s="55"/>
      <c r="K111" s="56"/>
    </row>
    <row r="112" spans="1:11" x14ac:dyDescent="0.25">
      <c r="A112" s="39"/>
      <c r="F112" s="48"/>
      <c r="G112" s="49"/>
      <c r="H112" s="49"/>
      <c r="I112" s="55"/>
      <c r="K112" s="56"/>
    </row>
    <row r="113" spans="1:11" x14ac:dyDescent="0.25">
      <c r="A113" s="39"/>
      <c r="F113" s="48"/>
      <c r="G113" s="49"/>
      <c r="H113" s="49"/>
      <c r="I113" s="55"/>
      <c r="K113" s="56"/>
    </row>
    <row r="114" spans="1:11" x14ac:dyDescent="0.25">
      <c r="A114" s="39"/>
      <c r="F114" s="48"/>
      <c r="G114" s="49"/>
      <c r="H114" s="49"/>
      <c r="I114" s="55"/>
      <c r="K114" s="56"/>
    </row>
    <row r="115" spans="1:11" x14ac:dyDescent="0.25">
      <c r="A115" s="39"/>
      <c r="F115" s="48"/>
      <c r="G115" s="49"/>
      <c r="H115" s="49"/>
      <c r="I115" s="55"/>
      <c r="K115" s="56"/>
    </row>
    <row r="116" spans="1:11" x14ac:dyDescent="0.25">
      <c r="A116" s="39"/>
      <c r="F116" s="48"/>
      <c r="G116" s="49"/>
      <c r="H116" s="49"/>
      <c r="I116" s="55"/>
      <c r="K116" s="56"/>
    </row>
    <row r="117" spans="1:11" x14ac:dyDescent="0.25">
      <c r="A117" s="39"/>
      <c r="F117" s="48"/>
      <c r="G117" s="49"/>
      <c r="H117" s="49"/>
      <c r="I117" s="55"/>
      <c r="K117" s="56"/>
    </row>
    <row r="118" spans="1:11" x14ac:dyDescent="0.25">
      <c r="A118" s="39"/>
      <c r="F118" s="48"/>
      <c r="G118" s="49"/>
      <c r="H118" s="49"/>
      <c r="I118" s="55"/>
      <c r="K118" s="56"/>
    </row>
    <row r="119" spans="1:11" x14ac:dyDescent="0.25">
      <c r="A119" s="39"/>
      <c r="F119" s="48"/>
      <c r="G119" s="49"/>
      <c r="H119" s="49"/>
      <c r="I119" s="55"/>
      <c r="K119" s="56"/>
    </row>
    <row r="120" spans="1:11" x14ac:dyDescent="0.25">
      <c r="A120" s="39"/>
      <c r="F120" s="48"/>
      <c r="G120" s="49"/>
      <c r="H120" s="49"/>
      <c r="I120" s="55"/>
      <c r="K120" s="56"/>
    </row>
    <row r="121" spans="1:11" x14ac:dyDescent="0.25">
      <c r="A121" s="39"/>
      <c r="F121" s="48"/>
      <c r="G121" s="49"/>
      <c r="H121" s="49"/>
      <c r="I121" s="55"/>
      <c r="K121" s="56"/>
    </row>
    <row r="122" spans="1:11" x14ac:dyDescent="0.25">
      <c r="A122" s="39"/>
      <c r="F122" s="48"/>
      <c r="G122" s="49"/>
      <c r="H122" s="49"/>
      <c r="I122" s="55"/>
      <c r="K122" s="56"/>
    </row>
    <row r="123" spans="1:11" x14ac:dyDescent="0.25">
      <c r="A123" s="39"/>
      <c r="F123" s="48"/>
      <c r="G123" s="49"/>
      <c r="H123" s="49"/>
      <c r="I123" s="55"/>
      <c r="K123" s="56"/>
    </row>
    <row r="124" spans="1:11" x14ac:dyDescent="0.25">
      <c r="A124" s="39"/>
      <c r="F124" s="48"/>
      <c r="G124" s="49"/>
      <c r="H124" s="49"/>
      <c r="I124" s="55"/>
      <c r="K124" s="56"/>
    </row>
    <row r="125" spans="1:11" x14ac:dyDescent="0.25">
      <c r="A125" s="39"/>
      <c r="F125" s="48"/>
      <c r="G125" s="49"/>
      <c r="H125" s="49"/>
      <c r="I125" s="55"/>
      <c r="K125" s="56"/>
    </row>
    <row r="126" spans="1:11" x14ac:dyDescent="0.25">
      <c r="A126" s="39"/>
      <c r="F126" s="48"/>
      <c r="G126" s="49"/>
      <c r="H126" s="49"/>
      <c r="I126" s="55"/>
      <c r="K126" s="56"/>
    </row>
    <row r="127" spans="1:11" x14ac:dyDescent="0.25">
      <c r="A127" s="39"/>
      <c r="F127" s="48"/>
      <c r="G127" s="49"/>
      <c r="H127" s="49"/>
      <c r="I127" s="55"/>
      <c r="K127" s="56"/>
    </row>
    <row r="128" spans="1:11" x14ac:dyDescent="0.25">
      <c r="A128" s="39"/>
      <c r="F128" s="48"/>
      <c r="G128" s="49"/>
      <c r="H128" s="49"/>
      <c r="I128" s="55"/>
      <c r="K128" s="56"/>
    </row>
    <row r="129" spans="1:11" x14ac:dyDescent="0.25">
      <c r="A129" s="39"/>
      <c r="F129" s="48"/>
      <c r="G129" s="49"/>
      <c r="H129" s="49"/>
      <c r="I129" s="55"/>
      <c r="K129" s="56"/>
    </row>
    <row r="130" spans="1:11" x14ac:dyDescent="0.25">
      <c r="A130" s="39"/>
      <c r="F130" s="48"/>
      <c r="G130" s="49"/>
      <c r="H130" s="49"/>
      <c r="I130" s="55"/>
      <c r="K130" s="56"/>
    </row>
    <row r="131" spans="1:11" x14ac:dyDescent="0.25">
      <c r="A131" s="39"/>
      <c r="F131" s="48"/>
      <c r="G131" s="49"/>
      <c r="H131" s="49"/>
      <c r="I131" s="55"/>
      <c r="K131" s="56"/>
    </row>
    <row r="132" spans="1:11" x14ac:dyDescent="0.25">
      <c r="A132" s="39"/>
      <c r="F132" s="48"/>
      <c r="G132" s="49"/>
      <c r="H132" s="49"/>
      <c r="I132" s="55"/>
      <c r="K132" s="56"/>
    </row>
    <row r="133" spans="1:11" x14ac:dyDescent="0.25">
      <c r="A133" s="39"/>
      <c r="F133" s="48"/>
      <c r="G133" s="49"/>
      <c r="H133" s="49"/>
      <c r="I133" s="55"/>
      <c r="K133" s="56"/>
    </row>
    <row r="134" spans="1:11" x14ac:dyDescent="0.25">
      <c r="A134" s="39"/>
      <c r="F134" s="48"/>
      <c r="G134" s="49"/>
      <c r="H134" s="49"/>
      <c r="I134" s="55"/>
      <c r="K134" s="56"/>
    </row>
    <row r="135" spans="1:11" x14ac:dyDescent="0.25">
      <c r="A135" s="39"/>
      <c r="F135" s="48"/>
      <c r="G135" s="49"/>
      <c r="H135" s="49"/>
      <c r="I135" s="55"/>
      <c r="K135" s="56"/>
    </row>
    <row r="136" spans="1:11" x14ac:dyDescent="0.25">
      <c r="A136" s="39"/>
      <c r="F136" s="48"/>
      <c r="G136" s="49"/>
      <c r="H136" s="49"/>
      <c r="I136" s="55"/>
      <c r="K136" s="56"/>
    </row>
    <row r="137" spans="1:11" x14ac:dyDescent="0.25">
      <c r="A137" s="39"/>
      <c r="F137" s="48"/>
      <c r="G137" s="49"/>
      <c r="H137" s="49"/>
      <c r="I137" s="55"/>
      <c r="K137" s="56"/>
    </row>
    <row r="138" spans="1:11" x14ac:dyDescent="0.25">
      <c r="A138" s="39"/>
      <c r="F138" s="48"/>
      <c r="G138" s="49"/>
      <c r="H138" s="49"/>
      <c r="I138" s="55"/>
      <c r="K138" s="56"/>
    </row>
    <row r="139" spans="1:11" x14ac:dyDescent="0.25">
      <c r="A139" s="39"/>
      <c r="F139" s="48"/>
      <c r="G139" s="49"/>
      <c r="H139" s="49"/>
      <c r="I139" s="55"/>
      <c r="K139" s="56"/>
    </row>
    <row r="140" spans="1:11" x14ac:dyDescent="0.25">
      <c r="A140" s="39"/>
      <c r="F140" s="48"/>
      <c r="G140" s="49"/>
      <c r="H140" s="49"/>
      <c r="I140" s="55"/>
      <c r="K140" s="56"/>
    </row>
    <row r="141" spans="1:11" x14ac:dyDescent="0.25">
      <c r="A141" s="39"/>
      <c r="F141" s="48"/>
      <c r="G141" s="49"/>
      <c r="H141" s="49"/>
      <c r="I141" s="55"/>
      <c r="K141" s="56"/>
    </row>
    <row r="142" spans="1:11" x14ac:dyDescent="0.25">
      <c r="A142" s="39"/>
      <c r="F142" s="48"/>
      <c r="G142" s="49"/>
      <c r="H142" s="49"/>
      <c r="I142" s="55"/>
      <c r="K142" s="56"/>
    </row>
    <row r="143" spans="1:11" x14ac:dyDescent="0.25">
      <c r="A143" s="39"/>
      <c r="F143" s="48"/>
      <c r="G143" s="49"/>
      <c r="H143" s="49"/>
      <c r="I143" s="55"/>
      <c r="K143" s="56"/>
    </row>
    <row r="144" spans="1:11" x14ac:dyDescent="0.25">
      <c r="A144" s="39"/>
      <c r="F144" s="48"/>
      <c r="G144" s="49"/>
      <c r="H144" s="49"/>
      <c r="I144" s="55"/>
      <c r="K144" s="56"/>
    </row>
    <row r="145" spans="1:11" x14ac:dyDescent="0.25">
      <c r="A145" s="39"/>
      <c r="F145" s="48"/>
      <c r="G145" s="49"/>
      <c r="H145" s="49"/>
      <c r="I145" s="55"/>
      <c r="K145" s="56"/>
    </row>
    <row r="146" spans="1:11" x14ac:dyDescent="0.25">
      <c r="A146" s="39"/>
      <c r="F146" s="48"/>
      <c r="G146" s="49"/>
      <c r="H146" s="49"/>
      <c r="I146" s="55"/>
      <c r="K146" s="56"/>
    </row>
    <row r="147" spans="1:11" x14ac:dyDescent="0.25">
      <c r="A147" s="39"/>
      <c r="F147" s="48"/>
      <c r="G147" s="49"/>
      <c r="H147" s="49"/>
      <c r="I147" s="55"/>
      <c r="K147" s="56"/>
    </row>
    <row r="148" spans="1:11" x14ac:dyDescent="0.25">
      <c r="A148" s="39"/>
      <c r="F148" s="48"/>
      <c r="G148" s="49"/>
      <c r="H148" s="49"/>
      <c r="I148" s="55"/>
      <c r="K148" s="56"/>
    </row>
    <row r="149" spans="1:11" x14ac:dyDescent="0.25">
      <c r="A149" s="39"/>
      <c r="F149" s="48"/>
      <c r="G149" s="49"/>
      <c r="H149" s="49"/>
      <c r="I149" s="55"/>
      <c r="K149" s="56"/>
    </row>
    <row r="150" spans="1:11" x14ac:dyDescent="0.25">
      <c r="A150" s="39"/>
      <c r="F150" s="48"/>
      <c r="G150" s="49"/>
      <c r="H150" s="49"/>
      <c r="I150" s="55"/>
      <c r="K150" s="56"/>
    </row>
    <row r="151" spans="1:11" x14ac:dyDescent="0.25">
      <c r="A151" s="39"/>
      <c r="F151" s="48"/>
      <c r="G151" s="49"/>
      <c r="H151" s="49"/>
      <c r="I151" s="55"/>
      <c r="K151" s="56"/>
    </row>
    <row r="152" spans="1:11" x14ac:dyDescent="0.25">
      <c r="A152" s="39"/>
      <c r="F152" s="48"/>
      <c r="G152" s="49"/>
      <c r="H152" s="49"/>
      <c r="I152" s="55"/>
      <c r="K152" s="56"/>
    </row>
    <row r="153" spans="1:11" x14ac:dyDescent="0.25">
      <c r="A153" s="39"/>
      <c r="F153" s="48"/>
      <c r="G153" s="49"/>
      <c r="H153" s="49"/>
      <c r="I153" s="55"/>
      <c r="K153" s="56"/>
    </row>
    <row r="154" spans="1:11" x14ac:dyDescent="0.25">
      <c r="A154" s="39"/>
      <c r="F154" s="48"/>
      <c r="G154" s="49"/>
      <c r="H154" s="49"/>
      <c r="I154" s="55"/>
      <c r="K154" s="56"/>
    </row>
    <row r="155" spans="1:11" x14ac:dyDescent="0.25">
      <c r="A155" s="39"/>
      <c r="F155" s="48"/>
      <c r="G155" s="49"/>
      <c r="H155" s="49"/>
      <c r="I155" s="55"/>
      <c r="K155" s="56"/>
    </row>
    <row r="156" spans="1:11" x14ac:dyDescent="0.25">
      <c r="A156" s="39"/>
      <c r="F156" s="48"/>
      <c r="G156" s="49"/>
      <c r="H156" s="49"/>
      <c r="I156" s="55"/>
      <c r="K156" s="56"/>
    </row>
    <row r="157" spans="1:11" x14ac:dyDescent="0.25">
      <c r="A157" s="39"/>
      <c r="F157" s="48"/>
      <c r="G157" s="49"/>
      <c r="H157" s="49"/>
      <c r="I157" s="55"/>
      <c r="K157" s="56"/>
    </row>
    <row r="158" spans="1:11" x14ac:dyDescent="0.25">
      <c r="A158" s="39"/>
      <c r="F158" s="48"/>
      <c r="G158" s="49"/>
      <c r="H158" s="49"/>
      <c r="I158" s="55"/>
      <c r="K158" s="56"/>
    </row>
    <row r="159" spans="1:11" x14ac:dyDescent="0.25">
      <c r="A159" s="39"/>
      <c r="F159" s="48"/>
      <c r="G159" s="49"/>
      <c r="H159" s="49"/>
      <c r="I159" s="55"/>
      <c r="K159" s="56"/>
    </row>
    <row r="160" spans="1:11" x14ac:dyDescent="0.25">
      <c r="A160" s="39"/>
      <c r="F160" s="48"/>
      <c r="G160" s="49"/>
      <c r="H160" s="49"/>
      <c r="I160" s="55"/>
      <c r="K160" s="56"/>
    </row>
    <row r="161" spans="1:11" x14ac:dyDescent="0.25">
      <c r="A161" s="39"/>
      <c r="F161" s="48"/>
      <c r="G161" s="49"/>
      <c r="H161" s="49"/>
      <c r="I161" s="55"/>
      <c r="K161" s="56"/>
    </row>
    <row r="162" spans="1:11" x14ac:dyDescent="0.25">
      <c r="A162" s="39"/>
      <c r="F162" s="48"/>
      <c r="G162" s="49"/>
      <c r="H162" s="49"/>
      <c r="I162" s="55"/>
      <c r="K162" s="56"/>
    </row>
    <row r="163" spans="1:11" x14ac:dyDescent="0.25">
      <c r="A163" s="39"/>
      <c r="F163" s="48"/>
      <c r="G163" s="49"/>
      <c r="H163" s="49"/>
      <c r="I163" s="55"/>
      <c r="K163" s="56"/>
    </row>
    <row r="164" spans="1:11" x14ac:dyDescent="0.25">
      <c r="A164" s="39"/>
      <c r="F164" s="48"/>
      <c r="G164" s="49"/>
      <c r="H164" s="49"/>
      <c r="I164" s="55"/>
      <c r="K164" s="56"/>
    </row>
    <row r="165" spans="1:11" x14ac:dyDescent="0.25">
      <c r="A165" s="39"/>
      <c r="F165" s="48"/>
      <c r="G165" s="49"/>
      <c r="H165" s="49"/>
      <c r="I165" s="55"/>
      <c r="K165" s="56"/>
    </row>
    <row r="166" spans="1:11" x14ac:dyDescent="0.25">
      <c r="A166" s="39"/>
      <c r="F166" s="48"/>
      <c r="G166" s="49"/>
      <c r="H166" s="49"/>
      <c r="I166" s="55"/>
      <c r="K166" s="56"/>
    </row>
    <row r="167" spans="1:11" x14ac:dyDescent="0.25">
      <c r="A167" s="39"/>
      <c r="F167" s="48"/>
      <c r="G167" s="49"/>
      <c r="H167" s="49"/>
      <c r="I167" s="55"/>
      <c r="K167" s="56"/>
    </row>
    <row r="168" spans="1:11" x14ac:dyDescent="0.25">
      <c r="A168" s="39"/>
      <c r="F168" s="48"/>
      <c r="G168" s="49"/>
      <c r="H168" s="49"/>
      <c r="I168" s="55"/>
      <c r="K168" s="56"/>
    </row>
    <row r="169" spans="1:11" x14ac:dyDescent="0.25">
      <c r="A169" s="39"/>
      <c r="F169" s="48"/>
      <c r="G169" s="49"/>
      <c r="H169" s="49"/>
      <c r="I169" s="55"/>
      <c r="K169" s="56"/>
    </row>
    <row r="170" spans="1:11" x14ac:dyDescent="0.25">
      <c r="A170" s="39"/>
      <c r="F170" s="48"/>
      <c r="G170" s="49"/>
      <c r="H170" s="49"/>
      <c r="I170" s="55"/>
      <c r="K170" s="56"/>
    </row>
    <row r="171" spans="1:11" x14ac:dyDescent="0.25">
      <c r="A171" s="39"/>
      <c r="F171" s="48"/>
      <c r="G171" s="49"/>
      <c r="H171" s="49"/>
      <c r="I171" s="55"/>
      <c r="K171" s="56"/>
    </row>
    <row r="172" spans="1:11" x14ac:dyDescent="0.25">
      <c r="A172" s="39"/>
      <c r="F172" s="48"/>
      <c r="G172" s="49"/>
      <c r="H172" s="49"/>
      <c r="I172" s="55"/>
      <c r="K172" s="56"/>
    </row>
    <row r="173" spans="1:11" x14ac:dyDescent="0.25">
      <c r="A173" s="39"/>
      <c r="F173" s="48"/>
      <c r="G173" s="48"/>
      <c r="H173" s="49"/>
      <c r="I173" s="55"/>
      <c r="K173" s="56"/>
    </row>
    <row r="174" spans="1:11" x14ac:dyDescent="0.25">
      <c r="A174" s="39"/>
      <c r="F174" s="48"/>
      <c r="G174" s="48"/>
      <c r="H174" s="49"/>
      <c r="I174" s="55"/>
      <c r="K174" s="56"/>
    </row>
    <row r="175" spans="1:11" x14ac:dyDescent="0.25">
      <c r="A175" s="39"/>
      <c r="F175" s="48"/>
      <c r="G175" s="48"/>
      <c r="H175" s="49"/>
      <c r="I175" s="55"/>
      <c r="K175" s="56"/>
    </row>
    <row r="176" spans="1:11" x14ac:dyDescent="0.25">
      <c r="A176" s="39"/>
      <c r="F176" s="48"/>
      <c r="G176" s="48"/>
      <c r="H176" s="49"/>
      <c r="I176" s="55"/>
      <c r="K176" s="56"/>
    </row>
    <row r="177" spans="1:11" x14ac:dyDescent="0.25">
      <c r="A177" s="39"/>
      <c r="F177" s="48"/>
      <c r="G177" s="48"/>
      <c r="H177" s="49"/>
      <c r="I177" s="55"/>
      <c r="K177" s="56"/>
    </row>
    <row r="178" spans="1:11" x14ac:dyDescent="0.25">
      <c r="A178" s="39"/>
      <c r="F178" s="48"/>
      <c r="G178" s="48"/>
      <c r="H178" s="49"/>
      <c r="I178" s="55"/>
      <c r="K178" s="56"/>
    </row>
    <row r="179" spans="1:11" x14ac:dyDescent="0.25">
      <c r="A179" s="39"/>
      <c r="F179" s="48"/>
      <c r="G179" s="48"/>
      <c r="H179" s="49"/>
      <c r="I179" s="55"/>
      <c r="K179" s="56"/>
    </row>
    <row r="180" spans="1:11" x14ac:dyDescent="0.25">
      <c r="A180" s="39"/>
      <c r="F180" s="48"/>
      <c r="G180" s="48"/>
      <c r="H180" s="49"/>
      <c r="I180" s="55"/>
      <c r="K180" s="56"/>
    </row>
    <row r="181" spans="1:11" x14ac:dyDescent="0.25">
      <c r="A181" s="39"/>
      <c r="F181" s="48"/>
      <c r="G181" s="48"/>
      <c r="H181" s="49"/>
      <c r="I181" s="55"/>
      <c r="K181" s="56"/>
    </row>
    <row r="182" spans="1:11" x14ac:dyDescent="0.25">
      <c r="A182" s="39"/>
      <c r="F182" s="48"/>
      <c r="G182" s="48"/>
      <c r="H182" s="49"/>
      <c r="I182" s="55"/>
      <c r="K182" s="56"/>
    </row>
    <row r="183" spans="1:11" x14ac:dyDescent="0.25">
      <c r="A183" s="39"/>
      <c r="F183" s="48"/>
      <c r="G183" s="48"/>
      <c r="H183" s="49"/>
      <c r="I183" s="55"/>
      <c r="K183" s="56"/>
    </row>
    <row r="184" spans="1:11" x14ac:dyDescent="0.25">
      <c r="A184" s="39"/>
      <c r="F184" s="48"/>
      <c r="G184" s="48"/>
      <c r="H184" s="49"/>
      <c r="I184" s="55"/>
      <c r="K184" s="56"/>
    </row>
    <row r="185" spans="1:11" x14ac:dyDescent="0.25">
      <c r="A185" s="39"/>
      <c r="F185" s="48"/>
      <c r="G185" s="48"/>
      <c r="H185" s="49"/>
      <c r="I185" s="55"/>
      <c r="K185" s="56"/>
    </row>
    <row r="186" spans="1:11" x14ac:dyDescent="0.25">
      <c r="A186" s="39"/>
      <c r="F186" s="48"/>
      <c r="G186" s="48"/>
      <c r="H186" s="49"/>
      <c r="I186" s="55"/>
      <c r="K186" s="56"/>
    </row>
    <row r="187" spans="1:11" x14ac:dyDescent="0.25">
      <c r="A187" s="39"/>
      <c r="F187" s="48"/>
      <c r="G187" s="48"/>
      <c r="H187" s="49"/>
      <c r="I187" s="55"/>
      <c r="K187" s="56"/>
    </row>
    <row r="188" spans="1:11" x14ac:dyDescent="0.25">
      <c r="A188" s="39"/>
      <c r="F188" s="48"/>
      <c r="G188" s="48"/>
      <c r="H188" s="49"/>
      <c r="I188" s="55"/>
      <c r="K188" s="56"/>
    </row>
    <row r="189" spans="1:11" x14ac:dyDescent="0.25">
      <c r="A189" s="39"/>
      <c r="F189" s="48"/>
      <c r="G189" s="48"/>
      <c r="H189" s="49"/>
      <c r="I189" s="55"/>
      <c r="K189" s="56"/>
    </row>
    <row r="190" spans="1:11" x14ac:dyDescent="0.25">
      <c r="A190" s="39"/>
      <c r="F190" s="48"/>
      <c r="G190" s="48"/>
      <c r="H190" s="49"/>
      <c r="I190" s="55"/>
      <c r="K190" s="56"/>
    </row>
    <row r="191" spans="1:11" x14ac:dyDescent="0.25">
      <c r="A191" s="39"/>
      <c r="F191" s="48"/>
      <c r="G191" s="48"/>
      <c r="H191" s="49"/>
      <c r="I191" s="55"/>
      <c r="K191" s="56"/>
    </row>
    <row r="192" spans="1:11" x14ac:dyDescent="0.25">
      <c r="A192" s="39"/>
      <c r="F192" s="48"/>
      <c r="G192" s="48"/>
      <c r="H192" s="49"/>
      <c r="I192" s="55"/>
      <c r="K192" s="56"/>
    </row>
    <row r="193" spans="1:11" x14ac:dyDescent="0.25">
      <c r="A193" s="39"/>
      <c r="F193" s="48"/>
      <c r="G193" s="48"/>
      <c r="H193" s="49"/>
      <c r="I193" s="55"/>
      <c r="K193" s="56"/>
    </row>
    <row r="194" spans="1:11" x14ac:dyDescent="0.25">
      <c r="A194" s="39"/>
      <c r="F194" s="48"/>
      <c r="G194" s="48"/>
      <c r="H194" s="49"/>
      <c r="I194" s="55"/>
      <c r="K194" s="56"/>
    </row>
    <row r="195" spans="1:11" x14ac:dyDescent="0.25">
      <c r="A195" s="39"/>
      <c r="F195" s="48"/>
      <c r="G195" s="48"/>
      <c r="H195" s="49"/>
      <c r="I195" s="55"/>
      <c r="K195" s="56"/>
    </row>
    <row r="196" spans="1:11" x14ac:dyDescent="0.25">
      <c r="A196" s="39"/>
      <c r="F196" s="48"/>
      <c r="G196" s="48"/>
      <c r="H196" s="49"/>
      <c r="I196" s="55"/>
      <c r="K196" s="56"/>
    </row>
    <row r="197" spans="1:11" x14ac:dyDescent="0.25">
      <c r="A197" s="39"/>
      <c r="F197" s="48"/>
      <c r="G197" s="48"/>
      <c r="H197" s="49"/>
      <c r="I197" s="55"/>
      <c r="K197" s="56"/>
    </row>
    <row r="198" spans="1:11" x14ac:dyDescent="0.25">
      <c r="A198" s="39"/>
      <c r="F198" s="48"/>
      <c r="G198" s="48"/>
      <c r="H198" s="49"/>
      <c r="I198" s="55"/>
      <c r="K198" s="56"/>
    </row>
    <row r="199" spans="1:11" x14ac:dyDescent="0.25">
      <c r="A199" s="39"/>
      <c r="F199" s="48"/>
      <c r="G199" s="48"/>
      <c r="H199" s="49"/>
      <c r="I199" s="55"/>
      <c r="K199" s="56"/>
    </row>
    <row r="200" spans="1:11" x14ac:dyDescent="0.25">
      <c r="A200" s="39"/>
      <c r="F200" s="48"/>
      <c r="G200" s="48"/>
      <c r="H200" s="49"/>
      <c r="I200" s="55"/>
      <c r="K200" s="56"/>
    </row>
    <row r="201" spans="1:11" x14ac:dyDescent="0.25">
      <c r="A201" s="39"/>
      <c r="F201" s="48"/>
      <c r="G201" s="48"/>
      <c r="H201" s="49"/>
      <c r="I201" s="55"/>
      <c r="K201" s="56"/>
    </row>
    <row r="202" spans="1:11" x14ac:dyDescent="0.25">
      <c r="A202" s="39"/>
      <c r="F202" s="48"/>
      <c r="G202" s="48"/>
      <c r="H202" s="49"/>
      <c r="I202" s="55"/>
      <c r="K202" s="56"/>
    </row>
    <row r="203" spans="1:11" x14ac:dyDescent="0.25">
      <c r="A203" s="39"/>
      <c r="F203" s="48"/>
      <c r="G203" s="48"/>
      <c r="H203" s="49"/>
      <c r="I203" s="55"/>
      <c r="K203" s="56"/>
    </row>
    <row r="204" spans="1:11" x14ac:dyDescent="0.25">
      <c r="A204" s="39"/>
      <c r="F204" s="48"/>
      <c r="G204" s="48"/>
      <c r="H204" s="49"/>
      <c r="I204" s="55"/>
      <c r="K204" s="56"/>
    </row>
    <row r="205" spans="1:11" x14ac:dyDescent="0.25">
      <c r="A205" s="39"/>
      <c r="F205" s="48"/>
      <c r="G205" s="48"/>
      <c r="H205" s="49"/>
      <c r="I205" s="55"/>
      <c r="K205" s="56"/>
    </row>
    <row r="206" spans="1:11" x14ac:dyDescent="0.25">
      <c r="A206" s="39"/>
      <c r="F206" s="48"/>
      <c r="G206" s="48"/>
      <c r="H206" s="49"/>
      <c r="I206" s="55"/>
      <c r="K206" s="56"/>
    </row>
    <row r="207" spans="1:11" x14ac:dyDescent="0.25">
      <c r="A207" s="39"/>
      <c r="F207" s="48"/>
      <c r="G207" s="48"/>
      <c r="H207" s="49"/>
      <c r="I207" s="55"/>
      <c r="K207" s="56"/>
    </row>
    <row r="208" spans="1:11" x14ac:dyDescent="0.25">
      <c r="A208" s="39"/>
      <c r="F208" s="48"/>
      <c r="G208" s="48"/>
      <c r="H208" s="49"/>
      <c r="I208" s="55"/>
      <c r="K208" s="56"/>
    </row>
    <row r="209" spans="1:11" x14ac:dyDescent="0.25">
      <c r="A209" s="39"/>
      <c r="F209" s="48"/>
      <c r="G209" s="48"/>
      <c r="H209" s="49"/>
      <c r="I209" s="55"/>
      <c r="K209" s="56"/>
    </row>
    <row r="210" spans="1:11" x14ac:dyDescent="0.25">
      <c r="A210" s="39"/>
      <c r="F210" s="48"/>
      <c r="G210" s="48"/>
      <c r="H210" s="49"/>
      <c r="I210" s="55"/>
      <c r="K210" s="56"/>
    </row>
    <row r="211" spans="1:11" x14ac:dyDescent="0.25">
      <c r="A211" s="39"/>
      <c r="F211" s="48"/>
      <c r="G211" s="48"/>
      <c r="H211" s="49"/>
      <c r="I211" s="55"/>
      <c r="K211" s="56"/>
    </row>
    <row r="212" spans="1:11" x14ac:dyDescent="0.25">
      <c r="A212" s="39"/>
      <c r="F212" s="48"/>
      <c r="G212" s="48"/>
      <c r="H212" s="49"/>
      <c r="I212" s="55"/>
      <c r="K212" s="56"/>
    </row>
    <row r="213" spans="1:11" x14ac:dyDescent="0.25">
      <c r="A213" s="39"/>
      <c r="F213" s="48"/>
      <c r="G213" s="48"/>
      <c r="H213" s="49"/>
      <c r="I213" s="55"/>
      <c r="K213" s="56"/>
    </row>
    <row r="214" spans="1:11" x14ac:dyDescent="0.25">
      <c r="A214" s="39"/>
      <c r="F214" s="48"/>
      <c r="G214" s="48"/>
      <c r="H214" s="49"/>
      <c r="I214" s="55"/>
      <c r="K214" s="56"/>
    </row>
    <row r="215" spans="1:11" x14ac:dyDescent="0.25">
      <c r="A215" s="39"/>
      <c r="F215" s="48"/>
      <c r="G215" s="48"/>
      <c r="H215" s="49"/>
      <c r="I215" s="55"/>
      <c r="K215" s="56"/>
    </row>
    <row r="216" spans="1:11" x14ac:dyDescent="0.25">
      <c r="A216" s="39"/>
      <c r="F216" s="48"/>
      <c r="G216" s="48"/>
      <c r="H216" s="49"/>
      <c r="I216" s="55"/>
      <c r="K216" s="56"/>
    </row>
    <row r="217" spans="1:11" x14ac:dyDescent="0.25">
      <c r="A217" s="39"/>
      <c r="H217" s="49"/>
      <c r="I217" s="55"/>
      <c r="K217" s="56"/>
    </row>
    <row r="218" spans="1:11" x14ac:dyDescent="0.25">
      <c r="A218" s="39"/>
      <c r="H218" s="49"/>
      <c r="I218" s="55"/>
      <c r="K218" s="56"/>
    </row>
    <row r="219" spans="1:11" x14ac:dyDescent="0.25">
      <c r="A219" s="39"/>
      <c r="H219" s="49"/>
      <c r="I219" s="55"/>
      <c r="K219" s="56"/>
    </row>
    <row r="220" spans="1:11" x14ac:dyDescent="0.25">
      <c r="A220" s="39"/>
      <c r="H220" s="49"/>
      <c r="I220" s="55"/>
      <c r="K220" s="56"/>
    </row>
    <row r="221" spans="1:11" x14ac:dyDescent="0.25">
      <c r="A221" s="39"/>
      <c r="H221" s="49"/>
      <c r="I221" s="55"/>
      <c r="K221" s="56"/>
    </row>
    <row r="222" spans="1:11" x14ac:dyDescent="0.25">
      <c r="A222" s="39"/>
      <c r="H222" s="49"/>
      <c r="I222" s="55"/>
      <c r="K222" s="56"/>
    </row>
    <row r="223" spans="1:11" x14ac:dyDescent="0.25">
      <c r="A223" s="39"/>
      <c r="H223" s="49"/>
      <c r="I223" s="55"/>
      <c r="K223" s="56"/>
    </row>
    <row r="224" spans="1:11" x14ac:dyDescent="0.25">
      <c r="A224" s="39"/>
      <c r="H224" s="49"/>
      <c r="I224" s="55"/>
      <c r="K224" s="56"/>
    </row>
    <row r="225" spans="1:11" x14ac:dyDescent="0.25">
      <c r="A225" s="39"/>
      <c r="H225" s="49"/>
      <c r="I225" s="55"/>
      <c r="K225" s="56"/>
    </row>
    <row r="226" spans="1:11" x14ac:dyDescent="0.25">
      <c r="A226" s="39"/>
      <c r="H226" s="49"/>
      <c r="I226" s="55"/>
      <c r="K226" s="56"/>
    </row>
    <row r="227" spans="1:11" x14ac:dyDescent="0.25">
      <c r="A227" s="39"/>
      <c r="H227" s="49"/>
      <c r="I227" s="55"/>
      <c r="K227" s="56"/>
    </row>
    <row r="228" spans="1:11" x14ac:dyDescent="0.25">
      <c r="A228" s="39"/>
      <c r="H228" s="49"/>
      <c r="I228" s="55"/>
      <c r="K228" s="56"/>
    </row>
    <row r="229" spans="1:11" x14ac:dyDescent="0.25">
      <c r="A229" s="39"/>
      <c r="H229" s="49"/>
      <c r="I229" s="55"/>
      <c r="K229" s="56"/>
    </row>
    <row r="230" spans="1:11" x14ac:dyDescent="0.25">
      <c r="A230" s="39"/>
      <c r="H230" s="49"/>
      <c r="I230" s="55"/>
      <c r="K230" s="56"/>
    </row>
    <row r="231" spans="1:11" x14ac:dyDescent="0.25">
      <c r="A231" s="39"/>
      <c r="H231" s="49"/>
      <c r="I231" s="55"/>
      <c r="K231" s="56"/>
    </row>
    <row r="232" spans="1:11" x14ac:dyDescent="0.25">
      <c r="A232" s="39"/>
      <c r="H232" s="49"/>
      <c r="I232" s="55"/>
      <c r="K232" s="56"/>
    </row>
    <row r="233" spans="1:11" x14ac:dyDescent="0.25">
      <c r="A233" s="39"/>
      <c r="H233" s="49"/>
      <c r="I233" s="55"/>
      <c r="K233" s="56"/>
    </row>
    <row r="234" spans="1:11" x14ac:dyDescent="0.25">
      <c r="A234" s="39"/>
      <c r="H234" s="49"/>
      <c r="I234" s="55"/>
      <c r="K234" s="56"/>
    </row>
    <row r="235" spans="1:11" x14ac:dyDescent="0.25">
      <c r="A235" s="39"/>
      <c r="H235" s="49"/>
      <c r="I235" s="55"/>
      <c r="K235" s="56"/>
    </row>
    <row r="236" spans="1:11" x14ac:dyDescent="0.25">
      <c r="A236" s="39"/>
      <c r="H236" s="49"/>
      <c r="I236" s="55"/>
      <c r="K236" s="56"/>
    </row>
    <row r="237" spans="1:11" x14ac:dyDescent="0.25">
      <c r="A237" s="39"/>
      <c r="H237" s="49"/>
      <c r="I237" s="55"/>
      <c r="K237" s="56"/>
    </row>
    <row r="238" spans="1:11" x14ac:dyDescent="0.25">
      <c r="A238" s="39"/>
      <c r="H238" s="49"/>
      <c r="I238" s="55"/>
      <c r="K238" s="56"/>
    </row>
    <row r="239" spans="1:11" x14ac:dyDescent="0.25">
      <c r="A239" s="39"/>
      <c r="H239" s="49"/>
      <c r="I239" s="55"/>
      <c r="K239" s="56"/>
    </row>
    <row r="240" spans="1:11" x14ac:dyDescent="0.25">
      <c r="A240" s="39"/>
      <c r="H240" s="49"/>
      <c r="I240" s="55"/>
      <c r="K240" s="56"/>
    </row>
    <row r="241" spans="1:11" x14ac:dyDescent="0.25">
      <c r="A241" s="39"/>
      <c r="H241" s="49"/>
      <c r="I241" s="55"/>
      <c r="K241" s="56"/>
    </row>
    <row r="242" spans="1:11" x14ac:dyDescent="0.25">
      <c r="A242" s="39"/>
      <c r="H242" s="49"/>
      <c r="I242" s="55"/>
      <c r="K242" s="56"/>
    </row>
    <row r="243" spans="1:11" x14ac:dyDescent="0.25">
      <c r="A243" s="39"/>
      <c r="H243" s="49"/>
      <c r="I243" s="55"/>
      <c r="K243" s="56"/>
    </row>
    <row r="244" spans="1:11" x14ac:dyDescent="0.25">
      <c r="A244" s="39"/>
      <c r="H244" s="49"/>
      <c r="I244" s="55"/>
      <c r="K244" s="56"/>
    </row>
    <row r="245" spans="1:11" x14ac:dyDescent="0.25">
      <c r="A245" s="39"/>
      <c r="H245" s="49"/>
      <c r="I245" s="55"/>
      <c r="K245" s="56"/>
    </row>
    <row r="246" spans="1:11" x14ac:dyDescent="0.25">
      <c r="A246" s="39"/>
      <c r="H246" s="49"/>
      <c r="I246" s="55"/>
      <c r="K246" s="56"/>
    </row>
    <row r="247" spans="1:11" x14ac:dyDescent="0.25">
      <c r="A247" s="39"/>
      <c r="H247" s="49"/>
      <c r="I247" s="55"/>
      <c r="K247" s="56"/>
    </row>
    <row r="248" spans="1:11" x14ac:dyDescent="0.25">
      <c r="A248" s="39"/>
      <c r="H248" s="49"/>
      <c r="I248" s="55"/>
      <c r="K248" s="56"/>
    </row>
    <row r="249" spans="1:11" x14ac:dyDescent="0.25">
      <c r="A249" s="39"/>
      <c r="H249" s="49"/>
      <c r="I249" s="55"/>
      <c r="K249" s="56"/>
    </row>
    <row r="250" spans="1:11" x14ac:dyDescent="0.25">
      <c r="A250" s="39"/>
      <c r="H250" s="49"/>
      <c r="I250" s="55"/>
      <c r="K250" s="56"/>
    </row>
    <row r="251" spans="1:11" x14ac:dyDescent="0.25">
      <c r="A251" s="39"/>
      <c r="H251" s="49"/>
      <c r="I251" s="55"/>
      <c r="K251" s="56"/>
    </row>
    <row r="252" spans="1:11" x14ac:dyDescent="0.25">
      <c r="A252" s="39"/>
      <c r="H252" s="49"/>
      <c r="I252" s="55"/>
      <c r="K252" s="56"/>
    </row>
    <row r="253" spans="1:11" x14ac:dyDescent="0.25">
      <c r="A253" s="39"/>
      <c r="H253" s="49"/>
      <c r="I253" s="55"/>
      <c r="K253" s="56"/>
    </row>
    <row r="254" spans="1:11" x14ac:dyDescent="0.25">
      <c r="A254" s="39"/>
      <c r="H254" s="49"/>
      <c r="I254" s="55"/>
      <c r="K254" s="56"/>
    </row>
    <row r="255" spans="1:11" x14ac:dyDescent="0.25">
      <c r="A255" s="39"/>
      <c r="H255" s="49"/>
      <c r="I255" s="55"/>
      <c r="K255" s="56"/>
    </row>
    <row r="256" spans="1:11" x14ac:dyDescent="0.25">
      <c r="A256" s="39"/>
      <c r="H256" s="49"/>
      <c r="I256" s="55"/>
      <c r="K256" s="56"/>
    </row>
    <row r="257" spans="1:11" x14ac:dyDescent="0.25">
      <c r="A257" s="39"/>
      <c r="H257" s="49"/>
      <c r="I257" s="55"/>
      <c r="K257" s="56"/>
    </row>
    <row r="258" spans="1:11" x14ac:dyDescent="0.25">
      <c r="A258" s="39"/>
      <c r="H258" s="49"/>
      <c r="I258" s="55"/>
      <c r="K258" s="56"/>
    </row>
    <row r="259" spans="1:11" x14ac:dyDescent="0.25">
      <c r="A259" s="39"/>
      <c r="H259" s="49"/>
      <c r="I259" s="55"/>
      <c r="K259" s="56"/>
    </row>
    <row r="260" spans="1:11" x14ac:dyDescent="0.25">
      <c r="A260" s="39"/>
      <c r="H260" s="49"/>
      <c r="I260" s="55"/>
      <c r="K260" s="56"/>
    </row>
    <row r="261" spans="1:11" x14ac:dyDescent="0.25">
      <c r="A261" s="39"/>
      <c r="H261" s="49"/>
      <c r="I261" s="55"/>
      <c r="K261" s="56"/>
    </row>
    <row r="262" spans="1:11" x14ac:dyDescent="0.25">
      <c r="A262" s="39"/>
      <c r="H262" s="49"/>
      <c r="I262" s="55"/>
      <c r="K262" s="56"/>
    </row>
    <row r="263" spans="1:11" x14ac:dyDescent="0.25">
      <c r="A263" s="39"/>
      <c r="H263" s="49"/>
      <c r="I263" s="55"/>
      <c r="K263" s="56"/>
    </row>
    <row r="264" spans="1:11" x14ac:dyDescent="0.25">
      <c r="A264" s="39"/>
      <c r="H264" s="49"/>
      <c r="I264" s="55"/>
      <c r="K264" s="56"/>
    </row>
    <row r="265" spans="1:11" x14ac:dyDescent="0.25">
      <c r="A265" s="39"/>
      <c r="H265" s="49"/>
      <c r="I265" s="55"/>
      <c r="K265" s="56"/>
    </row>
    <row r="266" spans="1:11" x14ac:dyDescent="0.25">
      <c r="A266" s="39"/>
      <c r="H266" s="49"/>
      <c r="I266" s="55"/>
      <c r="K266" s="56"/>
    </row>
    <row r="267" spans="1:11" x14ac:dyDescent="0.25">
      <c r="A267" s="39"/>
      <c r="H267" s="49"/>
      <c r="I267" s="55"/>
      <c r="K267" s="56"/>
    </row>
    <row r="268" spans="1:11" x14ac:dyDescent="0.25">
      <c r="A268" s="39"/>
      <c r="H268" s="49"/>
      <c r="I268" s="55"/>
      <c r="K268" s="56"/>
    </row>
    <row r="269" spans="1:11" x14ac:dyDescent="0.25">
      <c r="A269" s="39"/>
      <c r="H269" s="49"/>
      <c r="I269" s="55"/>
      <c r="K269" s="56"/>
    </row>
    <row r="270" spans="1:11" x14ac:dyDescent="0.25">
      <c r="A270" s="39"/>
      <c r="H270" s="49"/>
      <c r="I270" s="55"/>
      <c r="K270" s="56"/>
    </row>
    <row r="271" spans="1:11" x14ac:dyDescent="0.25">
      <c r="A271" s="39"/>
      <c r="H271" s="49"/>
      <c r="I271" s="55"/>
      <c r="K271" s="56"/>
    </row>
    <row r="272" spans="1:11" x14ac:dyDescent="0.25">
      <c r="A272" s="39"/>
      <c r="H272" s="49"/>
      <c r="I272" s="55"/>
      <c r="K272" s="56"/>
    </row>
    <row r="273" spans="1:11" x14ac:dyDescent="0.25">
      <c r="A273" s="39"/>
      <c r="H273" s="49"/>
      <c r="I273" s="55"/>
      <c r="K273" s="56"/>
    </row>
    <row r="274" spans="1:11" x14ac:dyDescent="0.25">
      <c r="A274" s="39"/>
      <c r="H274" s="49"/>
      <c r="I274" s="55"/>
      <c r="K274" s="56"/>
    </row>
    <row r="275" spans="1:11" x14ac:dyDescent="0.25">
      <c r="A275" s="39"/>
      <c r="H275" s="49"/>
      <c r="I275" s="55"/>
      <c r="K275" s="56"/>
    </row>
    <row r="276" spans="1:11" x14ac:dyDescent="0.25">
      <c r="A276" s="39"/>
      <c r="H276" s="49"/>
      <c r="I276" s="55"/>
      <c r="K276" s="56"/>
    </row>
    <row r="277" spans="1:11" x14ac:dyDescent="0.25">
      <c r="A277" s="39"/>
      <c r="H277" s="49"/>
      <c r="I277" s="55"/>
      <c r="K277" s="56"/>
    </row>
    <row r="278" spans="1:11" x14ac:dyDescent="0.25">
      <c r="A278" s="39"/>
      <c r="H278" s="49"/>
      <c r="I278" s="55"/>
      <c r="K278" s="56"/>
    </row>
    <row r="279" spans="1:11" x14ac:dyDescent="0.25">
      <c r="A279" s="39"/>
      <c r="H279" s="49"/>
      <c r="I279" s="55"/>
      <c r="K279" s="56"/>
    </row>
    <row r="280" spans="1:11" x14ac:dyDescent="0.25">
      <c r="A280" s="39"/>
      <c r="H280" s="49"/>
      <c r="I280" s="55"/>
      <c r="K280" s="56"/>
    </row>
    <row r="281" spans="1:11" x14ac:dyDescent="0.25">
      <c r="A281" s="39"/>
      <c r="H281" s="49"/>
      <c r="I281" s="55"/>
      <c r="K281" s="56"/>
    </row>
    <row r="282" spans="1:11" x14ac:dyDescent="0.25">
      <c r="A282" s="39"/>
      <c r="H282" s="49"/>
      <c r="I282" s="55"/>
      <c r="K282" s="56"/>
    </row>
    <row r="283" spans="1:11" x14ac:dyDescent="0.25">
      <c r="A283" s="39"/>
      <c r="H283" s="49"/>
      <c r="I283" s="55"/>
      <c r="K283" s="56"/>
    </row>
    <row r="284" spans="1:11" x14ac:dyDescent="0.25">
      <c r="A284" s="39"/>
      <c r="H284" s="49"/>
      <c r="I284" s="55"/>
      <c r="K284" s="56"/>
    </row>
    <row r="285" spans="1:11" x14ac:dyDescent="0.25">
      <c r="A285" s="39"/>
      <c r="H285" s="49"/>
      <c r="I285" s="55"/>
      <c r="K285" s="56"/>
    </row>
    <row r="286" spans="1:11" x14ac:dyDescent="0.25">
      <c r="A286" s="39"/>
      <c r="H286" s="49"/>
      <c r="I286" s="55"/>
      <c r="K286" s="56"/>
    </row>
    <row r="287" spans="1:11" x14ac:dyDescent="0.25">
      <c r="A287" s="39"/>
      <c r="H287" s="49"/>
      <c r="I287" s="55"/>
      <c r="K287" s="56"/>
    </row>
    <row r="288" spans="1:11" x14ac:dyDescent="0.25">
      <c r="A288" s="39"/>
      <c r="H288" s="49"/>
      <c r="I288" s="55"/>
      <c r="K288" s="56"/>
    </row>
    <row r="289" spans="1:11" x14ac:dyDescent="0.25">
      <c r="A289" s="39"/>
      <c r="H289" s="49"/>
      <c r="I289" s="55"/>
      <c r="K289" s="56"/>
    </row>
    <row r="290" spans="1:11" x14ac:dyDescent="0.25">
      <c r="A290" s="39"/>
      <c r="H290" s="49"/>
      <c r="I290" s="55"/>
      <c r="K290" s="56"/>
    </row>
    <row r="291" spans="1:11" x14ac:dyDescent="0.25">
      <c r="A291" s="39"/>
      <c r="H291" s="49"/>
      <c r="I291" s="55"/>
      <c r="K291" s="56"/>
    </row>
    <row r="292" spans="1:11" x14ac:dyDescent="0.25">
      <c r="A292" s="39"/>
      <c r="H292" s="49"/>
      <c r="I292" s="55"/>
      <c r="K292" s="56"/>
    </row>
    <row r="293" spans="1:11" x14ac:dyDescent="0.25">
      <c r="A293" s="39"/>
      <c r="H293" s="49"/>
      <c r="I293" s="55"/>
      <c r="K293" s="56"/>
    </row>
    <row r="294" spans="1:11" x14ac:dyDescent="0.25">
      <c r="A294" s="39"/>
      <c r="H294" s="49"/>
      <c r="I294" s="55"/>
      <c r="K294" s="56"/>
    </row>
    <row r="295" spans="1:11" x14ac:dyDescent="0.25">
      <c r="A295" s="39"/>
      <c r="H295" s="49"/>
      <c r="I295" s="55"/>
      <c r="K295" s="56"/>
    </row>
    <row r="296" spans="1:11" x14ac:dyDescent="0.25">
      <c r="A296" s="39"/>
      <c r="H296" s="49"/>
      <c r="I296" s="55"/>
      <c r="K296" s="56"/>
    </row>
    <row r="297" spans="1:11" x14ac:dyDescent="0.25">
      <c r="A297" s="39"/>
      <c r="H297" s="49"/>
      <c r="I297" s="55"/>
      <c r="K297" s="56"/>
    </row>
    <row r="298" spans="1:11" x14ac:dyDescent="0.25">
      <c r="A298" s="39"/>
      <c r="H298" s="49"/>
      <c r="I298" s="55"/>
      <c r="K298" s="56"/>
    </row>
    <row r="299" spans="1:11" x14ac:dyDescent="0.25">
      <c r="A299" s="39"/>
      <c r="H299" s="49"/>
      <c r="I299" s="55"/>
      <c r="K299" s="56"/>
    </row>
    <row r="300" spans="1:11" x14ac:dyDescent="0.25">
      <c r="A300" s="39"/>
      <c r="H300" s="49"/>
      <c r="I300" s="55"/>
      <c r="K300" s="56"/>
    </row>
    <row r="301" spans="1:11" x14ac:dyDescent="0.25">
      <c r="A301" s="39"/>
      <c r="H301" s="49"/>
      <c r="I301" s="55"/>
      <c r="K301" s="56"/>
    </row>
    <row r="302" spans="1:11" x14ac:dyDescent="0.25">
      <c r="A302" s="39"/>
      <c r="H302" s="49"/>
      <c r="I302" s="55"/>
      <c r="K302" s="56"/>
    </row>
    <row r="303" spans="1:11" x14ac:dyDescent="0.25">
      <c r="A303" s="39"/>
      <c r="H303" s="49"/>
      <c r="I303" s="55"/>
      <c r="K303" s="56"/>
    </row>
    <row r="304" spans="1:11" x14ac:dyDescent="0.25">
      <c r="A304" s="39"/>
      <c r="H304" s="49"/>
      <c r="I304" s="55"/>
      <c r="K304" s="56"/>
    </row>
    <row r="305" spans="1:11" x14ac:dyDescent="0.25">
      <c r="A305" s="39"/>
      <c r="H305" s="49"/>
      <c r="I305" s="55"/>
      <c r="K305" s="56"/>
    </row>
    <row r="306" spans="1:11" x14ac:dyDescent="0.25">
      <c r="A306" s="39"/>
      <c r="H306" s="49"/>
      <c r="I306" s="55"/>
      <c r="K306" s="56"/>
    </row>
    <row r="307" spans="1:11" x14ac:dyDescent="0.25">
      <c r="A307" s="39"/>
      <c r="H307" s="49"/>
      <c r="I307" s="55"/>
      <c r="K307" s="56"/>
    </row>
    <row r="308" spans="1:11" x14ac:dyDescent="0.25">
      <c r="A308" s="39"/>
      <c r="H308" s="49"/>
      <c r="I308" s="55"/>
      <c r="K308" s="56"/>
    </row>
    <row r="309" spans="1:11" x14ac:dyDescent="0.25">
      <c r="A309" s="39"/>
      <c r="H309" s="49"/>
      <c r="I309" s="55"/>
      <c r="K309" s="56"/>
    </row>
    <row r="310" spans="1:11" x14ac:dyDescent="0.25">
      <c r="A310" s="39"/>
      <c r="H310" s="49"/>
      <c r="I310" s="55"/>
      <c r="K310" s="56"/>
    </row>
    <row r="311" spans="1:11" x14ac:dyDescent="0.25">
      <c r="A311" s="39"/>
      <c r="H311" s="49"/>
      <c r="I311" s="55"/>
      <c r="K311" s="56"/>
    </row>
    <row r="312" spans="1:11" x14ac:dyDescent="0.25">
      <c r="A312" s="39"/>
      <c r="H312" s="49"/>
      <c r="I312" s="55"/>
      <c r="K312" s="56"/>
    </row>
    <row r="313" spans="1:11" x14ac:dyDescent="0.25">
      <c r="A313" s="39"/>
      <c r="H313" s="49"/>
      <c r="I313" s="55"/>
      <c r="K313" s="56"/>
    </row>
    <row r="314" spans="1:11" x14ac:dyDescent="0.25">
      <c r="A314" s="39"/>
      <c r="H314" s="49"/>
      <c r="I314" s="55"/>
      <c r="K314" s="56"/>
    </row>
    <row r="315" spans="1:11" x14ac:dyDescent="0.25">
      <c r="A315" s="39"/>
      <c r="H315" s="49"/>
      <c r="I315" s="55"/>
      <c r="K315" s="56"/>
    </row>
    <row r="316" spans="1:11" x14ac:dyDescent="0.25">
      <c r="A316" s="39"/>
      <c r="H316" s="49"/>
      <c r="I316" s="55"/>
      <c r="K316" s="56"/>
    </row>
    <row r="317" spans="1:11" x14ac:dyDescent="0.25">
      <c r="A317" s="39"/>
      <c r="H317" s="49"/>
      <c r="I317" s="55"/>
      <c r="K317" s="56"/>
    </row>
    <row r="318" spans="1:11" x14ac:dyDescent="0.25">
      <c r="A318" s="39"/>
      <c r="H318" s="49"/>
      <c r="I318" s="55"/>
      <c r="K318" s="56"/>
    </row>
    <row r="319" spans="1:11" x14ac:dyDescent="0.25">
      <c r="A319" s="39"/>
      <c r="H319" s="49"/>
      <c r="I319" s="55"/>
      <c r="K319" s="56"/>
    </row>
    <row r="320" spans="1:11" x14ac:dyDescent="0.25">
      <c r="A320" s="39"/>
      <c r="H320" s="49"/>
      <c r="I320" s="55"/>
      <c r="K320" s="56"/>
    </row>
    <row r="321" spans="1:11" x14ac:dyDescent="0.25">
      <c r="A321" s="39"/>
      <c r="H321" s="49"/>
      <c r="I321" s="55"/>
      <c r="K321" s="56"/>
    </row>
    <row r="322" spans="1:11" x14ac:dyDescent="0.25">
      <c r="A322" s="39"/>
      <c r="H322" s="49"/>
      <c r="I322" s="55"/>
      <c r="K322" s="56"/>
    </row>
    <row r="323" spans="1:11" x14ac:dyDescent="0.25">
      <c r="A323" s="39"/>
      <c r="H323" s="49"/>
      <c r="I323" s="55"/>
      <c r="K323" s="56"/>
    </row>
    <row r="324" spans="1:11" x14ac:dyDescent="0.25">
      <c r="A324" s="39"/>
      <c r="H324" s="49"/>
      <c r="I324" s="55"/>
      <c r="K324" s="56"/>
    </row>
    <row r="325" spans="1:11" x14ac:dyDescent="0.25">
      <c r="A325" s="39"/>
      <c r="H325" s="49"/>
      <c r="I325" s="55"/>
      <c r="K325" s="56"/>
    </row>
    <row r="326" spans="1:11" x14ac:dyDescent="0.25">
      <c r="A326" s="39"/>
      <c r="H326" s="49"/>
      <c r="I326" s="55"/>
      <c r="K326" s="56"/>
    </row>
    <row r="327" spans="1:11" x14ac:dyDescent="0.25">
      <c r="A327" s="39"/>
      <c r="H327" s="49"/>
      <c r="I327" s="55"/>
      <c r="K327" s="56"/>
    </row>
    <row r="328" spans="1:11" x14ac:dyDescent="0.25">
      <c r="A328" s="39"/>
      <c r="H328" s="49"/>
      <c r="I328" s="55"/>
      <c r="K328" s="56"/>
    </row>
    <row r="329" spans="1:11" x14ac:dyDescent="0.25">
      <c r="A329" s="39"/>
      <c r="H329" s="49"/>
      <c r="I329" s="55"/>
      <c r="K329" s="56"/>
    </row>
    <row r="330" spans="1:11" x14ac:dyDescent="0.25">
      <c r="A330" s="39"/>
      <c r="H330" s="49"/>
      <c r="I330" s="55"/>
      <c r="K330" s="56"/>
    </row>
    <row r="331" spans="1:11" x14ac:dyDescent="0.25">
      <c r="A331" s="39"/>
      <c r="H331" s="49"/>
      <c r="I331" s="55"/>
      <c r="K331" s="56"/>
    </row>
    <row r="332" spans="1:11" x14ac:dyDescent="0.25">
      <c r="A332" s="39"/>
      <c r="H332" s="49"/>
      <c r="I332" s="55"/>
      <c r="K332" s="56"/>
    </row>
    <row r="333" spans="1:11" x14ac:dyDescent="0.25">
      <c r="A333" s="39"/>
      <c r="H333" s="49"/>
      <c r="I333" s="55"/>
      <c r="K333" s="56"/>
    </row>
    <row r="334" spans="1:11" x14ac:dyDescent="0.25">
      <c r="A334" s="39"/>
      <c r="H334" s="49"/>
      <c r="I334" s="55"/>
      <c r="K334" s="56"/>
    </row>
    <row r="335" spans="1:11" x14ac:dyDescent="0.25">
      <c r="A335" s="39"/>
      <c r="H335" s="49"/>
      <c r="I335" s="55"/>
      <c r="K335" s="56"/>
    </row>
    <row r="336" spans="1:11" x14ac:dyDescent="0.25">
      <c r="A336" s="39"/>
      <c r="H336" s="49"/>
      <c r="I336" s="55"/>
      <c r="K336" s="56"/>
    </row>
    <row r="337" spans="1:11" x14ac:dyDescent="0.25">
      <c r="A337" s="39"/>
      <c r="H337" s="49"/>
      <c r="I337" s="55"/>
      <c r="K337" s="56"/>
    </row>
    <row r="338" spans="1:11" x14ac:dyDescent="0.25">
      <c r="A338" s="39"/>
      <c r="H338" s="49"/>
      <c r="I338" s="55"/>
      <c r="K338" s="56"/>
    </row>
    <row r="339" spans="1:11" x14ac:dyDescent="0.25">
      <c r="A339" s="39"/>
      <c r="H339" s="49"/>
      <c r="I339" s="55"/>
      <c r="K339" s="56"/>
    </row>
    <row r="340" spans="1:11" x14ac:dyDescent="0.25">
      <c r="A340" s="39"/>
      <c r="H340" s="49"/>
      <c r="I340" s="55"/>
      <c r="K340" s="56"/>
    </row>
    <row r="341" spans="1:11" x14ac:dyDescent="0.25">
      <c r="A341" s="39"/>
      <c r="H341" s="49"/>
      <c r="I341" s="55"/>
      <c r="K341" s="56"/>
    </row>
    <row r="342" spans="1:11" x14ac:dyDescent="0.25">
      <c r="A342" s="39"/>
      <c r="H342" s="49"/>
      <c r="I342" s="55"/>
      <c r="K342" s="56"/>
    </row>
    <row r="343" spans="1:11" x14ac:dyDescent="0.25">
      <c r="A343" s="39"/>
      <c r="H343" s="49"/>
      <c r="I343" s="55"/>
      <c r="K343" s="56"/>
    </row>
    <row r="344" spans="1:11" x14ac:dyDescent="0.25">
      <c r="A344" s="39"/>
      <c r="H344" s="49"/>
      <c r="I344" s="55"/>
      <c r="K344" s="56"/>
    </row>
    <row r="345" spans="1:11" x14ac:dyDescent="0.25">
      <c r="A345" s="39"/>
      <c r="H345" s="49"/>
      <c r="I345" s="55"/>
      <c r="K345" s="56"/>
    </row>
    <row r="346" spans="1:11" x14ac:dyDescent="0.25">
      <c r="A346" s="39"/>
      <c r="H346" s="49"/>
      <c r="I346" s="55"/>
      <c r="K346" s="56"/>
    </row>
    <row r="347" spans="1:11" x14ac:dyDescent="0.25">
      <c r="A347" s="39"/>
      <c r="H347" s="49"/>
      <c r="I347" s="55"/>
      <c r="K347" s="56"/>
    </row>
    <row r="348" spans="1:11" x14ac:dyDescent="0.25">
      <c r="A348" s="39"/>
      <c r="H348" s="49"/>
      <c r="I348" s="55"/>
      <c r="K348" s="56"/>
    </row>
    <row r="349" spans="1:11" x14ac:dyDescent="0.25">
      <c r="A349" s="39"/>
      <c r="H349" s="49"/>
      <c r="I349" s="55"/>
      <c r="K349" s="56"/>
    </row>
    <row r="350" spans="1:11" x14ac:dyDescent="0.25">
      <c r="A350" s="39"/>
      <c r="H350" s="49"/>
      <c r="I350" s="55"/>
      <c r="K350" s="56"/>
    </row>
    <row r="351" spans="1:11" x14ac:dyDescent="0.25">
      <c r="A351" s="39"/>
      <c r="H351" s="49"/>
      <c r="I351" s="55"/>
      <c r="K351" s="56"/>
    </row>
    <row r="352" spans="1:11" x14ac:dyDescent="0.25">
      <c r="A352" s="39"/>
      <c r="H352" s="49"/>
      <c r="I352" s="55"/>
      <c r="K352" s="56"/>
    </row>
    <row r="353" spans="1:11" x14ac:dyDescent="0.25">
      <c r="A353" s="39"/>
      <c r="H353" s="49"/>
      <c r="K353" s="56"/>
    </row>
    <row r="354" spans="1:11" x14ac:dyDescent="0.25">
      <c r="A354" s="39"/>
      <c r="H354" s="49"/>
      <c r="K354" s="56"/>
    </row>
    <row r="355" spans="1:11" x14ac:dyDescent="0.25">
      <c r="A355" s="39"/>
      <c r="H355" s="49"/>
      <c r="K355" s="56"/>
    </row>
    <row r="356" spans="1:11" x14ac:dyDescent="0.25">
      <c r="A356" s="39"/>
      <c r="H356" s="49"/>
      <c r="K356" s="56"/>
    </row>
    <row r="357" spans="1:11" x14ac:dyDescent="0.25">
      <c r="A357" s="39"/>
      <c r="H357" s="49"/>
      <c r="K357" s="56"/>
    </row>
    <row r="358" spans="1:11" x14ac:dyDescent="0.25">
      <c r="A358" s="39"/>
      <c r="H358" s="49"/>
      <c r="K358" s="56"/>
    </row>
    <row r="359" spans="1:11" x14ac:dyDescent="0.25">
      <c r="A359" s="39"/>
      <c r="H359" s="49"/>
      <c r="K359" s="56"/>
    </row>
    <row r="360" spans="1:11" x14ac:dyDescent="0.25">
      <c r="A360" s="39"/>
      <c r="H360" s="49"/>
      <c r="K360" s="56"/>
    </row>
    <row r="361" spans="1:11" x14ac:dyDescent="0.25">
      <c r="A361" s="39"/>
      <c r="H361" s="49"/>
      <c r="K361" s="56"/>
    </row>
    <row r="362" spans="1:11" x14ac:dyDescent="0.25">
      <c r="A362" s="39"/>
      <c r="H362" s="49"/>
      <c r="K362" s="56"/>
    </row>
    <row r="363" spans="1:11" x14ac:dyDescent="0.25">
      <c r="A363" s="39"/>
      <c r="H363" s="49"/>
      <c r="K363" s="56"/>
    </row>
    <row r="364" spans="1:11" x14ac:dyDescent="0.25">
      <c r="A364" s="39"/>
      <c r="H364" s="49"/>
      <c r="K364" s="56"/>
    </row>
    <row r="365" spans="1:11" x14ac:dyDescent="0.25">
      <c r="A365" s="39"/>
      <c r="H365" s="49"/>
      <c r="K365" s="56"/>
    </row>
    <row r="366" spans="1:11" x14ac:dyDescent="0.25">
      <c r="A366" s="39"/>
      <c r="H366" s="49"/>
      <c r="K366" s="56"/>
    </row>
    <row r="367" spans="1:11" x14ac:dyDescent="0.25">
      <c r="A367" s="39"/>
      <c r="H367" s="49"/>
      <c r="K367" s="56"/>
    </row>
    <row r="368" spans="1:11" x14ac:dyDescent="0.25">
      <c r="A368" s="39"/>
      <c r="H368" s="49"/>
      <c r="K368" s="56"/>
    </row>
    <row r="369" spans="1:11" x14ac:dyDescent="0.25">
      <c r="A369" s="39"/>
      <c r="H369" s="49"/>
      <c r="K369" s="56"/>
    </row>
    <row r="370" spans="1:11" x14ac:dyDescent="0.25">
      <c r="A370" s="39"/>
      <c r="H370" s="49"/>
      <c r="K370" s="56"/>
    </row>
    <row r="371" spans="1:11" x14ac:dyDescent="0.25">
      <c r="A371" s="39"/>
      <c r="H371" s="49"/>
      <c r="K371" s="56"/>
    </row>
    <row r="372" spans="1:11" x14ac:dyDescent="0.25">
      <c r="A372" s="39"/>
      <c r="H372" s="49"/>
      <c r="K372" s="56"/>
    </row>
    <row r="373" spans="1:11" x14ac:dyDescent="0.25">
      <c r="A373" s="39"/>
      <c r="H373" s="49"/>
      <c r="K373" s="56"/>
    </row>
    <row r="374" spans="1:11" x14ac:dyDescent="0.25">
      <c r="A374" s="39"/>
      <c r="H374" s="49"/>
      <c r="K374" s="56"/>
    </row>
    <row r="375" spans="1:11" x14ac:dyDescent="0.25">
      <c r="A375" s="39"/>
      <c r="H375" s="49"/>
      <c r="K375" s="56"/>
    </row>
    <row r="376" spans="1:11" x14ac:dyDescent="0.25">
      <c r="A376" s="39"/>
      <c r="H376" s="49"/>
      <c r="K376" s="56"/>
    </row>
    <row r="377" spans="1:11" x14ac:dyDescent="0.25">
      <c r="A377" s="39"/>
      <c r="H377" s="49"/>
      <c r="K377" s="56"/>
    </row>
    <row r="378" spans="1:11" x14ac:dyDescent="0.25">
      <c r="A378" s="39"/>
      <c r="H378" s="49"/>
      <c r="K378" s="56"/>
    </row>
    <row r="379" spans="1:11" x14ac:dyDescent="0.25">
      <c r="A379" s="39"/>
      <c r="H379" s="49"/>
      <c r="K379" s="56"/>
    </row>
    <row r="380" spans="1:11" x14ac:dyDescent="0.25">
      <c r="A380" s="39"/>
      <c r="H380" s="49"/>
      <c r="K380" s="56"/>
    </row>
    <row r="381" spans="1:11" x14ac:dyDescent="0.25">
      <c r="A381" s="39"/>
      <c r="H381" s="49"/>
      <c r="K381" s="56"/>
    </row>
    <row r="382" spans="1:11" x14ac:dyDescent="0.25">
      <c r="A382" s="39"/>
      <c r="H382" s="49"/>
      <c r="K382" s="56"/>
    </row>
    <row r="383" spans="1:11" x14ac:dyDescent="0.25">
      <c r="A383" s="39"/>
      <c r="H383" s="49"/>
      <c r="K383" s="56"/>
    </row>
    <row r="384" spans="1:11" x14ac:dyDescent="0.25">
      <c r="A384" s="39"/>
      <c r="H384" s="49"/>
      <c r="K384" s="56"/>
    </row>
    <row r="385" spans="1:11" x14ac:dyDescent="0.25">
      <c r="A385" s="39"/>
      <c r="H385" s="49"/>
      <c r="K385" s="56"/>
    </row>
    <row r="386" spans="1:11" x14ac:dyDescent="0.25">
      <c r="A386" s="39"/>
      <c r="H386" s="49"/>
      <c r="K386" s="56"/>
    </row>
    <row r="387" spans="1:11" x14ac:dyDescent="0.25">
      <c r="A387" s="39"/>
      <c r="H387" s="49"/>
      <c r="K387" s="56"/>
    </row>
    <row r="388" spans="1:11" x14ac:dyDescent="0.25">
      <c r="A388" s="39"/>
      <c r="H388" s="49"/>
      <c r="K388" s="56"/>
    </row>
    <row r="389" spans="1:11" x14ac:dyDescent="0.25">
      <c r="A389" s="39"/>
      <c r="H389" s="49"/>
      <c r="K389" s="56"/>
    </row>
    <row r="390" spans="1:11" x14ac:dyDescent="0.25">
      <c r="A390" s="39"/>
      <c r="H390" s="49"/>
      <c r="K390" s="56"/>
    </row>
    <row r="391" spans="1:11" x14ac:dyDescent="0.25">
      <c r="A391" s="39"/>
      <c r="H391" s="49"/>
      <c r="K391" s="56"/>
    </row>
    <row r="392" spans="1:11" x14ac:dyDescent="0.25">
      <c r="A392" s="39"/>
      <c r="H392" s="49"/>
      <c r="K392" s="56"/>
    </row>
    <row r="393" spans="1:11" x14ac:dyDescent="0.25">
      <c r="A393" s="39"/>
      <c r="H393" s="49"/>
      <c r="K393" s="56"/>
    </row>
    <row r="394" spans="1:11" x14ac:dyDescent="0.25">
      <c r="A394" s="39"/>
      <c r="H394" s="49"/>
      <c r="K394" s="56"/>
    </row>
    <row r="395" spans="1:11" x14ac:dyDescent="0.25">
      <c r="A395" s="39"/>
      <c r="H395" s="49"/>
      <c r="K395" s="56"/>
    </row>
    <row r="396" spans="1:11" x14ac:dyDescent="0.25">
      <c r="A396" s="39"/>
      <c r="H396" s="49"/>
      <c r="K396" s="56"/>
    </row>
    <row r="397" spans="1:11" x14ac:dyDescent="0.25">
      <c r="A397" s="39"/>
      <c r="H397" s="49"/>
      <c r="K397" s="56"/>
    </row>
    <row r="398" spans="1:11" x14ac:dyDescent="0.25">
      <c r="A398" s="39"/>
      <c r="H398" s="49"/>
      <c r="K398" s="56"/>
    </row>
    <row r="399" spans="1:11" x14ac:dyDescent="0.25">
      <c r="A399" s="39"/>
      <c r="H399" s="49"/>
      <c r="K399" s="56"/>
    </row>
    <row r="400" spans="1:11" x14ac:dyDescent="0.25">
      <c r="A400" s="39"/>
      <c r="H400" s="49"/>
      <c r="K400" s="56"/>
    </row>
    <row r="401" spans="1:11" x14ac:dyDescent="0.25">
      <c r="A401" s="39"/>
      <c r="H401" s="49"/>
      <c r="K401" s="56"/>
    </row>
    <row r="402" spans="1:11" x14ac:dyDescent="0.25">
      <c r="A402" s="39"/>
      <c r="H402" s="49"/>
      <c r="K402" s="56"/>
    </row>
    <row r="403" spans="1:11" x14ac:dyDescent="0.25">
      <c r="A403" s="39"/>
      <c r="H403" s="49"/>
      <c r="K403" s="56"/>
    </row>
    <row r="404" spans="1:11" x14ac:dyDescent="0.25">
      <c r="A404" s="39"/>
      <c r="H404" s="49"/>
      <c r="K404" s="56"/>
    </row>
    <row r="405" spans="1:11" x14ac:dyDescent="0.25">
      <c r="A405" s="39"/>
      <c r="H405" s="49"/>
      <c r="K405" s="56"/>
    </row>
    <row r="406" spans="1:11" x14ac:dyDescent="0.25">
      <c r="A406" s="39"/>
      <c r="H406" s="49"/>
      <c r="K406" s="56"/>
    </row>
    <row r="407" spans="1:11" x14ac:dyDescent="0.25">
      <c r="A407" s="39"/>
      <c r="H407" s="49"/>
      <c r="K407" s="56"/>
    </row>
    <row r="408" spans="1:11" x14ac:dyDescent="0.25">
      <c r="A408" s="39"/>
      <c r="H408" s="49"/>
      <c r="K408" s="56"/>
    </row>
    <row r="409" spans="1:11" x14ac:dyDescent="0.25">
      <c r="A409" s="39"/>
      <c r="H409" s="49"/>
      <c r="K409" s="56"/>
    </row>
    <row r="410" spans="1:11" x14ac:dyDescent="0.25">
      <c r="A410" s="39"/>
      <c r="H410" s="49"/>
      <c r="K410" s="56"/>
    </row>
    <row r="411" spans="1:11" x14ac:dyDescent="0.25">
      <c r="A411" s="39"/>
      <c r="H411" s="49"/>
      <c r="K411" s="56"/>
    </row>
    <row r="412" spans="1:11" x14ac:dyDescent="0.25">
      <c r="A412" s="39"/>
      <c r="H412" s="49"/>
      <c r="K412" s="56"/>
    </row>
    <row r="413" spans="1:11" x14ac:dyDescent="0.25">
      <c r="A413" s="39"/>
      <c r="H413" s="49"/>
      <c r="K413" s="56"/>
    </row>
    <row r="414" spans="1:11" x14ac:dyDescent="0.25">
      <c r="A414" s="39"/>
      <c r="H414" s="49"/>
      <c r="K414" s="56"/>
    </row>
    <row r="415" spans="1:11" x14ac:dyDescent="0.25">
      <c r="A415" s="39"/>
      <c r="H415" s="49"/>
      <c r="K415" s="56"/>
    </row>
    <row r="416" spans="1:11" x14ac:dyDescent="0.25">
      <c r="A416" s="39"/>
      <c r="H416" s="49"/>
      <c r="K416" s="56"/>
    </row>
    <row r="417" spans="1:11" x14ac:dyDescent="0.25">
      <c r="A417" s="39"/>
      <c r="H417" s="49"/>
      <c r="K417" s="56"/>
    </row>
    <row r="418" spans="1:11" x14ac:dyDescent="0.25">
      <c r="A418" s="39"/>
      <c r="H418" s="49"/>
      <c r="K418" s="56"/>
    </row>
    <row r="419" spans="1:11" x14ac:dyDescent="0.25">
      <c r="A419" s="39"/>
      <c r="H419" s="49"/>
      <c r="K419" s="56"/>
    </row>
    <row r="420" spans="1:11" x14ac:dyDescent="0.25">
      <c r="A420" s="39"/>
      <c r="H420" s="49"/>
    </row>
    <row r="421" spans="1:11" x14ac:dyDescent="0.25">
      <c r="A421" s="39"/>
      <c r="H421" s="49"/>
    </row>
    <row r="422" spans="1:11" x14ac:dyDescent="0.25">
      <c r="A422" s="39"/>
      <c r="H422" s="49"/>
    </row>
    <row r="423" spans="1:11" x14ac:dyDescent="0.25">
      <c r="A423" s="39"/>
      <c r="H423" s="49"/>
    </row>
    <row r="424" spans="1:11" x14ac:dyDescent="0.25">
      <c r="A424" s="39"/>
      <c r="H424" s="49"/>
    </row>
    <row r="425" spans="1:11" x14ac:dyDescent="0.25">
      <c r="A425" s="39"/>
      <c r="H425" s="49"/>
    </row>
    <row r="426" spans="1:11" x14ac:dyDescent="0.25">
      <c r="A426" s="39"/>
      <c r="H426" s="49"/>
    </row>
    <row r="427" spans="1:11" x14ac:dyDescent="0.25">
      <c r="A427" s="39"/>
      <c r="H427" s="49"/>
    </row>
    <row r="428" spans="1:11" x14ac:dyDescent="0.25">
      <c r="A428" s="39"/>
      <c r="H428" s="49"/>
    </row>
    <row r="429" spans="1:11" x14ac:dyDescent="0.25">
      <c r="A429" s="39"/>
      <c r="H429" s="49"/>
    </row>
    <row r="430" spans="1:11" x14ac:dyDescent="0.25">
      <c r="A430" s="39"/>
      <c r="H430" s="49"/>
    </row>
    <row r="431" spans="1:11" x14ac:dyDescent="0.25">
      <c r="A431" s="39"/>
      <c r="H431" s="49"/>
    </row>
    <row r="432" spans="1:11" x14ac:dyDescent="0.25">
      <c r="A432" s="39"/>
      <c r="H432" s="49"/>
    </row>
    <row r="433" spans="1:8" x14ac:dyDescent="0.25">
      <c r="A433" s="39"/>
      <c r="H433" s="49"/>
    </row>
    <row r="434" spans="1:8" x14ac:dyDescent="0.25">
      <c r="A434" s="39"/>
      <c r="H434" s="49"/>
    </row>
    <row r="435" spans="1:8" x14ac:dyDescent="0.25">
      <c r="A435" s="39"/>
      <c r="H435" s="49"/>
    </row>
    <row r="436" spans="1:8" x14ac:dyDescent="0.25">
      <c r="A436" s="39"/>
      <c r="H436" s="49"/>
    </row>
    <row r="437" spans="1:8" x14ac:dyDescent="0.25">
      <c r="A437" s="39"/>
      <c r="H437" s="49"/>
    </row>
    <row r="438" spans="1:8" x14ac:dyDescent="0.25">
      <c r="A438" s="39"/>
      <c r="H438" s="49"/>
    </row>
    <row r="439" spans="1:8" x14ac:dyDescent="0.25">
      <c r="A439" s="39"/>
      <c r="H439" s="49"/>
    </row>
    <row r="440" spans="1:8" x14ac:dyDescent="0.25">
      <c r="A440" s="39"/>
      <c r="H440" s="49"/>
    </row>
    <row r="441" spans="1:8" x14ac:dyDescent="0.25">
      <c r="A441" s="39"/>
      <c r="H441" s="49"/>
    </row>
    <row r="442" spans="1:8" x14ac:dyDescent="0.25">
      <c r="A442" s="39"/>
      <c r="H442" s="49"/>
    </row>
    <row r="443" spans="1:8" x14ac:dyDescent="0.25">
      <c r="A443" s="39"/>
      <c r="H443" s="49"/>
    </row>
    <row r="444" spans="1:8" x14ac:dyDescent="0.25">
      <c r="A444" s="39"/>
      <c r="H444" s="49"/>
    </row>
    <row r="445" spans="1:8" x14ac:dyDescent="0.25">
      <c r="A445" s="39"/>
      <c r="H445" s="49"/>
    </row>
    <row r="446" spans="1:8" x14ac:dyDescent="0.25">
      <c r="A446" s="39"/>
      <c r="H446" s="49"/>
    </row>
    <row r="447" spans="1:8" x14ac:dyDescent="0.25">
      <c r="A447" s="39"/>
      <c r="H447" s="49"/>
    </row>
    <row r="448" spans="1:8" x14ac:dyDescent="0.25">
      <c r="A448" s="39"/>
      <c r="H448" s="49"/>
    </row>
    <row r="449" spans="1:8" x14ac:dyDescent="0.25">
      <c r="A449" s="39"/>
      <c r="H449" s="49"/>
    </row>
    <row r="450" spans="1:8" x14ac:dyDescent="0.25">
      <c r="A450" s="39"/>
      <c r="H450" s="49"/>
    </row>
    <row r="451" spans="1:8" x14ac:dyDescent="0.25">
      <c r="A451" s="39"/>
      <c r="H451" s="49"/>
    </row>
    <row r="452" spans="1:8" x14ac:dyDescent="0.25">
      <c r="A452" s="39"/>
      <c r="H452" s="49"/>
    </row>
    <row r="453" spans="1:8" x14ac:dyDescent="0.25">
      <c r="A453" s="39"/>
      <c r="H453" s="49"/>
    </row>
    <row r="454" spans="1:8" x14ac:dyDescent="0.25">
      <c r="A454" s="39"/>
      <c r="H454" s="49"/>
    </row>
    <row r="455" spans="1:8" x14ac:dyDescent="0.25">
      <c r="A455" s="39"/>
      <c r="H455" s="49"/>
    </row>
    <row r="456" spans="1:8" x14ac:dyDescent="0.25">
      <c r="A456" s="39"/>
      <c r="H456" s="49"/>
    </row>
    <row r="457" spans="1:8" x14ac:dyDescent="0.25">
      <c r="A457" s="39"/>
      <c r="H457" s="49"/>
    </row>
    <row r="458" spans="1:8" x14ac:dyDescent="0.25">
      <c r="A458" s="39"/>
      <c r="H458" s="49"/>
    </row>
    <row r="459" spans="1:8" x14ac:dyDescent="0.25">
      <c r="A459" s="39"/>
      <c r="H459" s="49"/>
    </row>
    <row r="460" spans="1:8" x14ac:dyDescent="0.25">
      <c r="A460" s="39"/>
      <c r="H460" s="49"/>
    </row>
    <row r="461" spans="1:8" x14ac:dyDescent="0.25">
      <c r="A461" s="39"/>
      <c r="H461" s="49"/>
    </row>
    <row r="462" spans="1:8" x14ac:dyDescent="0.25">
      <c r="A462" s="39"/>
      <c r="H462" s="49"/>
    </row>
    <row r="463" spans="1:8" x14ac:dyDescent="0.25">
      <c r="A463" s="39"/>
      <c r="H463" s="49"/>
    </row>
    <row r="464" spans="1:8" x14ac:dyDescent="0.25">
      <c r="A464" s="39"/>
      <c r="H464" s="49"/>
    </row>
    <row r="465" spans="1:8" x14ac:dyDescent="0.25">
      <c r="A465" s="39"/>
      <c r="H465" s="49"/>
    </row>
    <row r="466" spans="1:8" x14ac:dyDescent="0.25">
      <c r="A466" s="39"/>
      <c r="H466" s="49"/>
    </row>
    <row r="467" spans="1:8" x14ac:dyDescent="0.25">
      <c r="A467" s="39"/>
      <c r="H467" s="49"/>
    </row>
    <row r="468" spans="1:8" x14ac:dyDescent="0.25">
      <c r="A468" s="39"/>
      <c r="H468" s="49"/>
    </row>
    <row r="469" spans="1:8" x14ac:dyDescent="0.25">
      <c r="A469" s="39"/>
      <c r="H469" s="49"/>
    </row>
    <row r="470" spans="1:8" x14ac:dyDescent="0.25">
      <c r="A470" s="39"/>
      <c r="H470" s="49"/>
    </row>
    <row r="471" spans="1:8" x14ac:dyDescent="0.25">
      <c r="A471" s="39"/>
      <c r="H471" s="49"/>
    </row>
    <row r="472" spans="1:8" x14ac:dyDescent="0.25">
      <c r="A472" s="39"/>
      <c r="H472" s="49"/>
    </row>
    <row r="473" spans="1:8" x14ac:dyDescent="0.25">
      <c r="A473" s="39"/>
      <c r="H473" s="49"/>
    </row>
    <row r="474" spans="1:8" x14ac:dyDescent="0.25">
      <c r="A474" s="39"/>
      <c r="H474" s="49"/>
    </row>
    <row r="475" spans="1:8" x14ac:dyDescent="0.25">
      <c r="A475" s="39"/>
      <c r="H475" s="49"/>
    </row>
    <row r="476" spans="1:8" x14ac:dyDescent="0.25">
      <c r="A476" s="39"/>
      <c r="H476" s="49"/>
    </row>
    <row r="477" spans="1:8" x14ac:dyDescent="0.25">
      <c r="A477" s="39"/>
      <c r="H477" s="49"/>
    </row>
    <row r="478" spans="1:8" x14ac:dyDescent="0.25">
      <c r="A478" s="39"/>
      <c r="H478" s="49"/>
    </row>
    <row r="479" spans="1:8" x14ac:dyDescent="0.25">
      <c r="A479" s="39"/>
      <c r="H479" s="49"/>
    </row>
    <row r="480" spans="1:8" x14ac:dyDescent="0.25">
      <c r="A480" s="39"/>
      <c r="H480" s="49"/>
    </row>
    <row r="481" spans="1:8" x14ac:dyDescent="0.25">
      <c r="A481" s="39"/>
      <c r="H481" s="49"/>
    </row>
    <row r="482" spans="1:8" x14ac:dyDescent="0.25">
      <c r="A482" s="39"/>
      <c r="H482" s="49"/>
    </row>
    <row r="483" spans="1:8" x14ac:dyDescent="0.25">
      <c r="A483" s="39"/>
      <c r="H483" s="49"/>
    </row>
    <row r="484" spans="1:8" x14ac:dyDescent="0.25">
      <c r="A484" s="39"/>
      <c r="H484" s="49"/>
    </row>
    <row r="485" spans="1:8" x14ac:dyDescent="0.25">
      <c r="A485" s="39"/>
      <c r="H485" s="49"/>
    </row>
    <row r="486" spans="1:8" x14ac:dyDescent="0.25">
      <c r="A486" s="39"/>
      <c r="H486" s="49"/>
    </row>
    <row r="487" spans="1:8" x14ac:dyDescent="0.25">
      <c r="A487" s="39"/>
      <c r="H487" s="49"/>
    </row>
    <row r="488" spans="1:8" x14ac:dyDescent="0.25">
      <c r="A488" s="39"/>
      <c r="H488" s="49"/>
    </row>
    <row r="489" spans="1:8" x14ac:dyDescent="0.25">
      <c r="A489" s="39"/>
      <c r="H489" s="49"/>
    </row>
    <row r="490" spans="1:8" x14ac:dyDescent="0.25">
      <c r="A490" s="39"/>
      <c r="H490" s="49"/>
    </row>
    <row r="491" spans="1:8" x14ac:dyDescent="0.25">
      <c r="A491" s="39"/>
      <c r="H491" s="49"/>
    </row>
    <row r="492" spans="1:8" x14ac:dyDescent="0.25">
      <c r="A492" s="39"/>
      <c r="H492" s="49"/>
    </row>
    <row r="493" spans="1:8" x14ac:dyDescent="0.25">
      <c r="A493" s="39"/>
      <c r="H493" s="49"/>
    </row>
    <row r="494" spans="1:8" x14ac:dyDescent="0.25">
      <c r="A494" s="39"/>
      <c r="H494" s="49"/>
    </row>
    <row r="495" spans="1:8" x14ac:dyDescent="0.25">
      <c r="A495" s="39"/>
      <c r="H495" s="49"/>
    </row>
    <row r="496" spans="1:8" x14ac:dyDescent="0.25">
      <c r="A496" s="39"/>
      <c r="H496" s="49"/>
    </row>
    <row r="497" spans="1:8" x14ac:dyDescent="0.25">
      <c r="A497" s="39"/>
      <c r="H497" s="49"/>
    </row>
    <row r="498" spans="1:8" x14ac:dyDescent="0.25">
      <c r="A498" s="39"/>
      <c r="H498" s="49"/>
    </row>
    <row r="499" spans="1:8" x14ac:dyDescent="0.25">
      <c r="A499" s="39"/>
      <c r="H499" s="49"/>
    </row>
    <row r="500" spans="1:8" x14ac:dyDescent="0.25">
      <c r="A500" s="39"/>
      <c r="H500" s="49"/>
    </row>
    <row r="501" spans="1:8" x14ac:dyDescent="0.25">
      <c r="A501" s="39"/>
      <c r="H501" s="49"/>
    </row>
    <row r="502" spans="1:8" x14ac:dyDescent="0.25">
      <c r="A502" s="39"/>
      <c r="H502" s="49"/>
    </row>
    <row r="503" spans="1:8" x14ac:dyDescent="0.25">
      <c r="A503" s="39"/>
      <c r="H503" s="49"/>
    </row>
    <row r="504" spans="1:8" x14ac:dyDescent="0.25">
      <c r="A504" s="39"/>
      <c r="H504" s="49"/>
    </row>
    <row r="505" spans="1:8" x14ac:dyDescent="0.25">
      <c r="A505" s="39"/>
      <c r="H505" s="49"/>
    </row>
    <row r="506" spans="1:8" x14ac:dyDescent="0.25">
      <c r="A506" s="39"/>
      <c r="H506" s="49"/>
    </row>
    <row r="507" spans="1:8" x14ac:dyDescent="0.25">
      <c r="A507" s="39"/>
      <c r="H507" s="49"/>
    </row>
    <row r="508" spans="1:8" x14ac:dyDescent="0.25">
      <c r="A508" s="39"/>
      <c r="H508" s="49"/>
    </row>
    <row r="509" spans="1:8" x14ac:dyDescent="0.25">
      <c r="A509" s="39"/>
      <c r="H509" s="49"/>
    </row>
    <row r="510" spans="1:8" x14ac:dyDescent="0.25">
      <c r="A510" s="39"/>
      <c r="H510" s="49"/>
    </row>
    <row r="511" spans="1:8" x14ac:dyDescent="0.25">
      <c r="A511" s="39"/>
      <c r="H511" s="49"/>
    </row>
    <row r="512" spans="1:8" x14ac:dyDescent="0.25">
      <c r="A512" s="39"/>
      <c r="H512" s="49"/>
    </row>
    <row r="513" spans="1:8" x14ac:dyDescent="0.25">
      <c r="A513" s="39"/>
      <c r="H513" s="49"/>
    </row>
    <row r="514" spans="1:8" x14ac:dyDescent="0.25">
      <c r="A514" s="39"/>
      <c r="H514" s="49"/>
    </row>
    <row r="515" spans="1:8" x14ac:dyDescent="0.25">
      <c r="A515" s="39"/>
      <c r="H515" s="49"/>
    </row>
    <row r="516" spans="1:8" x14ac:dyDescent="0.25">
      <c r="A516" s="39"/>
      <c r="H516" s="49"/>
    </row>
    <row r="517" spans="1:8" x14ac:dyDescent="0.25">
      <c r="A517" s="39"/>
      <c r="H517" s="49"/>
    </row>
    <row r="518" spans="1:8" x14ac:dyDescent="0.25">
      <c r="A518" s="39"/>
      <c r="H518" s="49"/>
    </row>
    <row r="519" spans="1:8" x14ac:dyDescent="0.25">
      <c r="A519" s="39"/>
      <c r="H519" s="49"/>
    </row>
    <row r="520" spans="1:8" x14ac:dyDescent="0.25">
      <c r="A520" s="39"/>
      <c r="H520" s="49"/>
    </row>
    <row r="521" spans="1:8" x14ac:dyDescent="0.25">
      <c r="A521" s="39"/>
      <c r="H521" s="49"/>
    </row>
    <row r="522" spans="1:8" x14ac:dyDescent="0.25">
      <c r="A522" s="39"/>
      <c r="H522" s="49"/>
    </row>
    <row r="523" spans="1:8" x14ac:dyDescent="0.25">
      <c r="A523" s="39"/>
      <c r="H523" s="49"/>
    </row>
    <row r="524" spans="1:8" x14ac:dyDescent="0.25">
      <c r="A524" s="39"/>
      <c r="H524" s="49"/>
    </row>
    <row r="525" spans="1:8" x14ac:dyDescent="0.25">
      <c r="A525" s="39"/>
      <c r="H525" s="49"/>
    </row>
    <row r="526" spans="1:8" x14ac:dyDescent="0.25">
      <c r="A526" s="39"/>
      <c r="H526" s="49"/>
    </row>
    <row r="527" spans="1:8" x14ac:dyDescent="0.25">
      <c r="A527" s="39"/>
      <c r="H527" s="49"/>
    </row>
    <row r="528" spans="1:8" x14ac:dyDescent="0.25">
      <c r="A528" s="39"/>
      <c r="H528" s="49"/>
    </row>
    <row r="529" spans="1:8" x14ac:dyDescent="0.25">
      <c r="A529" s="39"/>
      <c r="H529" s="49"/>
    </row>
    <row r="530" spans="1:8" x14ac:dyDescent="0.25">
      <c r="A530" s="39"/>
      <c r="H530" s="49"/>
    </row>
    <row r="531" spans="1:8" x14ac:dyDescent="0.25">
      <c r="A531" s="39"/>
      <c r="H531" s="49"/>
    </row>
    <row r="532" spans="1:8" x14ac:dyDescent="0.25">
      <c r="A532" s="39"/>
      <c r="H532" s="49"/>
    </row>
    <row r="533" spans="1:8" x14ac:dyDescent="0.25">
      <c r="A533" s="39"/>
      <c r="H533" s="49"/>
    </row>
    <row r="534" spans="1:8" x14ac:dyDescent="0.25">
      <c r="A534" s="39"/>
      <c r="H534" s="49"/>
    </row>
    <row r="535" spans="1:8" x14ac:dyDescent="0.25">
      <c r="A535" s="39"/>
      <c r="H535" s="49"/>
    </row>
    <row r="536" spans="1:8" x14ac:dyDescent="0.25">
      <c r="A536" s="39"/>
      <c r="H536" s="49"/>
    </row>
    <row r="537" spans="1:8" x14ac:dyDescent="0.25">
      <c r="A537" s="39"/>
      <c r="H537" s="49"/>
    </row>
    <row r="538" spans="1:8" x14ac:dyDescent="0.25">
      <c r="A538" s="39"/>
      <c r="H538" s="49"/>
    </row>
    <row r="539" spans="1:8" x14ac:dyDescent="0.25">
      <c r="A539" s="39"/>
      <c r="H539" s="49"/>
    </row>
    <row r="540" spans="1:8" x14ac:dyDescent="0.25">
      <c r="A540" s="39"/>
      <c r="H540" s="49"/>
    </row>
    <row r="541" spans="1:8" x14ac:dyDescent="0.25">
      <c r="A541" s="39"/>
      <c r="H541" s="49"/>
    </row>
    <row r="542" spans="1:8" x14ac:dyDescent="0.25">
      <c r="A542" s="39"/>
      <c r="H542" s="49"/>
    </row>
    <row r="543" spans="1:8" x14ac:dyDescent="0.25">
      <c r="A543" s="39"/>
      <c r="H543" s="49"/>
    </row>
    <row r="544" spans="1:8" x14ac:dyDescent="0.25">
      <c r="A544" s="39"/>
      <c r="H544" s="49"/>
    </row>
    <row r="545" spans="1:8" x14ac:dyDescent="0.25">
      <c r="A545" s="39"/>
      <c r="H545" s="49"/>
    </row>
    <row r="546" spans="1:8" x14ac:dyDescent="0.25">
      <c r="A546" s="39"/>
      <c r="H546" s="49"/>
    </row>
    <row r="547" spans="1:8" x14ac:dyDescent="0.25">
      <c r="A547" s="39"/>
      <c r="H547" s="49"/>
    </row>
    <row r="548" spans="1:8" x14ac:dyDescent="0.25">
      <c r="A548" s="39"/>
      <c r="H548" s="49"/>
    </row>
    <row r="549" spans="1:8" x14ac:dyDescent="0.25">
      <c r="A549" s="39"/>
      <c r="H549" s="49"/>
    </row>
    <row r="550" spans="1:8" x14ac:dyDescent="0.25">
      <c r="A550" s="39"/>
      <c r="H550" s="49"/>
    </row>
    <row r="551" spans="1:8" x14ac:dyDescent="0.25">
      <c r="A551" s="39"/>
      <c r="H551" s="49"/>
    </row>
    <row r="552" spans="1:8" x14ac:dyDescent="0.25">
      <c r="A552" s="39"/>
      <c r="H552" s="49"/>
    </row>
    <row r="553" spans="1:8" x14ac:dyDescent="0.25">
      <c r="A553" s="39"/>
      <c r="H553" s="49"/>
    </row>
    <row r="554" spans="1:8" x14ac:dyDescent="0.25">
      <c r="A554" s="39"/>
      <c r="H554" s="49"/>
    </row>
    <row r="555" spans="1:8" x14ac:dyDescent="0.25">
      <c r="A555" s="39"/>
      <c r="H555" s="49"/>
    </row>
    <row r="556" spans="1:8" x14ac:dyDescent="0.25">
      <c r="A556" s="39"/>
      <c r="H556" s="49"/>
    </row>
    <row r="557" spans="1:8" x14ac:dyDescent="0.25">
      <c r="A557" s="39"/>
      <c r="H557" s="49"/>
    </row>
    <row r="558" spans="1:8" x14ac:dyDescent="0.25">
      <c r="A558" s="39"/>
      <c r="H558" s="49"/>
    </row>
    <row r="559" spans="1:8" x14ac:dyDescent="0.25">
      <c r="A559" s="39"/>
      <c r="H559" s="49"/>
    </row>
    <row r="560" spans="1:8" x14ac:dyDescent="0.25">
      <c r="A560" s="39"/>
      <c r="H560" s="49"/>
    </row>
    <row r="561" spans="1:8" x14ac:dyDescent="0.25">
      <c r="A561" s="39"/>
      <c r="H561" s="49"/>
    </row>
    <row r="562" spans="1:8" x14ac:dyDescent="0.25">
      <c r="A562" s="39"/>
      <c r="H562" s="49"/>
    </row>
    <row r="563" spans="1:8" x14ac:dyDescent="0.25">
      <c r="A563" s="39"/>
      <c r="H563" s="49"/>
    </row>
    <row r="564" spans="1:8" x14ac:dyDescent="0.25">
      <c r="A564" s="39"/>
      <c r="H564" s="49"/>
    </row>
    <row r="565" spans="1:8" x14ac:dyDescent="0.25">
      <c r="A565" s="39"/>
      <c r="H565" s="49"/>
    </row>
    <row r="566" spans="1:8" x14ac:dyDescent="0.25">
      <c r="A566" s="39"/>
      <c r="H566" s="49"/>
    </row>
    <row r="567" spans="1:8" x14ac:dyDescent="0.25">
      <c r="A567" s="39"/>
      <c r="H567" s="49"/>
    </row>
    <row r="568" spans="1:8" x14ac:dyDescent="0.25">
      <c r="A568" s="39"/>
      <c r="H568" s="49"/>
    </row>
    <row r="569" spans="1:8" x14ac:dyDescent="0.25">
      <c r="A569" s="39"/>
      <c r="H569" s="49"/>
    </row>
    <row r="570" spans="1:8" x14ac:dyDescent="0.25">
      <c r="A570" s="39"/>
      <c r="H570" s="49"/>
    </row>
    <row r="571" spans="1:8" x14ac:dyDescent="0.25">
      <c r="A571" s="39"/>
      <c r="H571" s="49"/>
    </row>
    <row r="572" spans="1:8" x14ac:dyDescent="0.25">
      <c r="A572" s="39"/>
      <c r="H572" s="49"/>
    </row>
    <row r="573" spans="1:8" x14ac:dyDescent="0.25">
      <c r="A573" s="39"/>
      <c r="H573" s="49"/>
    </row>
    <row r="574" spans="1:8" x14ac:dyDescent="0.25">
      <c r="A574" s="39"/>
      <c r="H574" s="49"/>
    </row>
    <row r="575" spans="1:8" x14ac:dyDescent="0.25">
      <c r="A575" s="39"/>
      <c r="H575" s="49"/>
    </row>
    <row r="576" spans="1:8" x14ac:dyDescent="0.25">
      <c r="A576" s="39"/>
      <c r="H576" s="49"/>
    </row>
    <row r="577" spans="1:8" x14ac:dyDescent="0.25">
      <c r="A577" s="39"/>
      <c r="H577" s="49"/>
    </row>
    <row r="578" spans="1:8" x14ac:dyDescent="0.25">
      <c r="A578" s="39"/>
      <c r="H578" s="49"/>
    </row>
    <row r="579" spans="1:8" x14ac:dyDescent="0.25">
      <c r="A579" s="39"/>
      <c r="H579" s="49"/>
    </row>
    <row r="580" spans="1:8" x14ac:dyDescent="0.25">
      <c r="A580" s="39"/>
      <c r="H580" s="49"/>
    </row>
    <row r="581" spans="1:8" x14ac:dyDescent="0.25">
      <c r="A581" s="39"/>
      <c r="H581" s="49"/>
    </row>
    <row r="582" spans="1:8" x14ac:dyDescent="0.25">
      <c r="A582" s="39"/>
      <c r="H582" s="49"/>
    </row>
    <row r="583" spans="1:8" x14ac:dyDescent="0.25">
      <c r="A583" s="39"/>
      <c r="H583" s="49"/>
    </row>
    <row r="584" spans="1:8" x14ac:dyDescent="0.25">
      <c r="A584" s="39"/>
      <c r="H584" s="49"/>
    </row>
    <row r="585" spans="1:8" x14ac:dyDescent="0.25">
      <c r="A585" s="39"/>
      <c r="H585" s="49"/>
    </row>
    <row r="586" spans="1:8" x14ac:dyDescent="0.25">
      <c r="A586" s="39"/>
      <c r="H586" s="49"/>
    </row>
    <row r="587" spans="1:8" x14ac:dyDescent="0.25">
      <c r="A587" s="39"/>
      <c r="H587" s="49"/>
    </row>
    <row r="588" spans="1:8" x14ac:dyDescent="0.25">
      <c r="A588" s="39"/>
      <c r="H588" s="49"/>
    </row>
    <row r="589" spans="1:8" x14ac:dyDescent="0.25">
      <c r="A589" s="39"/>
      <c r="H589" s="49"/>
    </row>
    <row r="590" spans="1:8" x14ac:dyDescent="0.25">
      <c r="A590" s="39"/>
      <c r="H590" s="49"/>
    </row>
    <row r="591" spans="1:8" x14ac:dyDescent="0.25">
      <c r="A591" s="39"/>
      <c r="H591" s="49"/>
    </row>
    <row r="592" spans="1:8" x14ac:dyDescent="0.25">
      <c r="A592" s="39"/>
      <c r="H592" s="49"/>
    </row>
    <row r="593" spans="1:8" x14ac:dyDescent="0.25">
      <c r="A593" s="39"/>
      <c r="H593" s="49"/>
    </row>
    <row r="594" spans="1:8" x14ac:dyDescent="0.25">
      <c r="A594" s="39"/>
      <c r="H594" s="49"/>
    </row>
    <row r="595" spans="1:8" x14ac:dyDescent="0.25">
      <c r="A595" s="39"/>
    </row>
    <row r="596" spans="1:8" x14ac:dyDescent="0.25">
      <c r="A596" s="39"/>
    </row>
    <row r="597" spans="1:8" x14ac:dyDescent="0.25">
      <c r="A597" s="39"/>
    </row>
    <row r="598" spans="1:8" x14ac:dyDescent="0.25">
      <c r="A598" s="39"/>
    </row>
    <row r="599" spans="1:8" x14ac:dyDescent="0.25">
      <c r="A599" s="39"/>
    </row>
    <row r="600" spans="1:8" x14ac:dyDescent="0.25">
      <c r="A600" s="39"/>
    </row>
    <row r="601" spans="1:8" x14ac:dyDescent="0.25">
      <c r="A601" s="39"/>
    </row>
    <row r="602" spans="1:8" x14ac:dyDescent="0.25">
      <c r="A602" s="39"/>
    </row>
    <row r="603" spans="1:8" x14ac:dyDescent="0.25">
      <c r="A603" s="39"/>
    </row>
    <row r="604" spans="1:8" x14ac:dyDescent="0.25">
      <c r="A604" s="39"/>
    </row>
    <row r="605" spans="1:8" x14ac:dyDescent="0.25">
      <c r="A605" s="39"/>
    </row>
    <row r="606" spans="1:8" x14ac:dyDescent="0.25">
      <c r="A606" s="39"/>
    </row>
    <row r="607" spans="1:8" x14ac:dyDescent="0.25">
      <c r="A607" s="39"/>
    </row>
    <row r="608" spans="1:8" x14ac:dyDescent="0.25">
      <c r="A608" s="39"/>
    </row>
    <row r="609" spans="1:1" x14ac:dyDescent="0.25">
      <c r="A609" s="39"/>
    </row>
    <row r="610" spans="1:1" x14ac:dyDescent="0.25">
      <c r="A610" s="39"/>
    </row>
    <row r="611" spans="1:1" x14ac:dyDescent="0.25">
      <c r="A611" s="39"/>
    </row>
    <row r="612" spans="1:1" x14ac:dyDescent="0.25">
      <c r="A612" s="39"/>
    </row>
    <row r="613" spans="1:1" x14ac:dyDescent="0.25">
      <c r="A613" s="39"/>
    </row>
    <row r="614" spans="1:1" x14ac:dyDescent="0.25">
      <c r="A614" s="39"/>
    </row>
    <row r="615" spans="1:1" x14ac:dyDescent="0.25">
      <c r="A615" s="39"/>
    </row>
    <row r="616" spans="1:1" x14ac:dyDescent="0.25">
      <c r="A616" s="39"/>
    </row>
    <row r="617" spans="1:1" x14ac:dyDescent="0.25">
      <c r="A617" s="39"/>
    </row>
    <row r="618" spans="1:1" x14ac:dyDescent="0.25">
      <c r="A618" s="39"/>
    </row>
    <row r="619" spans="1:1" x14ac:dyDescent="0.25">
      <c r="A619" s="39"/>
    </row>
    <row r="620" spans="1:1" x14ac:dyDescent="0.25">
      <c r="A620" s="39"/>
    </row>
    <row r="621" spans="1:1" x14ac:dyDescent="0.25">
      <c r="A621" s="39"/>
    </row>
    <row r="622" spans="1:1" x14ac:dyDescent="0.25">
      <c r="A622" s="39"/>
    </row>
    <row r="623" spans="1:1" x14ac:dyDescent="0.25">
      <c r="A623" s="39"/>
    </row>
    <row r="624" spans="1:1" x14ac:dyDescent="0.25">
      <c r="A624" s="39"/>
    </row>
    <row r="625" spans="1:1" x14ac:dyDescent="0.25">
      <c r="A625" s="39"/>
    </row>
    <row r="626" spans="1:1" x14ac:dyDescent="0.25">
      <c r="A626" s="39"/>
    </row>
    <row r="627" spans="1:1" x14ac:dyDescent="0.25">
      <c r="A627" s="39"/>
    </row>
    <row r="628" spans="1:1" x14ac:dyDescent="0.25">
      <c r="A628" s="39"/>
    </row>
    <row r="629" spans="1:1" x14ac:dyDescent="0.25">
      <c r="A629" s="39"/>
    </row>
    <row r="630" spans="1:1" x14ac:dyDescent="0.25">
      <c r="A630" s="39"/>
    </row>
    <row r="631" spans="1:1" x14ac:dyDescent="0.25">
      <c r="A631" s="39"/>
    </row>
    <row r="632" spans="1:1" x14ac:dyDescent="0.25">
      <c r="A632" s="39"/>
    </row>
    <row r="633" spans="1:1" x14ac:dyDescent="0.25">
      <c r="A633" s="39"/>
    </row>
    <row r="634" spans="1:1" x14ac:dyDescent="0.25">
      <c r="A634" s="39"/>
    </row>
    <row r="635" spans="1:1" x14ac:dyDescent="0.25">
      <c r="A635" s="39"/>
    </row>
    <row r="636" spans="1:1" x14ac:dyDescent="0.25">
      <c r="A636" s="39"/>
    </row>
    <row r="637" spans="1:1" x14ac:dyDescent="0.25">
      <c r="A637" s="39"/>
    </row>
    <row r="638" spans="1:1" x14ac:dyDescent="0.25">
      <c r="A638" s="39"/>
    </row>
    <row r="639" spans="1:1" x14ac:dyDescent="0.25">
      <c r="A639" s="39"/>
    </row>
    <row r="640" spans="1:1" x14ac:dyDescent="0.25">
      <c r="A640" s="39"/>
    </row>
    <row r="641" spans="1:1" x14ac:dyDescent="0.25">
      <c r="A641" s="39"/>
    </row>
    <row r="642" spans="1:1" x14ac:dyDescent="0.25">
      <c r="A642" s="39"/>
    </row>
    <row r="643" spans="1:1" x14ac:dyDescent="0.25">
      <c r="A643" s="39"/>
    </row>
    <row r="644" spans="1:1" x14ac:dyDescent="0.25">
      <c r="A644" s="39"/>
    </row>
    <row r="645" spans="1:1" x14ac:dyDescent="0.25">
      <c r="A645" s="39"/>
    </row>
    <row r="646" spans="1:1" x14ac:dyDescent="0.25">
      <c r="A646" s="39"/>
    </row>
    <row r="647" spans="1:1" x14ac:dyDescent="0.25">
      <c r="A647" s="39"/>
    </row>
    <row r="648" spans="1:1" x14ac:dyDescent="0.25">
      <c r="A648" s="39"/>
    </row>
    <row r="649" spans="1:1" x14ac:dyDescent="0.25">
      <c r="A649" s="39"/>
    </row>
    <row r="650" spans="1:1" x14ac:dyDescent="0.25">
      <c r="A650" s="39"/>
    </row>
    <row r="651" spans="1:1" x14ac:dyDescent="0.25">
      <c r="A651" s="39"/>
    </row>
    <row r="652" spans="1:1" x14ac:dyDescent="0.25">
      <c r="A652" s="39"/>
    </row>
    <row r="653" spans="1:1" x14ac:dyDescent="0.25">
      <c r="A653" s="39"/>
    </row>
    <row r="654" spans="1:1" x14ac:dyDescent="0.25">
      <c r="A654" s="39"/>
    </row>
    <row r="655" spans="1:1" x14ac:dyDescent="0.25">
      <c r="A655" s="39"/>
    </row>
    <row r="656" spans="1:1" x14ac:dyDescent="0.25">
      <c r="A656" s="39"/>
    </row>
    <row r="657" spans="1:1" x14ac:dyDescent="0.25">
      <c r="A657" s="39"/>
    </row>
    <row r="658" spans="1:1" x14ac:dyDescent="0.25">
      <c r="A658" s="39"/>
    </row>
    <row r="659" spans="1:1" x14ac:dyDescent="0.25">
      <c r="A659" s="39"/>
    </row>
    <row r="660" spans="1:1" x14ac:dyDescent="0.25">
      <c r="A660" s="39"/>
    </row>
    <row r="661" spans="1:1" x14ac:dyDescent="0.25">
      <c r="A661" s="39"/>
    </row>
    <row r="662" spans="1:1" x14ac:dyDescent="0.25">
      <c r="A662" s="39"/>
    </row>
    <row r="663" spans="1:1" x14ac:dyDescent="0.25">
      <c r="A663" s="39"/>
    </row>
    <row r="664" spans="1:1" x14ac:dyDescent="0.25">
      <c r="A664" s="39"/>
    </row>
    <row r="665" spans="1:1" x14ac:dyDescent="0.25">
      <c r="A665" s="39"/>
    </row>
    <row r="666" spans="1:1" x14ac:dyDescent="0.25">
      <c r="A666" s="39"/>
    </row>
    <row r="667" spans="1:1" x14ac:dyDescent="0.25">
      <c r="A667" s="39"/>
    </row>
    <row r="668" spans="1:1" x14ac:dyDescent="0.25">
      <c r="A668" s="39"/>
    </row>
    <row r="669" spans="1:1" x14ac:dyDescent="0.25">
      <c r="A669" s="39"/>
    </row>
    <row r="670" spans="1:1" x14ac:dyDescent="0.25">
      <c r="A670" s="39"/>
    </row>
    <row r="671" spans="1:1" x14ac:dyDescent="0.25">
      <c r="A671" s="39"/>
    </row>
    <row r="672" spans="1:1" x14ac:dyDescent="0.25">
      <c r="A672" s="39"/>
    </row>
    <row r="673" spans="1:1" x14ac:dyDescent="0.25">
      <c r="A673" s="39"/>
    </row>
    <row r="674" spans="1:1" x14ac:dyDescent="0.25">
      <c r="A674" s="39"/>
    </row>
    <row r="675" spans="1:1" x14ac:dyDescent="0.25">
      <c r="A675" s="39"/>
    </row>
    <row r="676" spans="1:1" x14ac:dyDescent="0.25">
      <c r="A676" s="39"/>
    </row>
    <row r="677" spans="1:1" x14ac:dyDescent="0.25">
      <c r="A677" s="39"/>
    </row>
    <row r="678" spans="1:1" x14ac:dyDescent="0.25">
      <c r="A678" s="39"/>
    </row>
    <row r="679" spans="1:1" x14ac:dyDescent="0.25">
      <c r="A679" s="39"/>
    </row>
    <row r="680" spans="1:1" x14ac:dyDescent="0.25">
      <c r="A680" s="39"/>
    </row>
    <row r="681" spans="1:1" x14ac:dyDescent="0.25">
      <c r="A681" s="39"/>
    </row>
    <row r="682" spans="1:1" x14ac:dyDescent="0.25">
      <c r="A682" s="39"/>
    </row>
    <row r="683" spans="1:1" x14ac:dyDescent="0.25">
      <c r="A683" s="39"/>
    </row>
    <row r="684" spans="1:1" x14ac:dyDescent="0.25">
      <c r="A684" s="39"/>
    </row>
    <row r="685" spans="1:1" x14ac:dyDescent="0.25">
      <c r="A685" s="39"/>
    </row>
    <row r="686" spans="1:1" x14ac:dyDescent="0.25">
      <c r="A686" s="39"/>
    </row>
    <row r="687" spans="1:1" x14ac:dyDescent="0.25">
      <c r="A687" s="39"/>
    </row>
    <row r="688" spans="1:1" x14ac:dyDescent="0.25">
      <c r="A688" s="39"/>
    </row>
    <row r="689" spans="1:1" x14ac:dyDescent="0.25">
      <c r="A689" s="39"/>
    </row>
    <row r="690" spans="1:1" x14ac:dyDescent="0.25">
      <c r="A690" s="39"/>
    </row>
    <row r="691" spans="1:1" x14ac:dyDescent="0.25">
      <c r="A691" s="39"/>
    </row>
    <row r="692" spans="1:1" x14ac:dyDescent="0.25">
      <c r="A692" s="39"/>
    </row>
    <row r="693" spans="1:1" x14ac:dyDescent="0.25">
      <c r="A693" s="39"/>
    </row>
    <row r="694" spans="1:1" x14ac:dyDescent="0.25">
      <c r="A694" s="39"/>
    </row>
    <row r="695" spans="1:1" x14ac:dyDescent="0.25">
      <c r="A695" s="39"/>
    </row>
    <row r="696" spans="1:1" x14ac:dyDescent="0.25">
      <c r="A696" s="39"/>
    </row>
    <row r="697" spans="1:1" x14ac:dyDescent="0.25">
      <c r="A697" s="39"/>
    </row>
    <row r="698" spans="1:1" x14ac:dyDescent="0.25">
      <c r="A698" s="39"/>
    </row>
    <row r="699" spans="1:1" x14ac:dyDescent="0.25">
      <c r="A699" s="39"/>
    </row>
    <row r="700" spans="1:1" x14ac:dyDescent="0.25">
      <c r="A700" s="39"/>
    </row>
    <row r="701" spans="1:1" x14ac:dyDescent="0.25">
      <c r="A701" s="39"/>
    </row>
    <row r="702" spans="1:1" x14ac:dyDescent="0.25">
      <c r="A702" s="39"/>
    </row>
    <row r="703" spans="1:1" x14ac:dyDescent="0.25">
      <c r="A703" s="39"/>
    </row>
    <row r="704" spans="1:1" x14ac:dyDescent="0.25">
      <c r="A704" s="39"/>
    </row>
    <row r="705" spans="1:1" x14ac:dyDescent="0.25">
      <c r="A705" s="39"/>
    </row>
    <row r="706" spans="1:1" x14ac:dyDescent="0.25">
      <c r="A706" s="39"/>
    </row>
    <row r="707" spans="1:1" x14ac:dyDescent="0.25">
      <c r="A707" s="39"/>
    </row>
    <row r="708" spans="1:1" x14ac:dyDescent="0.25">
      <c r="A708" s="39"/>
    </row>
    <row r="709" spans="1:1" x14ac:dyDescent="0.25">
      <c r="A709" s="39"/>
    </row>
    <row r="710" spans="1:1" x14ac:dyDescent="0.25">
      <c r="A710" s="39"/>
    </row>
    <row r="711" spans="1:1" x14ac:dyDescent="0.25">
      <c r="A711" s="39"/>
    </row>
    <row r="712" spans="1:1" x14ac:dyDescent="0.25">
      <c r="A712" s="39"/>
    </row>
    <row r="713" spans="1:1" x14ac:dyDescent="0.25">
      <c r="A713" s="39"/>
    </row>
    <row r="714" spans="1:1" x14ac:dyDescent="0.25">
      <c r="A714" s="39"/>
    </row>
    <row r="715" spans="1:1" x14ac:dyDescent="0.25">
      <c r="A715" s="39"/>
    </row>
    <row r="716" spans="1:1" x14ac:dyDescent="0.25">
      <c r="A716" s="39"/>
    </row>
    <row r="717" spans="1:1" x14ac:dyDescent="0.25">
      <c r="A717" s="39"/>
    </row>
    <row r="718" spans="1:1" x14ac:dyDescent="0.25">
      <c r="A718" s="39"/>
    </row>
    <row r="719" spans="1:1" x14ac:dyDescent="0.25">
      <c r="A719" s="39"/>
    </row>
    <row r="720" spans="1:1" x14ac:dyDescent="0.25">
      <c r="A720" s="39"/>
    </row>
    <row r="721" spans="1:1" x14ac:dyDescent="0.25">
      <c r="A721" s="39"/>
    </row>
    <row r="722" spans="1:1" x14ac:dyDescent="0.25">
      <c r="A722" s="39"/>
    </row>
    <row r="723" spans="1:1" x14ac:dyDescent="0.25">
      <c r="A723" s="39"/>
    </row>
    <row r="724" spans="1:1" x14ac:dyDescent="0.25">
      <c r="A724" s="39"/>
    </row>
    <row r="725" spans="1:1" x14ac:dyDescent="0.25">
      <c r="A725" s="39"/>
    </row>
    <row r="726" spans="1:1" x14ac:dyDescent="0.25">
      <c r="A726" s="39"/>
    </row>
    <row r="727" spans="1:1" x14ac:dyDescent="0.25">
      <c r="A727" s="39"/>
    </row>
    <row r="728" spans="1:1" x14ac:dyDescent="0.25">
      <c r="A728" s="39"/>
    </row>
    <row r="729" spans="1:1" x14ac:dyDescent="0.25">
      <c r="A729" s="39"/>
    </row>
    <row r="730" spans="1:1" x14ac:dyDescent="0.25">
      <c r="A730" s="39"/>
    </row>
    <row r="731" spans="1:1" x14ac:dyDescent="0.25">
      <c r="A731" s="39"/>
    </row>
    <row r="732" spans="1:1" x14ac:dyDescent="0.25">
      <c r="A732" s="39"/>
    </row>
    <row r="733" spans="1:1" x14ac:dyDescent="0.25">
      <c r="A733" s="39"/>
    </row>
    <row r="734" spans="1:1" x14ac:dyDescent="0.25">
      <c r="A734" s="39"/>
    </row>
    <row r="735" spans="1:1" x14ac:dyDescent="0.25">
      <c r="A735" s="39"/>
    </row>
    <row r="736" spans="1:1" x14ac:dyDescent="0.25">
      <c r="A736" s="39"/>
    </row>
    <row r="737" spans="1:1" x14ac:dyDescent="0.25">
      <c r="A737" s="39"/>
    </row>
    <row r="738" spans="1:1" x14ac:dyDescent="0.25">
      <c r="A738" s="39"/>
    </row>
    <row r="739" spans="1:1" x14ac:dyDescent="0.25">
      <c r="A739" s="39"/>
    </row>
    <row r="740" spans="1:1" x14ac:dyDescent="0.25">
      <c r="A740" s="39"/>
    </row>
    <row r="741" spans="1:1" x14ac:dyDescent="0.25">
      <c r="A741" s="39"/>
    </row>
    <row r="742" spans="1:1" x14ac:dyDescent="0.25">
      <c r="A742" s="39"/>
    </row>
    <row r="743" spans="1:1" x14ac:dyDescent="0.25">
      <c r="A743" s="39"/>
    </row>
    <row r="744" spans="1:1" x14ac:dyDescent="0.25">
      <c r="A744" s="39"/>
    </row>
    <row r="745" spans="1:1" x14ac:dyDescent="0.25">
      <c r="A745" s="39"/>
    </row>
    <row r="746" spans="1:1" x14ac:dyDescent="0.25">
      <c r="A746" s="39"/>
    </row>
    <row r="747" spans="1:1" x14ac:dyDescent="0.25">
      <c r="A747" s="39"/>
    </row>
    <row r="748" spans="1:1" x14ac:dyDescent="0.25">
      <c r="A748" s="39"/>
    </row>
    <row r="749" spans="1:1" x14ac:dyDescent="0.25">
      <c r="A749" s="39"/>
    </row>
    <row r="750" spans="1:1" x14ac:dyDescent="0.25">
      <c r="A750" s="39"/>
    </row>
    <row r="751" spans="1:1" x14ac:dyDescent="0.25">
      <c r="A751" s="39"/>
    </row>
    <row r="752" spans="1:1" x14ac:dyDescent="0.25">
      <c r="A752" s="39"/>
    </row>
    <row r="753" spans="1:1" x14ac:dyDescent="0.25">
      <c r="A753" s="39"/>
    </row>
    <row r="754" spans="1:1" x14ac:dyDescent="0.25">
      <c r="A754" s="39"/>
    </row>
    <row r="755" spans="1:1" x14ac:dyDescent="0.25">
      <c r="A755" s="39"/>
    </row>
    <row r="756" spans="1:1" x14ac:dyDescent="0.25">
      <c r="A756" s="39"/>
    </row>
    <row r="757" spans="1:1" x14ac:dyDescent="0.25">
      <c r="A757" s="39"/>
    </row>
    <row r="758" spans="1:1" x14ac:dyDescent="0.25">
      <c r="A758" s="39"/>
    </row>
    <row r="759" spans="1:1" x14ac:dyDescent="0.25">
      <c r="A759" s="39"/>
    </row>
    <row r="760" spans="1:1" x14ac:dyDescent="0.25">
      <c r="A760" s="39"/>
    </row>
    <row r="761" spans="1:1" x14ac:dyDescent="0.25">
      <c r="A761" s="39"/>
    </row>
    <row r="762" spans="1:1" x14ac:dyDescent="0.25">
      <c r="A762" s="39"/>
    </row>
    <row r="763" spans="1:1" x14ac:dyDescent="0.25">
      <c r="A763" s="39"/>
    </row>
    <row r="764" spans="1:1" x14ac:dyDescent="0.25">
      <c r="A764" s="39"/>
    </row>
    <row r="765" spans="1:1" x14ac:dyDescent="0.25">
      <c r="A765" s="39"/>
    </row>
    <row r="766" spans="1:1" x14ac:dyDescent="0.25">
      <c r="A766" s="39"/>
    </row>
    <row r="767" spans="1:1" x14ac:dyDescent="0.25">
      <c r="A767" s="39"/>
    </row>
    <row r="768" spans="1:1" x14ac:dyDescent="0.25">
      <c r="A768" s="39"/>
    </row>
    <row r="769" spans="1:1" x14ac:dyDescent="0.25">
      <c r="A769" s="39"/>
    </row>
    <row r="770" spans="1:1" x14ac:dyDescent="0.25">
      <c r="A770" s="39"/>
    </row>
    <row r="771" spans="1:1" x14ac:dyDescent="0.25">
      <c r="A771" s="39"/>
    </row>
    <row r="772" spans="1:1" x14ac:dyDescent="0.25">
      <c r="A772" s="39"/>
    </row>
    <row r="773" spans="1:1" x14ac:dyDescent="0.25">
      <c r="A773" s="39"/>
    </row>
    <row r="774" spans="1:1" x14ac:dyDescent="0.25">
      <c r="A774" s="39"/>
    </row>
    <row r="775" spans="1:1" x14ac:dyDescent="0.25">
      <c r="A775" s="39"/>
    </row>
    <row r="776" spans="1:1" x14ac:dyDescent="0.25">
      <c r="A776" s="39"/>
    </row>
    <row r="777" spans="1:1" x14ac:dyDescent="0.25">
      <c r="A777" s="39"/>
    </row>
    <row r="778" spans="1:1" x14ac:dyDescent="0.25">
      <c r="A778" s="39"/>
    </row>
    <row r="779" spans="1:1" x14ac:dyDescent="0.25">
      <c r="A779" s="39"/>
    </row>
    <row r="780" spans="1:1" x14ac:dyDescent="0.25">
      <c r="A780" s="39"/>
    </row>
    <row r="781" spans="1:1" x14ac:dyDescent="0.25">
      <c r="A781" s="39"/>
    </row>
    <row r="782" spans="1:1" x14ac:dyDescent="0.25">
      <c r="A782" s="39"/>
    </row>
    <row r="783" spans="1:1" x14ac:dyDescent="0.25">
      <c r="A783" s="39"/>
    </row>
    <row r="784" spans="1:1" x14ac:dyDescent="0.25">
      <c r="A784" s="39"/>
    </row>
    <row r="785" spans="1:1" x14ac:dyDescent="0.25">
      <c r="A785" s="39"/>
    </row>
    <row r="786" spans="1:1" x14ac:dyDescent="0.25">
      <c r="A786" s="39"/>
    </row>
    <row r="787" spans="1:1" x14ac:dyDescent="0.25">
      <c r="A787" s="39"/>
    </row>
    <row r="788" spans="1:1" x14ac:dyDescent="0.25">
      <c r="A788" s="39"/>
    </row>
    <row r="789" spans="1:1" x14ac:dyDescent="0.25">
      <c r="A789" s="39"/>
    </row>
    <row r="790" spans="1:1" x14ac:dyDescent="0.25">
      <c r="A790" s="39"/>
    </row>
    <row r="791" spans="1:1" x14ac:dyDescent="0.25">
      <c r="A791" s="39"/>
    </row>
    <row r="792" spans="1:1" x14ac:dyDescent="0.25">
      <c r="A792" s="39"/>
    </row>
    <row r="793" spans="1:1" x14ac:dyDescent="0.25">
      <c r="A793" s="39"/>
    </row>
    <row r="794" spans="1:1" x14ac:dyDescent="0.25">
      <c r="A794" s="39"/>
    </row>
    <row r="795" spans="1:1" x14ac:dyDescent="0.25">
      <c r="A795" s="39"/>
    </row>
    <row r="796" spans="1:1" x14ac:dyDescent="0.25">
      <c r="A796" s="39"/>
    </row>
    <row r="797" spans="1:1" x14ac:dyDescent="0.25">
      <c r="A797" s="39"/>
    </row>
    <row r="798" spans="1:1" x14ac:dyDescent="0.25">
      <c r="A798" s="39"/>
    </row>
    <row r="799" spans="1:1" x14ac:dyDescent="0.25">
      <c r="A799" s="39"/>
    </row>
    <row r="800" spans="1:1" x14ac:dyDescent="0.25">
      <c r="A800" s="39"/>
    </row>
    <row r="801" spans="1:1" x14ac:dyDescent="0.25">
      <c r="A801" s="39"/>
    </row>
    <row r="802" spans="1:1" x14ac:dyDescent="0.25">
      <c r="A802" s="39"/>
    </row>
    <row r="803" spans="1:1" x14ac:dyDescent="0.25">
      <c r="A803" s="39"/>
    </row>
    <row r="804" spans="1:1" x14ac:dyDescent="0.25">
      <c r="A804" s="39"/>
    </row>
    <row r="805" spans="1:1" x14ac:dyDescent="0.25">
      <c r="A805" s="39"/>
    </row>
    <row r="806" spans="1:1" x14ac:dyDescent="0.25">
      <c r="A806" s="39"/>
    </row>
    <row r="807" spans="1:1" x14ac:dyDescent="0.25">
      <c r="A807" s="39"/>
    </row>
    <row r="808" spans="1:1" x14ac:dyDescent="0.25">
      <c r="A808" s="39"/>
    </row>
    <row r="809" spans="1:1" x14ac:dyDescent="0.25">
      <c r="A809" s="39"/>
    </row>
    <row r="810" spans="1:1" x14ac:dyDescent="0.25">
      <c r="A810" s="39"/>
    </row>
    <row r="811" spans="1:1" x14ac:dyDescent="0.25">
      <c r="A811" s="39"/>
    </row>
    <row r="812" spans="1:1" x14ac:dyDescent="0.25">
      <c r="A812" s="39"/>
    </row>
    <row r="813" spans="1:1" x14ac:dyDescent="0.25">
      <c r="A813" s="39"/>
    </row>
    <row r="814" spans="1:1" x14ac:dyDescent="0.25">
      <c r="A814" s="39"/>
    </row>
    <row r="815" spans="1:1" x14ac:dyDescent="0.25">
      <c r="A815" s="39"/>
    </row>
    <row r="816" spans="1:1" x14ac:dyDescent="0.25">
      <c r="A816" s="39"/>
    </row>
    <row r="817" spans="1:1" x14ac:dyDescent="0.25">
      <c r="A817" s="39"/>
    </row>
    <row r="818" spans="1:1" x14ac:dyDescent="0.25">
      <c r="A818" s="39"/>
    </row>
    <row r="819" spans="1:1" x14ac:dyDescent="0.25">
      <c r="A819" s="39"/>
    </row>
    <row r="820" spans="1:1" x14ac:dyDescent="0.25">
      <c r="A820" s="39"/>
    </row>
    <row r="821" spans="1:1" x14ac:dyDescent="0.25">
      <c r="A821" s="39"/>
    </row>
    <row r="822" spans="1:1" x14ac:dyDescent="0.25">
      <c r="A822" s="39"/>
    </row>
    <row r="823" spans="1:1" x14ac:dyDescent="0.25">
      <c r="A823" s="39"/>
    </row>
    <row r="824" spans="1:1" x14ac:dyDescent="0.25">
      <c r="A824" s="39"/>
    </row>
    <row r="825" spans="1:1" x14ac:dyDescent="0.25">
      <c r="A825" s="39"/>
    </row>
    <row r="826" spans="1:1" x14ac:dyDescent="0.25">
      <c r="A826" s="39"/>
    </row>
    <row r="827" spans="1:1" x14ac:dyDescent="0.25">
      <c r="A827" s="39"/>
    </row>
    <row r="828" spans="1:1" x14ac:dyDescent="0.25">
      <c r="A828" s="39"/>
    </row>
    <row r="829" spans="1:1" x14ac:dyDescent="0.25">
      <c r="A829" s="39"/>
    </row>
    <row r="830" spans="1:1" x14ac:dyDescent="0.25">
      <c r="A830" s="39"/>
    </row>
    <row r="831" spans="1:1" x14ac:dyDescent="0.25">
      <c r="A831" s="39"/>
    </row>
    <row r="832" spans="1:1" x14ac:dyDescent="0.25">
      <c r="A832" s="39"/>
    </row>
    <row r="833" spans="1:1" x14ac:dyDescent="0.25">
      <c r="A833" s="39"/>
    </row>
    <row r="834" spans="1:1" x14ac:dyDescent="0.25">
      <c r="A834" s="39"/>
    </row>
    <row r="835" spans="1:1" x14ac:dyDescent="0.25">
      <c r="A835" s="39"/>
    </row>
    <row r="836" spans="1:1" x14ac:dyDescent="0.25">
      <c r="A836" s="39"/>
    </row>
    <row r="837" spans="1:1" x14ac:dyDescent="0.25">
      <c r="A837" s="39"/>
    </row>
    <row r="838" spans="1:1" x14ac:dyDescent="0.25">
      <c r="A838" s="39"/>
    </row>
    <row r="839" spans="1:1" x14ac:dyDescent="0.25">
      <c r="A839" s="39"/>
    </row>
    <row r="840" spans="1:1" x14ac:dyDescent="0.25">
      <c r="A840" s="39"/>
    </row>
    <row r="841" spans="1:1" x14ac:dyDescent="0.25">
      <c r="A841" s="39"/>
    </row>
    <row r="842" spans="1:1" x14ac:dyDescent="0.25">
      <c r="A842" s="39"/>
    </row>
    <row r="843" spans="1:1" x14ac:dyDescent="0.25">
      <c r="A843" s="39"/>
    </row>
    <row r="844" spans="1:1" x14ac:dyDescent="0.25">
      <c r="A844" s="39"/>
    </row>
    <row r="845" spans="1:1" x14ac:dyDescent="0.25">
      <c r="A845" s="39"/>
    </row>
    <row r="846" spans="1:1" x14ac:dyDescent="0.25">
      <c r="A846" s="39"/>
    </row>
    <row r="847" spans="1:1" x14ac:dyDescent="0.25">
      <c r="A847" s="39"/>
    </row>
    <row r="848" spans="1:1" x14ac:dyDescent="0.25">
      <c r="A848" s="39"/>
    </row>
    <row r="849" spans="1:1" x14ac:dyDescent="0.25">
      <c r="A849" s="39"/>
    </row>
    <row r="850" spans="1:1" x14ac:dyDescent="0.25">
      <c r="A850" s="39"/>
    </row>
    <row r="851" spans="1:1" x14ac:dyDescent="0.25">
      <c r="A851" s="39"/>
    </row>
    <row r="852" spans="1:1" x14ac:dyDescent="0.25">
      <c r="A852" s="39"/>
    </row>
    <row r="853" spans="1:1" x14ac:dyDescent="0.25">
      <c r="A853" s="39"/>
    </row>
    <row r="854" spans="1:1" x14ac:dyDescent="0.25">
      <c r="A854" s="39"/>
    </row>
    <row r="855" spans="1:1" x14ac:dyDescent="0.25">
      <c r="A855" s="39"/>
    </row>
    <row r="856" spans="1:1" x14ac:dyDescent="0.25">
      <c r="A856" s="39"/>
    </row>
    <row r="857" spans="1:1" x14ac:dyDescent="0.25">
      <c r="A857" s="39"/>
    </row>
    <row r="858" spans="1:1" x14ac:dyDescent="0.25">
      <c r="A858" s="39"/>
    </row>
    <row r="859" spans="1:1" x14ac:dyDescent="0.25">
      <c r="A859" s="39"/>
    </row>
    <row r="860" spans="1:1" x14ac:dyDescent="0.25">
      <c r="A860" s="39"/>
    </row>
    <row r="861" spans="1:1" x14ac:dyDescent="0.25">
      <c r="A861" s="39"/>
    </row>
    <row r="862" spans="1:1" x14ac:dyDescent="0.25">
      <c r="A862" s="39"/>
    </row>
    <row r="863" spans="1:1" x14ac:dyDescent="0.25">
      <c r="A863" s="39"/>
    </row>
    <row r="864" spans="1:1" x14ac:dyDescent="0.25">
      <c r="A864" s="39"/>
    </row>
    <row r="865" spans="1:1" x14ac:dyDescent="0.25">
      <c r="A865" s="39"/>
    </row>
    <row r="866" spans="1:1" x14ac:dyDescent="0.25">
      <c r="A866" s="39"/>
    </row>
    <row r="867" spans="1:1" x14ac:dyDescent="0.25">
      <c r="A867" s="39"/>
    </row>
    <row r="868" spans="1:1" x14ac:dyDescent="0.25">
      <c r="A868" s="39"/>
    </row>
    <row r="869" spans="1:1" x14ac:dyDescent="0.25">
      <c r="A869" s="39"/>
    </row>
    <row r="870" spans="1:1" x14ac:dyDescent="0.25">
      <c r="A870" s="39"/>
    </row>
    <row r="871" spans="1:1" x14ac:dyDescent="0.25">
      <c r="A871" s="39"/>
    </row>
    <row r="872" spans="1:1" x14ac:dyDescent="0.25">
      <c r="A872" s="39"/>
    </row>
    <row r="873" spans="1:1" x14ac:dyDescent="0.25">
      <c r="A873" s="39"/>
    </row>
    <row r="874" spans="1:1" x14ac:dyDescent="0.25">
      <c r="A874" s="39"/>
    </row>
    <row r="875" spans="1:1" x14ac:dyDescent="0.25">
      <c r="A875" s="39"/>
    </row>
    <row r="876" spans="1:1" x14ac:dyDescent="0.25">
      <c r="A876" s="39"/>
    </row>
    <row r="877" spans="1:1" x14ac:dyDescent="0.25">
      <c r="A877" s="39"/>
    </row>
    <row r="878" spans="1:1" x14ac:dyDescent="0.25">
      <c r="A878" s="39"/>
    </row>
    <row r="879" spans="1:1" x14ac:dyDescent="0.25">
      <c r="A879" s="39"/>
    </row>
    <row r="880" spans="1:1" x14ac:dyDescent="0.25">
      <c r="A880" s="39"/>
    </row>
    <row r="881" spans="1:1" x14ac:dyDescent="0.25">
      <c r="A881" s="39"/>
    </row>
    <row r="882" spans="1:1" x14ac:dyDescent="0.25">
      <c r="A882" s="39"/>
    </row>
    <row r="883" spans="1:1" x14ac:dyDescent="0.25">
      <c r="A883" s="39"/>
    </row>
    <row r="884" spans="1:1" x14ac:dyDescent="0.25">
      <c r="A884" s="39"/>
    </row>
    <row r="885" spans="1:1" x14ac:dyDescent="0.25">
      <c r="A885" s="39"/>
    </row>
    <row r="886" spans="1:1" x14ac:dyDescent="0.25">
      <c r="A886" s="39"/>
    </row>
    <row r="887" spans="1:1" x14ac:dyDescent="0.25">
      <c r="A887" s="39"/>
    </row>
    <row r="888" spans="1:1" x14ac:dyDescent="0.25">
      <c r="A888" s="39"/>
    </row>
    <row r="889" spans="1:1" x14ac:dyDescent="0.25">
      <c r="A889" s="39"/>
    </row>
    <row r="890" spans="1:1" x14ac:dyDescent="0.25">
      <c r="A890" s="39"/>
    </row>
    <row r="891" spans="1:1" x14ac:dyDescent="0.25">
      <c r="A891" s="39"/>
    </row>
    <row r="892" spans="1:1" x14ac:dyDescent="0.25">
      <c r="A892" s="39"/>
    </row>
    <row r="893" spans="1:1" x14ac:dyDescent="0.25">
      <c r="A893" s="39"/>
    </row>
    <row r="894" spans="1:1" x14ac:dyDescent="0.25">
      <c r="A894" s="39"/>
    </row>
    <row r="895" spans="1:1" x14ac:dyDescent="0.25">
      <c r="A895" s="39"/>
    </row>
    <row r="896" spans="1:1" x14ac:dyDescent="0.25">
      <c r="A896" s="39"/>
    </row>
    <row r="897" spans="1:1" x14ac:dyDescent="0.25">
      <c r="A897" s="39"/>
    </row>
    <row r="898" spans="1:1" x14ac:dyDescent="0.25">
      <c r="A898" s="39"/>
    </row>
    <row r="899" spans="1:1" x14ac:dyDescent="0.25">
      <c r="A899" s="39"/>
    </row>
    <row r="900" spans="1:1" x14ac:dyDescent="0.25">
      <c r="A900" s="39"/>
    </row>
    <row r="901" spans="1:1" x14ac:dyDescent="0.25">
      <c r="A901" s="39"/>
    </row>
    <row r="902" spans="1:1" x14ac:dyDescent="0.25">
      <c r="A902" s="39"/>
    </row>
    <row r="903" spans="1:1" x14ac:dyDescent="0.25">
      <c r="A903" s="39"/>
    </row>
    <row r="904" spans="1:1" x14ac:dyDescent="0.25">
      <c r="A904" s="39"/>
    </row>
    <row r="905" spans="1:1" x14ac:dyDescent="0.25">
      <c r="A905" s="39"/>
    </row>
    <row r="906" spans="1:1" x14ac:dyDescent="0.25">
      <c r="A906" s="39"/>
    </row>
    <row r="907" spans="1:1" x14ac:dyDescent="0.25">
      <c r="A907" s="39"/>
    </row>
    <row r="908" spans="1:1" x14ac:dyDescent="0.25">
      <c r="A908" s="39"/>
    </row>
    <row r="909" spans="1:1" x14ac:dyDescent="0.25">
      <c r="A909" s="39"/>
    </row>
    <row r="910" spans="1:1" x14ac:dyDescent="0.25">
      <c r="A910" s="39"/>
    </row>
    <row r="911" spans="1:1" x14ac:dyDescent="0.25">
      <c r="A911" s="39"/>
    </row>
    <row r="912" spans="1:1" x14ac:dyDescent="0.25">
      <c r="A912" s="39"/>
    </row>
    <row r="913" spans="1:1" x14ac:dyDescent="0.25">
      <c r="A913" s="39"/>
    </row>
    <row r="914" spans="1:1" x14ac:dyDescent="0.25">
      <c r="A914" s="39"/>
    </row>
    <row r="915" spans="1:1" x14ac:dyDescent="0.25">
      <c r="A915" s="39"/>
    </row>
    <row r="916" spans="1:1" x14ac:dyDescent="0.25">
      <c r="A916" s="39"/>
    </row>
    <row r="917" spans="1:1" x14ac:dyDescent="0.25">
      <c r="A917" s="39"/>
    </row>
    <row r="918" spans="1:1" x14ac:dyDescent="0.25">
      <c r="A918" s="39"/>
    </row>
    <row r="919" spans="1:1" x14ac:dyDescent="0.25">
      <c r="A919" s="39"/>
    </row>
    <row r="920" spans="1:1" x14ac:dyDescent="0.25">
      <c r="A920" s="39"/>
    </row>
    <row r="921" spans="1:1" x14ac:dyDescent="0.25">
      <c r="A921" s="39"/>
    </row>
    <row r="922" spans="1:1" x14ac:dyDescent="0.25">
      <c r="A922" s="39"/>
    </row>
    <row r="923" spans="1:1" x14ac:dyDescent="0.25">
      <c r="A923" s="39"/>
    </row>
    <row r="924" spans="1:1" x14ac:dyDescent="0.25">
      <c r="A924" s="39"/>
    </row>
    <row r="925" spans="1:1" x14ac:dyDescent="0.25">
      <c r="A925" s="39"/>
    </row>
    <row r="926" spans="1:1" x14ac:dyDescent="0.25">
      <c r="A926" s="39"/>
    </row>
    <row r="927" spans="1:1" x14ac:dyDescent="0.25">
      <c r="A927" s="39"/>
    </row>
    <row r="928" spans="1:1" x14ac:dyDescent="0.25">
      <c r="A928" s="39"/>
    </row>
    <row r="929" spans="1:1" x14ac:dyDescent="0.25">
      <c r="A929" s="39"/>
    </row>
    <row r="930" spans="1:1" x14ac:dyDescent="0.25">
      <c r="A930" s="39"/>
    </row>
    <row r="931" spans="1:1" x14ac:dyDescent="0.25">
      <c r="A931" s="39"/>
    </row>
    <row r="932" spans="1:1" x14ac:dyDescent="0.25">
      <c r="A932" s="39"/>
    </row>
    <row r="933" spans="1:1" x14ac:dyDescent="0.25">
      <c r="A933" s="39"/>
    </row>
    <row r="934" spans="1:1" x14ac:dyDescent="0.25">
      <c r="A934" s="39"/>
    </row>
    <row r="935" spans="1:1" x14ac:dyDescent="0.25">
      <c r="A935" s="39"/>
    </row>
    <row r="936" spans="1:1" x14ac:dyDescent="0.25">
      <c r="A936" s="39"/>
    </row>
    <row r="937" spans="1:1" x14ac:dyDescent="0.25">
      <c r="A937" s="39"/>
    </row>
    <row r="938" spans="1:1" x14ac:dyDescent="0.25">
      <c r="A938" s="39"/>
    </row>
    <row r="939" spans="1:1" x14ac:dyDescent="0.25">
      <c r="A939" s="39"/>
    </row>
    <row r="940" spans="1:1" x14ac:dyDescent="0.25">
      <c r="A940" s="39"/>
    </row>
    <row r="941" spans="1:1" x14ac:dyDescent="0.25">
      <c r="A941" s="39"/>
    </row>
    <row r="942" spans="1:1" x14ac:dyDescent="0.25">
      <c r="A942" s="39"/>
    </row>
    <row r="943" spans="1:1" x14ac:dyDescent="0.25">
      <c r="A943" s="39"/>
    </row>
    <row r="944" spans="1:1" x14ac:dyDescent="0.25">
      <c r="A944" s="39"/>
    </row>
    <row r="945" spans="1:1" x14ac:dyDescent="0.25">
      <c r="A945" s="39"/>
    </row>
    <row r="946" spans="1:1" x14ac:dyDescent="0.25">
      <c r="A946" s="39"/>
    </row>
    <row r="947" spans="1:1" x14ac:dyDescent="0.25">
      <c r="A947" s="39"/>
    </row>
    <row r="948" spans="1:1" x14ac:dyDescent="0.25">
      <c r="A948" s="39"/>
    </row>
    <row r="949" spans="1:1" x14ac:dyDescent="0.25">
      <c r="A949" s="39"/>
    </row>
    <row r="950" spans="1:1" x14ac:dyDescent="0.25">
      <c r="A950" s="39"/>
    </row>
    <row r="951" spans="1:1" x14ac:dyDescent="0.25">
      <c r="A951" s="39"/>
    </row>
    <row r="952" spans="1:1" x14ac:dyDescent="0.25">
      <c r="A952" s="39"/>
    </row>
    <row r="953" spans="1:1" x14ac:dyDescent="0.25">
      <c r="A953" s="39"/>
    </row>
    <row r="954" spans="1:1" x14ac:dyDescent="0.25">
      <c r="A954" s="39"/>
    </row>
    <row r="955" spans="1:1" x14ac:dyDescent="0.25">
      <c r="A955" s="39"/>
    </row>
    <row r="956" spans="1:1" x14ac:dyDescent="0.25">
      <c r="A956" s="39"/>
    </row>
    <row r="957" spans="1:1" x14ac:dyDescent="0.25">
      <c r="A957" s="39"/>
    </row>
    <row r="958" spans="1:1" x14ac:dyDescent="0.25">
      <c r="A958" s="39"/>
    </row>
    <row r="959" spans="1:1" x14ac:dyDescent="0.25">
      <c r="A959" s="39"/>
    </row>
    <row r="960" spans="1:1" x14ac:dyDescent="0.25">
      <c r="A960" s="39"/>
    </row>
    <row r="961" spans="1:1" x14ac:dyDescent="0.25">
      <c r="A961" s="39"/>
    </row>
    <row r="962" spans="1:1" x14ac:dyDescent="0.25">
      <c r="A962" s="39"/>
    </row>
    <row r="963" spans="1:1" x14ac:dyDescent="0.25">
      <c r="A963" s="39"/>
    </row>
    <row r="964" spans="1:1" x14ac:dyDescent="0.25">
      <c r="A964" s="39"/>
    </row>
    <row r="965" spans="1:1" x14ac:dyDescent="0.25">
      <c r="A965" s="39"/>
    </row>
    <row r="966" spans="1:1" x14ac:dyDescent="0.25">
      <c r="A966" s="39"/>
    </row>
    <row r="967" spans="1:1" x14ac:dyDescent="0.25">
      <c r="A967" s="39"/>
    </row>
    <row r="968" spans="1:1" x14ac:dyDescent="0.25">
      <c r="A968" s="39"/>
    </row>
    <row r="969" spans="1:1" x14ac:dyDescent="0.25">
      <c r="A969" s="39"/>
    </row>
    <row r="970" spans="1:1" x14ac:dyDescent="0.25">
      <c r="A970" s="39"/>
    </row>
    <row r="971" spans="1:1" x14ac:dyDescent="0.25">
      <c r="A971" s="39"/>
    </row>
    <row r="972" spans="1:1" x14ac:dyDescent="0.25">
      <c r="A972" s="39"/>
    </row>
    <row r="973" spans="1:1" x14ac:dyDescent="0.25">
      <c r="A973" s="39"/>
    </row>
    <row r="974" spans="1:1" x14ac:dyDescent="0.25">
      <c r="A974" s="39"/>
    </row>
    <row r="975" spans="1:1" x14ac:dyDescent="0.25">
      <c r="A975" s="39"/>
    </row>
    <row r="976" spans="1:1" x14ac:dyDescent="0.25">
      <c r="A976" s="39"/>
    </row>
    <row r="977" spans="1:1" x14ac:dyDescent="0.25">
      <c r="A977" s="39"/>
    </row>
    <row r="978" spans="1:1" x14ac:dyDescent="0.25">
      <c r="A978" s="39"/>
    </row>
    <row r="979" spans="1:1" x14ac:dyDescent="0.25">
      <c r="A979" s="39"/>
    </row>
    <row r="980" spans="1:1" x14ac:dyDescent="0.25">
      <c r="A980" s="39"/>
    </row>
    <row r="981" spans="1:1" x14ac:dyDescent="0.25">
      <c r="A981" s="39"/>
    </row>
    <row r="982" spans="1:1" x14ac:dyDescent="0.25">
      <c r="A982" s="39"/>
    </row>
    <row r="983" spans="1:1" x14ac:dyDescent="0.25">
      <c r="A983" s="39"/>
    </row>
    <row r="984" spans="1:1" x14ac:dyDescent="0.25">
      <c r="A984" s="39"/>
    </row>
    <row r="985" spans="1:1" x14ac:dyDescent="0.25">
      <c r="A985" s="39"/>
    </row>
    <row r="986" spans="1:1" x14ac:dyDescent="0.25">
      <c r="A986" s="39"/>
    </row>
    <row r="987" spans="1:1" x14ac:dyDescent="0.25">
      <c r="A987" s="39"/>
    </row>
    <row r="988" spans="1:1" x14ac:dyDescent="0.25">
      <c r="A988" s="39"/>
    </row>
    <row r="989" spans="1:1" x14ac:dyDescent="0.25">
      <c r="A989" s="39"/>
    </row>
    <row r="990" spans="1:1" x14ac:dyDescent="0.25">
      <c r="A990" s="39"/>
    </row>
    <row r="991" spans="1:1" x14ac:dyDescent="0.25">
      <c r="A991" s="39"/>
    </row>
    <row r="992" spans="1:1" x14ac:dyDescent="0.25">
      <c r="A992" s="39"/>
    </row>
    <row r="993" spans="1:1" x14ac:dyDescent="0.25">
      <c r="A993" s="39"/>
    </row>
    <row r="994" spans="1:1" x14ac:dyDescent="0.25">
      <c r="A994" s="39"/>
    </row>
    <row r="995" spans="1:1" x14ac:dyDescent="0.25">
      <c r="A995" s="39"/>
    </row>
    <row r="996" spans="1:1" x14ac:dyDescent="0.25">
      <c r="A996" s="39"/>
    </row>
    <row r="997" spans="1:1" x14ac:dyDescent="0.25">
      <c r="A997" s="39"/>
    </row>
    <row r="998" spans="1:1" x14ac:dyDescent="0.25">
      <c r="A998" s="39"/>
    </row>
    <row r="999" spans="1:1" x14ac:dyDescent="0.25">
      <c r="A999" s="39"/>
    </row>
    <row r="1000" spans="1:1" x14ac:dyDescent="0.25">
      <c r="A1000" s="39"/>
    </row>
    <row r="1001" spans="1:1" x14ac:dyDescent="0.25">
      <c r="A1001" s="39"/>
    </row>
  </sheetData>
  <dataValidations count="2">
    <dataValidation type="whole" allowBlank="1" showInputMessage="1" showErrorMessage="1" sqref="E2" xr:uid="{9F0C8AAD-9F6B-4F2F-BAF8-637C770FA51B}">
      <formula1>0</formula1>
      <formula2>6</formula2>
    </dataValidation>
    <dataValidation type="whole" allowBlank="1" showInputMessage="1" showErrorMessage="1" sqref="B2:C2" xr:uid="{586F776B-E00F-4FA5-832D-2103DB28F5D2}">
      <formula1>25</formula1>
      <formula2>64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700F-722E-48DE-8E27-0B7BC4C8D66B}">
  <sheetPr codeName="Sheet2"/>
  <dimension ref="A1:T3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defaultColWidth="9.28515625" defaultRowHeight="15" x14ac:dyDescent="0.25"/>
  <cols>
    <col min="1" max="1" width="9.28515625" style="5"/>
    <col min="2" max="2" width="4.42578125" style="5" bestFit="1" customWidth="1"/>
    <col min="3" max="3" width="19.42578125" style="5" bestFit="1" customWidth="1"/>
    <col min="4" max="4" width="11.7109375" bestFit="1" customWidth="1"/>
    <col min="5" max="5" width="20.5703125" bestFit="1" customWidth="1"/>
    <col min="6" max="6" width="17.28515625" bestFit="1" customWidth="1"/>
    <col min="7" max="7" width="22.85546875" hidden="1" customWidth="1"/>
    <col min="8" max="8" width="24.85546875" bestFit="1" customWidth="1"/>
    <col min="9" max="9" width="8.85546875" hidden="1" customWidth="1"/>
    <col min="10" max="10" width="20" bestFit="1" customWidth="1"/>
    <col min="11" max="11" width="21.42578125" hidden="1" customWidth="1"/>
    <col min="12" max="12" width="13.7109375" style="5" bestFit="1" customWidth="1"/>
    <col min="13" max="13" width="22.28515625" bestFit="1" customWidth="1"/>
    <col min="14" max="14" width="16.140625" customWidth="1"/>
    <col min="15" max="15" width="18" bestFit="1" customWidth="1"/>
    <col min="16" max="16" width="17" bestFit="1" customWidth="1"/>
    <col min="17" max="17" width="17.5703125" style="5" bestFit="1" customWidth="1"/>
    <col min="18" max="18" width="30.7109375" style="5" hidden="1" customWidth="1"/>
    <col min="19" max="19" width="22.28515625" bestFit="1" customWidth="1"/>
    <col min="20" max="20" width="24.42578125" bestFit="1" customWidth="1"/>
  </cols>
  <sheetData>
    <row r="1" spans="1:20" s="1" customFormat="1" ht="19.5" customHeight="1" x14ac:dyDescent="0.25">
      <c r="A1" s="4" t="s">
        <v>0</v>
      </c>
      <c r="B1" s="4" t="s">
        <v>1</v>
      </c>
      <c r="C1" s="4" t="s">
        <v>2</v>
      </c>
      <c r="D1" s="1" t="s">
        <v>6</v>
      </c>
      <c r="E1" s="1" t="s">
        <v>27</v>
      </c>
      <c r="F1" s="1" t="s">
        <v>3</v>
      </c>
      <c r="G1" s="1" t="s">
        <v>25</v>
      </c>
      <c r="H1" s="1" t="s">
        <v>4</v>
      </c>
      <c r="I1" s="1" t="s">
        <v>26</v>
      </c>
      <c r="J1" s="1" t="s">
        <v>5</v>
      </c>
      <c r="K1" s="1" t="s">
        <v>14</v>
      </c>
      <c r="L1" s="4" t="s">
        <v>10</v>
      </c>
      <c r="M1" s="1" t="s">
        <v>29</v>
      </c>
      <c r="N1" s="1" t="s">
        <v>15</v>
      </c>
      <c r="O1" s="1" t="s">
        <v>11</v>
      </c>
      <c r="P1" s="1" t="s">
        <v>12</v>
      </c>
      <c r="Q1" s="4" t="s">
        <v>16</v>
      </c>
      <c r="R1" s="4" t="s">
        <v>13</v>
      </c>
      <c r="S1" s="1" t="s">
        <v>37</v>
      </c>
      <c r="T1" s="1" t="s">
        <v>28</v>
      </c>
    </row>
    <row r="2" spans="1:20" x14ac:dyDescent="0.25">
      <c r="A2" s="5">
        <v>20</v>
      </c>
      <c r="B2" s="7">
        <v>30</v>
      </c>
      <c r="C2" s="5">
        <f t="shared" ref="C2:C23" si="0">65-B2</f>
        <v>35</v>
      </c>
      <c r="D2" s="8">
        <v>1</v>
      </c>
      <c r="E2" s="8">
        <v>0</v>
      </c>
      <c r="F2" s="15">
        <v>225000</v>
      </c>
      <c r="G2" s="3">
        <f t="shared" ref="G2:G23" si="1">F2*6%/12</f>
        <v>1125</v>
      </c>
      <c r="H2" s="10">
        <v>180000</v>
      </c>
      <c r="I2" s="11">
        <f t="shared" ref="I2:I23" si="2">F2-H2</f>
        <v>45000</v>
      </c>
      <c r="J2" s="14">
        <v>83000</v>
      </c>
      <c r="K2" s="3">
        <f t="shared" ref="K2:K23" si="3">J2/12</f>
        <v>6916.666666666667</v>
      </c>
      <c r="L2" s="9">
        <f>((J2/(50-C2)) + (H2/(D2+E2))) * 1/(2^12)</f>
        <v>45.296223958333336</v>
      </c>
      <c r="M2" s="3">
        <f t="shared" ref="M2:M23" si="4">F2/L2</f>
        <v>4967.3014732303263</v>
      </c>
      <c r="N2" s="12">
        <f t="shared" ref="N2:N23" si="5">M2/F2</f>
        <v>2.2076895436579227E-2</v>
      </c>
      <c r="O2" s="13">
        <f t="shared" ref="O2:O23" si="6">F2-M2</f>
        <v>220032.69852676967</v>
      </c>
      <c r="P2" s="2">
        <f>IF(J2&gt;=100000,O2/84, IF(C2&gt;14,O2/300, 100))</f>
        <v>733.44232842256554</v>
      </c>
      <c r="Q2" s="5">
        <f>IF(C2&gt;9, 7, IF(B2&gt;=60, C2, 7))</f>
        <v>7</v>
      </c>
      <c r="R2" s="5">
        <f t="shared" ref="R2:R23" si="7">P2/(J2/12)</f>
        <v>0.10603985471169622</v>
      </c>
      <c r="S2" s="3">
        <f t="shared" ref="S2:S23" si="8">P2*Q2*12</f>
        <v>61609.155587495501</v>
      </c>
      <c r="T2" s="12">
        <f t="shared" ref="T2:T23" si="9">1 - S2/F2</f>
        <v>0.72618153072224223</v>
      </c>
    </row>
    <row r="3" spans="1:20" x14ac:dyDescent="0.25">
      <c r="A3" s="5">
        <v>4</v>
      </c>
      <c r="B3" s="7">
        <v>32</v>
      </c>
      <c r="C3" s="5">
        <f t="shared" si="0"/>
        <v>33</v>
      </c>
      <c r="D3" s="8">
        <v>1</v>
      </c>
      <c r="E3" s="8">
        <v>0</v>
      </c>
      <c r="F3" s="15">
        <v>142759</v>
      </c>
      <c r="G3" s="3">
        <f t="shared" si="1"/>
        <v>713.79499999999996</v>
      </c>
      <c r="H3" s="10">
        <f>0.68*F3</f>
        <v>97076.12000000001</v>
      </c>
      <c r="I3" s="11">
        <f t="shared" si="2"/>
        <v>45682.87999999999</v>
      </c>
      <c r="J3" s="14">
        <v>159684</v>
      </c>
      <c r="K3" s="3">
        <f t="shared" si="3"/>
        <v>13307</v>
      </c>
      <c r="L3" s="9">
        <f t="shared" ref="L3:L23" si="10">((J3/(50-C3)) + (H3/(D3+E3))) * 1/(2^12)</f>
        <v>25.993480583639709</v>
      </c>
      <c r="M3" s="3">
        <f t="shared" si="4"/>
        <v>5492.1078976184699</v>
      </c>
      <c r="N3" s="12">
        <f t="shared" si="5"/>
        <v>3.8471184987415641E-2</v>
      </c>
      <c r="O3" s="13">
        <f t="shared" si="6"/>
        <v>137266.89210238153</v>
      </c>
      <c r="P3" s="2">
        <f t="shared" ref="P3:P23" si="11">IF(J3&gt;=100000,O3/84, IF(C3&gt;14,O3/300, 100))</f>
        <v>1634.1296678854944</v>
      </c>
      <c r="Q3" s="5">
        <f t="shared" ref="Q3:Q23" si="12">IF(C3&gt;9, 7, IF(B3&gt;=60, C3, 7))</f>
        <v>7</v>
      </c>
      <c r="R3" s="6">
        <f t="shared" si="7"/>
        <v>0.12280225955403129</v>
      </c>
      <c r="S3" s="3">
        <f t="shared" si="8"/>
        <v>137266.89210238153</v>
      </c>
      <c r="T3" s="12">
        <f t="shared" si="9"/>
        <v>3.8471184987415641E-2</v>
      </c>
    </row>
    <row r="4" spans="1:20" x14ac:dyDescent="0.25">
      <c r="A4" s="5">
        <v>6</v>
      </c>
      <c r="B4" s="7">
        <v>34</v>
      </c>
      <c r="C4" s="5">
        <f t="shared" si="0"/>
        <v>31</v>
      </c>
      <c r="D4" s="8">
        <v>3</v>
      </c>
      <c r="E4" s="8">
        <v>2</v>
      </c>
      <c r="F4" s="15">
        <v>125338</v>
      </c>
      <c r="G4" s="3">
        <f t="shared" si="1"/>
        <v>626.68999999999994</v>
      </c>
      <c r="H4" s="10">
        <f>F4*0.45</f>
        <v>56402.1</v>
      </c>
      <c r="I4" s="11">
        <f t="shared" si="2"/>
        <v>68935.899999999994</v>
      </c>
      <c r="J4" s="14">
        <v>58605</v>
      </c>
      <c r="K4" s="3">
        <f t="shared" si="3"/>
        <v>4883.75</v>
      </c>
      <c r="L4" s="9">
        <f t="shared" si="10"/>
        <v>3.5070541221217106</v>
      </c>
      <c r="M4" s="3">
        <f t="shared" si="4"/>
        <v>35738.826843131967</v>
      </c>
      <c r="N4" s="12">
        <f t="shared" si="5"/>
        <v>0.28513959727402677</v>
      </c>
      <c r="O4" s="13">
        <f t="shared" si="6"/>
        <v>89599.173156868026</v>
      </c>
      <c r="P4" s="2">
        <f t="shared" si="11"/>
        <v>298.66391052289345</v>
      </c>
      <c r="Q4" s="5">
        <f t="shared" si="12"/>
        <v>7</v>
      </c>
      <c r="R4" s="6">
        <f t="shared" si="7"/>
        <v>6.1154627186668739E-2</v>
      </c>
      <c r="S4" s="3">
        <f t="shared" si="8"/>
        <v>25087.76848392305</v>
      </c>
      <c r="T4" s="12">
        <f t="shared" si="9"/>
        <v>0.79983908723672748</v>
      </c>
    </row>
    <row r="5" spans="1:20" x14ac:dyDescent="0.25">
      <c r="A5" s="5">
        <v>12</v>
      </c>
      <c r="B5" s="7">
        <v>49</v>
      </c>
      <c r="C5" s="5">
        <f t="shared" si="0"/>
        <v>16</v>
      </c>
      <c r="D5" s="8">
        <v>2</v>
      </c>
      <c r="E5" s="8">
        <v>2</v>
      </c>
      <c r="F5" s="15">
        <v>113000</v>
      </c>
      <c r="G5" s="3">
        <f t="shared" si="1"/>
        <v>565</v>
      </c>
      <c r="H5" s="10">
        <v>75000</v>
      </c>
      <c r="I5" s="11">
        <f t="shared" si="2"/>
        <v>38000</v>
      </c>
      <c r="J5" s="14">
        <v>196000</v>
      </c>
      <c r="K5" s="3">
        <f t="shared" si="3"/>
        <v>16333.333333333334</v>
      </c>
      <c r="L5" s="9">
        <f t="shared" si="10"/>
        <v>5.9850356158088234</v>
      </c>
      <c r="M5" s="3">
        <f t="shared" si="4"/>
        <v>18880.422315536893</v>
      </c>
      <c r="N5" s="12">
        <f t="shared" si="5"/>
        <v>0.16708338332333533</v>
      </c>
      <c r="O5" s="13">
        <f t="shared" si="6"/>
        <v>94119.577684463104</v>
      </c>
      <c r="P5" s="2">
        <f t="shared" si="11"/>
        <v>1120.4711629102751</v>
      </c>
      <c r="Q5" s="5">
        <f t="shared" si="12"/>
        <v>7</v>
      </c>
      <c r="R5" s="6">
        <f t="shared" si="7"/>
        <v>6.8600275280220918E-2</v>
      </c>
      <c r="S5" s="3">
        <f t="shared" si="8"/>
        <v>94119.577684463118</v>
      </c>
      <c r="T5" s="12">
        <f t="shared" si="9"/>
        <v>0.16708338332333528</v>
      </c>
    </row>
    <row r="6" spans="1:20" x14ac:dyDescent="0.25">
      <c r="A6" s="5">
        <v>3</v>
      </c>
      <c r="B6" s="7">
        <v>62</v>
      </c>
      <c r="C6" s="5">
        <f t="shared" si="0"/>
        <v>3</v>
      </c>
      <c r="D6" s="8">
        <v>2</v>
      </c>
      <c r="E6" s="8">
        <v>0</v>
      </c>
      <c r="F6" s="15">
        <v>105499</v>
      </c>
      <c r="G6" s="3">
        <f t="shared" si="1"/>
        <v>527.495</v>
      </c>
      <c r="H6" s="10">
        <f>F6 * 0.55</f>
        <v>58024.450000000004</v>
      </c>
      <c r="I6" s="11">
        <f t="shared" si="2"/>
        <v>47474.549999999996</v>
      </c>
      <c r="J6" s="14">
        <v>68067</v>
      </c>
      <c r="K6" s="3">
        <f t="shared" si="3"/>
        <v>5672.25</v>
      </c>
      <c r="L6" s="9">
        <f t="shared" si="10"/>
        <v>7.4366355084358382</v>
      </c>
      <c r="M6" s="3">
        <f t="shared" si="4"/>
        <v>14186.38843874033</v>
      </c>
      <c r="N6" s="12">
        <f t="shared" si="5"/>
        <v>0.13446941145167565</v>
      </c>
      <c r="O6" s="13">
        <f t="shared" si="6"/>
        <v>91312.611561259662</v>
      </c>
      <c r="P6" s="2">
        <f t="shared" si="11"/>
        <v>100</v>
      </c>
      <c r="Q6" s="5">
        <f t="shared" si="12"/>
        <v>3</v>
      </c>
      <c r="R6" s="6">
        <f t="shared" si="7"/>
        <v>1.7629688395257612E-2</v>
      </c>
      <c r="S6" s="3">
        <f t="shared" si="8"/>
        <v>3600</v>
      </c>
      <c r="T6" s="12">
        <f t="shared" si="9"/>
        <v>0.96587645380524934</v>
      </c>
    </row>
    <row r="7" spans="1:20" x14ac:dyDescent="0.25">
      <c r="A7" s="5">
        <v>8</v>
      </c>
      <c r="B7" s="7">
        <v>29</v>
      </c>
      <c r="C7" s="5">
        <f t="shared" si="0"/>
        <v>36</v>
      </c>
      <c r="D7" s="8">
        <v>1</v>
      </c>
      <c r="E7" s="8">
        <v>0</v>
      </c>
      <c r="F7" s="15">
        <v>87505</v>
      </c>
      <c r="G7" s="3">
        <f t="shared" si="1"/>
        <v>437.52500000000003</v>
      </c>
      <c r="H7" s="10">
        <v>49100</v>
      </c>
      <c r="I7" s="11">
        <f t="shared" si="2"/>
        <v>38405</v>
      </c>
      <c r="J7" s="14">
        <v>86500</v>
      </c>
      <c r="K7" s="3">
        <f t="shared" si="3"/>
        <v>7208.333333333333</v>
      </c>
      <c r="L7" s="9">
        <f t="shared" si="10"/>
        <v>13.495744977678571</v>
      </c>
      <c r="M7" s="3">
        <f t="shared" si="4"/>
        <v>6483.8954903734329</v>
      </c>
      <c r="N7" s="12">
        <f t="shared" si="5"/>
        <v>7.4097428608347324E-2</v>
      </c>
      <c r="O7" s="13">
        <f t="shared" si="6"/>
        <v>81021.104509626573</v>
      </c>
      <c r="P7" s="2">
        <f t="shared" si="11"/>
        <v>270.07034836542192</v>
      </c>
      <c r="Q7" s="5">
        <f t="shared" si="12"/>
        <v>7</v>
      </c>
      <c r="R7" s="6">
        <f t="shared" si="7"/>
        <v>3.7466406709653913E-2</v>
      </c>
      <c r="S7" s="3">
        <f t="shared" si="8"/>
        <v>22685.909262695441</v>
      </c>
      <c r="T7" s="12">
        <f t="shared" si="9"/>
        <v>0.74074728001033718</v>
      </c>
    </row>
    <row r="8" spans="1:20" x14ac:dyDescent="0.25">
      <c r="A8" s="5">
        <v>19</v>
      </c>
      <c r="B8" s="7">
        <v>56</v>
      </c>
      <c r="C8" s="5">
        <f t="shared" si="0"/>
        <v>9</v>
      </c>
      <c r="D8" s="8">
        <v>2</v>
      </c>
      <c r="E8" s="8">
        <v>0</v>
      </c>
      <c r="F8" s="15">
        <v>74000</v>
      </c>
      <c r="G8" s="3">
        <f t="shared" si="1"/>
        <v>370</v>
      </c>
      <c r="H8" s="10">
        <v>26000</v>
      </c>
      <c r="I8" s="11">
        <f t="shared" si="2"/>
        <v>48000</v>
      </c>
      <c r="J8" s="14">
        <v>28000</v>
      </c>
      <c r="K8" s="3">
        <f t="shared" si="3"/>
        <v>2333.3333333333335</v>
      </c>
      <c r="L8" s="9">
        <f t="shared" si="10"/>
        <v>3.3405583079268291</v>
      </c>
      <c r="M8" s="3">
        <f t="shared" si="4"/>
        <v>22151.985739750446</v>
      </c>
      <c r="N8" s="12">
        <f t="shared" si="5"/>
        <v>0.29935115864527628</v>
      </c>
      <c r="O8" s="13">
        <f t="shared" si="6"/>
        <v>51848.014260249554</v>
      </c>
      <c r="P8" s="2">
        <f t="shared" si="11"/>
        <v>100</v>
      </c>
      <c r="Q8" s="5">
        <f t="shared" si="12"/>
        <v>7</v>
      </c>
      <c r="R8" s="5">
        <f t="shared" si="7"/>
        <v>4.2857142857142858E-2</v>
      </c>
      <c r="S8" s="3">
        <f t="shared" si="8"/>
        <v>8400</v>
      </c>
      <c r="T8" s="12">
        <f t="shared" si="9"/>
        <v>0.88648648648648654</v>
      </c>
    </row>
    <row r="9" spans="1:20" x14ac:dyDescent="0.25">
      <c r="A9" s="5">
        <v>11</v>
      </c>
      <c r="B9" s="7">
        <v>26</v>
      </c>
      <c r="C9" s="5">
        <f t="shared" si="0"/>
        <v>39</v>
      </c>
      <c r="D9" s="8">
        <v>1</v>
      </c>
      <c r="E9" s="8">
        <v>0</v>
      </c>
      <c r="F9" s="15">
        <v>71545</v>
      </c>
      <c r="G9" s="3">
        <f t="shared" si="1"/>
        <v>357.72499999999997</v>
      </c>
      <c r="H9" s="10">
        <v>56250</v>
      </c>
      <c r="I9" s="11">
        <f t="shared" si="2"/>
        <v>15295</v>
      </c>
      <c r="J9" s="14">
        <v>48000</v>
      </c>
      <c r="K9" s="3">
        <f t="shared" si="3"/>
        <v>4000</v>
      </c>
      <c r="L9" s="9">
        <f t="shared" si="10"/>
        <v>14.79825106534091</v>
      </c>
      <c r="M9" s="3">
        <f t="shared" si="4"/>
        <v>4834.6929433820769</v>
      </c>
      <c r="N9" s="12">
        <f t="shared" si="5"/>
        <v>6.7575553055868015E-2</v>
      </c>
      <c r="O9" s="13">
        <f t="shared" si="6"/>
        <v>66710.307056617923</v>
      </c>
      <c r="P9" s="2">
        <f t="shared" si="11"/>
        <v>222.36769018872641</v>
      </c>
      <c r="Q9" s="5">
        <f t="shared" si="12"/>
        <v>7</v>
      </c>
      <c r="R9" s="6">
        <f t="shared" si="7"/>
        <v>5.5591922547181601E-2</v>
      </c>
      <c r="S9" s="3">
        <f t="shared" si="8"/>
        <v>18678.88597585302</v>
      </c>
      <c r="T9" s="12">
        <f t="shared" si="9"/>
        <v>0.73892115485564303</v>
      </c>
    </row>
    <row r="10" spans="1:20" x14ac:dyDescent="0.25">
      <c r="A10" s="5">
        <v>7</v>
      </c>
      <c r="B10" s="7">
        <v>40</v>
      </c>
      <c r="C10" s="5">
        <f t="shared" si="0"/>
        <v>25</v>
      </c>
      <c r="D10" s="8">
        <v>2</v>
      </c>
      <c r="E10" s="8">
        <v>2</v>
      </c>
      <c r="F10" s="15">
        <v>66205</v>
      </c>
      <c r="G10" s="3">
        <f t="shared" si="1"/>
        <v>331.02499999999998</v>
      </c>
      <c r="H10" s="10">
        <v>37500</v>
      </c>
      <c r="I10" s="11">
        <f t="shared" si="2"/>
        <v>28705</v>
      </c>
      <c r="J10" s="14">
        <v>72000</v>
      </c>
      <c r="K10" s="3">
        <f t="shared" si="3"/>
        <v>6000</v>
      </c>
      <c r="L10" s="9">
        <f t="shared" si="10"/>
        <v>2.991943359375</v>
      </c>
      <c r="M10" s="3">
        <f t="shared" si="4"/>
        <v>22127.758465932271</v>
      </c>
      <c r="N10" s="12">
        <f t="shared" si="5"/>
        <v>0.33423092615259076</v>
      </c>
      <c r="O10" s="13">
        <f t="shared" si="6"/>
        <v>44077.241534067725</v>
      </c>
      <c r="P10" s="2">
        <f t="shared" si="11"/>
        <v>146.92413844689241</v>
      </c>
      <c r="Q10" s="5">
        <f t="shared" si="12"/>
        <v>7</v>
      </c>
      <c r="R10" s="6">
        <f t="shared" si="7"/>
        <v>2.4487356407815401E-2</v>
      </c>
      <c r="S10" s="3">
        <f t="shared" si="8"/>
        <v>12341.627629538963</v>
      </c>
      <c r="T10" s="12">
        <f t="shared" si="9"/>
        <v>0.81358465932272539</v>
      </c>
    </row>
    <row r="11" spans="1:20" x14ac:dyDescent="0.25">
      <c r="A11" s="5">
        <v>18</v>
      </c>
      <c r="B11" s="7">
        <v>35</v>
      </c>
      <c r="C11" s="5">
        <f t="shared" si="0"/>
        <v>30</v>
      </c>
      <c r="D11" s="8">
        <v>2</v>
      </c>
      <c r="E11" s="8">
        <v>0</v>
      </c>
      <c r="F11" s="15">
        <v>61000</v>
      </c>
      <c r="G11" s="3">
        <f t="shared" si="1"/>
        <v>305</v>
      </c>
      <c r="H11" s="10">
        <v>40000</v>
      </c>
      <c r="I11" s="11">
        <f t="shared" si="2"/>
        <v>21000</v>
      </c>
      <c r="J11" s="14">
        <v>48000</v>
      </c>
      <c r="K11" s="3">
        <f t="shared" si="3"/>
        <v>4000</v>
      </c>
      <c r="L11" s="9">
        <f t="shared" si="10"/>
        <v>5.46875</v>
      </c>
      <c r="M11" s="3">
        <f t="shared" si="4"/>
        <v>11154.285714285714</v>
      </c>
      <c r="N11" s="12">
        <f t="shared" si="5"/>
        <v>0.18285714285714286</v>
      </c>
      <c r="O11" s="13">
        <f t="shared" si="6"/>
        <v>49845.71428571429</v>
      </c>
      <c r="P11" s="2">
        <f t="shared" si="11"/>
        <v>166.15238095238098</v>
      </c>
      <c r="Q11" s="5">
        <f t="shared" si="12"/>
        <v>7</v>
      </c>
      <c r="R11" s="6">
        <f t="shared" si="7"/>
        <v>4.1538095238095242E-2</v>
      </c>
      <c r="S11" s="3">
        <f t="shared" si="8"/>
        <v>13956.800000000003</v>
      </c>
      <c r="T11" s="12">
        <f t="shared" si="9"/>
        <v>0.77119999999999989</v>
      </c>
    </row>
    <row r="12" spans="1:20" x14ac:dyDescent="0.25">
      <c r="A12" s="5">
        <v>15</v>
      </c>
      <c r="B12" s="7">
        <v>24</v>
      </c>
      <c r="C12" s="5">
        <f t="shared" si="0"/>
        <v>41</v>
      </c>
      <c r="D12" s="8">
        <v>1</v>
      </c>
      <c r="E12" s="8">
        <v>0</v>
      </c>
      <c r="F12" s="15">
        <v>56000</v>
      </c>
      <c r="G12" s="3">
        <f t="shared" si="1"/>
        <v>280</v>
      </c>
      <c r="H12" s="10">
        <v>48500</v>
      </c>
      <c r="I12" s="11">
        <f t="shared" si="2"/>
        <v>7500</v>
      </c>
      <c r="J12" s="14">
        <v>44000</v>
      </c>
      <c r="K12" s="3">
        <f t="shared" si="3"/>
        <v>3666.6666666666665</v>
      </c>
      <c r="L12" s="9">
        <f t="shared" si="10"/>
        <v>13.034396701388889</v>
      </c>
      <c r="M12" s="3">
        <f t="shared" si="4"/>
        <v>4296.3246618106141</v>
      </c>
      <c r="N12" s="12">
        <f t="shared" si="5"/>
        <v>7.6720083246618109E-2</v>
      </c>
      <c r="O12" s="13">
        <f t="shared" si="6"/>
        <v>51703.675338189387</v>
      </c>
      <c r="P12" s="2">
        <f t="shared" si="11"/>
        <v>172.3455844606313</v>
      </c>
      <c r="Q12" s="5">
        <f t="shared" si="12"/>
        <v>7</v>
      </c>
      <c r="R12" s="6">
        <f t="shared" si="7"/>
        <v>4.7003341216535814E-2</v>
      </c>
      <c r="S12" s="3">
        <f t="shared" si="8"/>
        <v>14477.029094693029</v>
      </c>
      <c r="T12" s="12">
        <f t="shared" si="9"/>
        <v>0.7414816233090531</v>
      </c>
    </row>
    <row r="13" spans="1:20" x14ac:dyDescent="0.25">
      <c r="A13" s="5">
        <v>5</v>
      </c>
      <c r="B13" s="7">
        <v>61</v>
      </c>
      <c r="C13" s="5">
        <f t="shared" si="0"/>
        <v>4</v>
      </c>
      <c r="D13" s="8">
        <v>2</v>
      </c>
      <c r="E13" s="8">
        <v>0</v>
      </c>
      <c r="F13" s="15">
        <v>51878</v>
      </c>
      <c r="G13" s="3">
        <f t="shared" si="1"/>
        <v>259.39</v>
      </c>
      <c r="H13" s="10">
        <f>F13*0.35</f>
        <v>18157.3</v>
      </c>
      <c r="I13" s="11">
        <f t="shared" si="2"/>
        <v>33720.699999999997</v>
      </c>
      <c r="J13" s="14">
        <v>48624</v>
      </c>
      <c r="K13" s="3">
        <f t="shared" si="3"/>
        <v>4052</v>
      </c>
      <c r="L13" s="9">
        <f t="shared" si="10"/>
        <v>2.4745345405910326</v>
      </c>
      <c r="M13" s="3">
        <f t="shared" si="4"/>
        <v>20964.750804249896</v>
      </c>
      <c r="N13" s="12">
        <f t="shared" si="5"/>
        <v>0.4041164039525405</v>
      </c>
      <c r="O13" s="13">
        <f t="shared" si="6"/>
        <v>30913.249195750104</v>
      </c>
      <c r="P13" s="2">
        <f t="shared" si="11"/>
        <v>100</v>
      </c>
      <c r="Q13" s="5">
        <f t="shared" si="12"/>
        <v>4</v>
      </c>
      <c r="R13" s="6">
        <f t="shared" si="7"/>
        <v>2.4679170779861797E-2</v>
      </c>
      <c r="S13" s="3">
        <f t="shared" si="8"/>
        <v>4800</v>
      </c>
      <c r="T13" s="12">
        <f t="shared" si="9"/>
        <v>0.90747523034812438</v>
      </c>
    </row>
    <row r="14" spans="1:20" x14ac:dyDescent="0.25">
      <c r="A14" s="5">
        <v>17</v>
      </c>
      <c r="B14" s="7">
        <v>46</v>
      </c>
      <c r="C14" s="5">
        <f t="shared" si="0"/>
        <v>19</v>
      </c>
      <c r="D14" s="8">
        <v>1</v>
      </c>
      <c r="E14" s="8">
        <v>0</v>
      </c>
      <c r="F14" s="15">
        <v>50000</v>
      </c>
      <c r="G14" s="3">
        <f t="shared" si="1"/>
        <v>250</v>
      </c>
      <c r="H14" s="10">
        <v>20000</v>
      </c>
      <c r="I14" s="11">
        <f t="shared" si="2"/>
        <v>30000</v>
      </c>
      <c r="J14" s="14">
        <v>40000</v>
      </c>
      <c r="K14" s="3">
        <f t="shared" si="3"/>
        <v>3333.3333333333335</v>
      </c>
      <c r="L14" s="9">
        <f t="shared" si="10"/>
        <v>5.197832661290323</v>
      </c>
      <c r="M14" s="3">
        <f t="shared" si="4"/>
        <v>9619.3939393939381</v>
      </c>
      <c r="N14" s="12">
        <f t="shared" si="5"/>
        <v>0.19238787878787877</v>
      </c>
      <c r="O14" s="13">
        <f t="shared" si="6"/>
        <v>40380.606060606064</v>
      </c>
      <c r="P14" s="2">
        <f t="shared" si="11"/>
        <v>134.60202020202021</v>
      </c>
      <c r="Q14" s="5">
        <f t="shared" si="12"/>
        <v>7</v>
      </c>
      <c r="R14" s="6">
        <f t="shared" si="7"/>
        <v>4.0380606060606061E-2</v>
      </c>
      <c r="S14" s="3">
        <f t="shared" si="8"/>
        <v>11306.569696969698</v>
      </c>
      <c r="T14" s="12">
        <f t="shared" si="9"/>
        <v>0.77386860606060603</v>
      </c>
    </row>
    <row r="15" spans="1:20" x14ac:dyDescent="0.25">
      <c r="A15" s="5">
        <v>1</v>
      </c>
      <c r="B15" s="7">
        <v>43</v>
      </c>
      <c r="C15" s="5">
        <f t="shared" si="0"/>
        <v>22</v>
      </c>
      <c r="D15" s="8">
        <v>3</v>
      </c>
      <c r="E15" s="8">
        <v>1</v>
      </c>
      <c r="F15" s="15">
        <v>49100</v>
      </c>
      <c r="G15" s="3">
        <f t="shared" si="1"/>
        <v>245.5</v>
      </c>
      <c r="H15" s="10">
        <v>20000</v>
      </c>
      <c r="I15" s="11">
        <f t="shared" si="2"/>
        <v>29100</v>
      </c>
      <c r="J15" s="14">
        <v>65000</v>
      </c>
      <c r="K15" s="3">
        <f t="shared" si="3"/>
        <v>5416.666666666667</v>
      </c>
      <c r="L15" s="9">
        <f t="shared" si="10"/>
        <v>1.7874581473214286</v>
      </c>
      <c r="M15" s="3">
        <f t="shared" si="4"/>
        <v>27469.17463414634</v>
      </c>
      <c r="N15" s="12">
        <f t="shared" si="5"/>
        <v>0.55945365853658535</v>
      </c>
      <c r="O15" s="13">
        <f t="shared" si="6"/>
        <v>21630.82536585366</v>
      </c>
      <c r="P15" s="2">
        <f t="shared" si="11"/>
        <v>72.1027512195122</v>
      </c>
      <c r="Q15" s="5">
        <f t="shared" si="12"/>
        <v>7</v>
      </c>
      <c r="R15" s="6">
        <f t="shared" si="7"/>
        <v>1.3311277148217636E-2</v>
      </c>
      <c r="S15" s="3">
        <f t="shared" si="8"/>
        <v>6056.6311024390252</v>
      </c>
      <c r="T15" s="12">
        <f t="shared" si="9"/>
        <v>0.87664702439024389</v>
      </c>
    </row>
    <row r="16" spans="1:20" x14ac:dyDescent="0.25">
      <c r="A16" s="5">
        <v>14</v>
      </c>
      <c r="B16" s="7">
        <v>37</v>
      </c>
      <c r="C16" s="5">
        <f t="shared" si="0"/>
        <v>28</v>
      </c>
      <c r="D16" s="8">
        <v>3</v>
      </c>
      <c r="E16" s="8">
        <v>2</v>
      </c>
      <c r="F16" s="15">
        <v>48300</v>
      </c>
      <c r="G16" s="3">
        <f t="shared" si="1"/>
        <v>241.5</v>
      </c>
      <c r="H16" s="10">
        <v>25000</v>
      </c>
      <c r="I16" s="11">
        <f t="shared" si="2"/>
        <v>23300</v>
      </c>
      <c r="J16" s="14">
        <v>38000</v>
      </c>
      <c r="K16" s="3">
        <f t="shared" si="3"/>
        <v>3166.6666666666665</v>
      </c>
      <c r="L16" s="9">
        <f t="shared" si="10"/>
        <v>1.6424005681818181</v>
      </c>
      <c r="M16" s="3">
        <f t="shared" si="4"/>
        <v>29408.172972972974</v>
      </c>
      <c r="N16" s="12">
        <f t="shared" si="5"/>
        <v>0.60886486486486491</v>
      </c>
      <c r="O16" s="13">
        <f t="shared" si="6"/>
        <v>18891.827027027026</v>
      </c>
      <c r="P16" s="2">
        <f t="shared" si="11"/>
        <v>62.972756756756752</v>
      </c>
      <c r="Q16" s="5">
        <f t="shared" si="12"/>
        <v>7</v>
      </c>
      <c r="R16" s="6">
        <f t="shared" si="7"/>
        <v>1.9886133712660028E-2</v>
      </c>
      <c r="S16" s="3">
        <f t="shared" si="8"/>
        <v>5289.7115675675668</v>
      </c>
      <c r="T16" s="12">
        <f t="shared" si="9"/>
        <v>0.89048216216216214</v>
      </c>
    </row>
    <row r="17" spans="1:20" x14ac:dyDescent="0.25">
      <c r="A17" s="5">
        <v>21</v>
      </c>
      <c r="B17" s="7">
        <v>27</v>
      </c>
      <c r="C17" s="5">
        <f t="shared" si="0"/>
        <v>38</v>
      </c>
      <c r="D17" s="8">
        <v>2</v>
      </c>
      <c r="E17" s="8">
        <v>0</v>
      </c>
      <c r="F17" s="15">
        <v>46500</v>
      </c>
      <c r="G17" s="3">
        <f t="shared" si="1"/>
        <v>232.5</v>
      </c>
      <c r="H17" s="10">
        <v>15000</v>
      </c>
      <c r="I17" s="11">
        <f t="shared" si="2"/>
        <v>31500</v>
      </c>
      <c r="J17" s="14">
        <v>25000</v>
      </c>
      <c r="K17" s="3">
        <f t="shared" si="3"/>
        <v>2083.3333333333335</v>
      </c>
      <c r="L17" s="9">
        <f t="shared" si="10"/>
        <v>2.3396809895833335</v>
      </c>
      <c r="M17" s="3">
        <f t="shared" si="4"/>
        <v>19874.504347826085</v>
      </c>
      <c r="N17" s="12">
        <f t="shared" si="5"/>
        <v>0.42740869565217388</v>
      </c>
      <c r="O17" s="13">
        <f t="shared" si="6"/>
        <v>26625.495652173915</v>
      </c>
      <c r="P17" s="2">
        <f t="shared" si="11"/>
        <v>88.751652173913044</v>
      </c>
      <c r="Q17" s="5">
        <f t="shared" si="12"/>
        <v>7</v>
      </c>
      <c r="R17" s="5">
        <f t="shared" si="7"/>
        <v>4.2600793043478261E-2</v>
      </c>
      <c r="S17" s="3">
        <f t="shared" si="8"/>
        <v>7455.1387826086957</v>
      </c>
      <c r="T17" s="12">
        <f t="shared" si="9"/>
        <v>0.83967443478260873</v>
      </c>
    </row>
    <row r="18" spans="1:20" x14ac:dyDescent="0.25">
      <c r="A18" s="5">
        <v>16</v>
      </c>
      <c r="B18" s="7">
        <v>39</v>
      </c>
      <c r="C18" s="5">
        <f t="shared" si="0"/>
        <v>26</v>
      </c>
      <c r="D18" s="8">
        <v>2</v>
      </c>
      <c r="E18" s="8">
        <v>1</v>
      </c>
      <c r="F18" s="15">
        <v>45000</v>
      </c>
      <c r="G18" s="3">
        <f t="shared" si="1"/>
        <v>225</v>
      </c>
      <c r="H18" s="10">
        <v>18000</v>
      </c>
      <c r="I18" s="11">
        <f t="shared" si="2"/>
        <v>27000</v>
      </c>
      <c r="J18" s="14">
        <v>111000</v>
      </c>
      <c r="K18" s="3">
        <f t="shared" si="3"/>
        <v>9250</v>
      </c>
      <c r="L18" s="9">
        <f t="shared" si="10"/>
        <v>2.593994140625</v>
      </c>
      <c r="M18" s="3">
        <f t="shared" si="4"/>
        <v>17347.764705882353</v>
      </c>
      <c r="N18" s="12">
        <f t="shared" si="5"/>
        <v>0.3855058823529412</v>
      </c>
      <c r="O18" s="13">
        <f t="shared" si="6"/>
        <v>27652.235294117647</v>
      </c>
      <c r="P18" s="2">
        <f t="shared" si="11"/>
        <v>329.19327731092437</v>
      </c>
      <c r="Q18" s="5">
        <f t="shared" si="12"/>
        <v>7</v>
      </c>
      <c r="R18" s="6">
        <f t="shared" si="7"/>
        <v>3.5588462411991824E-2</v>
      </c>
      <c r="S18" s="3">
        <f t="shared" si="8"/>
        <v>27652.23529411765</v>
      </c>
      <c r="T18" s="12">
        <f t="shared" si="9"/>
        <v>0.38550588235294114</v>
      </c>
    </row>
    <row r="19" spans="1:20" x14ac:dyDescent="0.25">
      <c r="A19" s="5">
        <v>9</v>
      </c>
      <c r="B19" s="7">
        <v>52</v>
      </c>
      <c r="C19" s="5">
        <f t="shared" si="0"/>
        <v>13</v>
      </c>
      <c r="D19" s="8">
        <v>2</v>
      </c>
      <c r="E19" s="8">
        <v>0</v>
      </c>
      <c r="F19" s="15">
        <v>37109</v>
      </c>
      <c r="G19" s="3">
        <f t="shared" si="1"/>
        <v>185.54499999999999</v>
      </c>
      <c r="H19" s="10">
        <v>16000</v>
      </c>
      <c r="I19" s="11">
        <f t="shared" si="2"/>
        <v>21109</v>
      </c>
      <c r="J19" s="14">
        <v>54000</v>
      </c>
      <c r="K19" s="3">
        <f t="shared" si="3"/>
        <v>4500</v>
      </c>
      <c r="L19" s="9">
        <f t="shared" si="10"/>
        <v>2.3094383445945947</v>
      </c>
      <c r="M19" s="3">
        <f t="shared" si="4"/>
        <v>16068.409051428571</v>
      </c>
      <c r="N19" s="12">
        <f t="shared" si="5"/>
        <v>0.43300571428571427</v>
      </c>
      <c r="O19" s="13">
        <f t="shared" si="6"/>
        <v>21040.590948571429</v>
      </c>
      <c r="P19" s="2">
        <f t="shared" si="11"/>
        <v>100</v>
      </c>
      <c r="Q19" s="5">
        <f t="shared" si="12"/>
        <v>7</v>
      </c>
      <c r="R19" s="6">
        <f t="shared" si="7"/>
        <v>2.2222222222222223E-2</v>
      </c>
      <c r="S19" s="3">
        <f t="shared" si="8"/>
        <v>8400</v>
      </c>
      <c r="T19" s="12">
        <f t="shared" si="9"/>
        <v>0.77363981783394864</v>
      </c>
    </row>
    <row r="20" spans="1:20" x14ac:dyDescent="0.25">
      <c r="A20" s="5">
        <v>2</v>
      </c>
      <c r="B20" s="7">
        <v>23</v>
      </c>
      <c r="C20" s="5">
        <f t="shared" si="0"/>
        <v>42</v>
      </c>
      <c r="D20" s="8">
        <v>1</v>
      </c>
      <c r="E20" s="8">
        <v>0</v>
      </c>
      <c r="F20" s="15">
        <v>35373</v>
      </c>
      <c r="G20" s="3">
        <f t="shared" si="1"/>
        <v>176.86500000000001</v>
      </c>
      <c r="H20" s="10">
        <f>F20 * 0.6</f>
        <v>21223.8</v>
      </c>
      <c r="I20" s="11">
        <f t="shared" si="2"/>
        <v>14149.2</v>
      </c>
      <c r="J20" s="14">
        <v>38853</v>
      </c>
      <c r="K20" s="3">
        <f t="shared" si="3"/>
        <v>3237.75</v>
      </c>
      <c r="L20" s="9">
        <f t="shared" si="10"/>
        <v>6.3672912597656248</v>
      </c>
      <c r="M20" s="3">
        <f t="shared" si="4"/>
        <v>5555.4235791786368</v>
      </c>
      <c r="N20" s="12">
        <f t="shared" si="5"/>
        <v>0.15705265539192709</v>
      </c>
      <c r="O20" s="13">
        <f t="shared" si="6"/>
        <v>29817.576420821362</v>
      </c>
      <c r="P20" s="2">
        <f t="shared" si="11"/>
        <v>99.391921402737879</v>
      </c>
      <c r="Q20" s="5">
        <f t="shared" si="12"/>
        <v>7</v>
      </c>
      <c r="R20" s="6">
        <f t="shared" si="7"/>
        <v>3.0697836893749636E-2</v>
      </c>
      <c r="S20" s="3">
        <f t="shared" si="8"/>
        <v>8348.9213978299813</v>
      </c>
      <c r="T20" s="12">
        <f t="shared" si="9"/>
        <v>0.7639747435097396</v>
      </c>
    </row>
    <row r="21" spans="1:20" x14ac:dyDescent="0.25">
      <c r="A21" s="5">
        <v>13</v>
      </c>
      <c r="B21" s="7">
        <v>59</v>
      </c>
      <c r="C21" s="5">
        <f t="shared" si="0"/>
        <v>6</v>
      </c>
      <c r="D21" s="8">
        <v>2</v>
      </c>
      <c r="E21" s="8">
        <v>0</v>
      </c>
      <c r="F21" s="15">
        <v>31500</v>
      </c>
      <c r="G21" s="3">
        <f t="shared" si="1"/>
        <v>157.5</v>
      </c>
      <c r="H21" s="10">
        <v>14000</v>
      </c>
      <c r="I21" s="11">
        <f t="shared" si="2"/>
        <v>17500</v>
      </c>
      <c r="J21" s="14">
        <v>40000</v>
      </c>
      <c r="K21" s="3">
        <f t="shared" si="3"/>
        <v>3333.3333333333335</v>
      </c>
      <c r="L21" s="9">
        <f t="shared" si="10"/>
        <v>1.9309303977272727</v>
      </c>
      <c r="M21" s="3">
        <f t="shared" si="4"/>
        <v>16313.379310344828</v>
      </c>
      <c r="N21" s="12">
        <f t="shared" si="5"/>
        <v>0.51788505747126434</v>
      </c>
      <c r="O21" s="13">
        <f t="shared" si="6"/>
        <v>15186.620689655172</v>
      </c>
      <c r="P21" s="2">
        <f t="shared" si="11"/>
        <v>100</v>
      </c>
      <c r="Q21" s="5">
        <f t="shared" si="12"/>
        <v>7</v>
      </c>
      <c r="R21" s="6">
        <f t="shared" si="7"/>
        <v>0.03</v>
      </c>
      <c r="S21" s="3">
        <f t="shared" si="8"/>
        <v>8400</v>
      </c>
      <c r="T21" s="12">
        <f t="shared" si="9"/>
        <v>0.73333333333333339</v>
      </c>
    </row>
    <row r="22" spans="1:20" x14ac:dyDescent="0.25">
      <c r="A22" s="5">
        <v>22</v>
      </c>
      <c r="B22" s="7">
        <v>28</v>
      </c>
      <c r="C22" s="5">
        <f t="shared" si="0"/>
        <v>37</v>
      </c>
      <c r="D22" s="8">
        <v>1</v>
      </c>
      <c r="E22" s="8">
        <v>0</v>
      </c>
      <c r="F22" s="15">
        <v>28000</v>
      </c>
      <c r="G22" s="3">
        <f t="shared" si="1"/>
        <v>140</v>
      </c>
      <c r="H22" s="10">
        <v>23000</v>
      </c>
      <c r="I22" s="11">
        <f t="shared" si="2"/>
        <v>5000</v>
      </c>
      <c r="J22" s="14">
        <v>35000</v>
      </c>
      <c r="K22" s="3">
        <f t="shared" si="3"/>
        <v>2916.6666666666665</v>
      </c>
      <c r="L22" s="9">
        <f t="shared" si="10"/>
        <v>6.2725360576923075</v>
      </c>
      <c r="M22" s="3">
        <f t="shared" si="4"/>
        <v>4463.9041916167662</v>
      </c>
      <c r="N22" s="12">
        <f t="shared" si="5"/>
        <v>0.15942514970059879</v>
      </c>
      <c r="O22" s="13">
        <f t="shared" si="6"/>
        <v>23536.095808383234</v>
      </c>
      <c r="P22" s="2">
        <f t="shared" si="11"/>
        <v>78.453652694610781</v>
      </c>
      <c r="Q22" s="5">
        <f t="shared" si="12"/>
        <v>7</v>
      </c>
      <c r="R22" s="5">
        <f t="shared" si="7"/>
        <v>2.6898395209580841E-2</v>
      </c>
      <c r="S22" s="3">
        <f t="shared" si="8"/>
        <v>6590.1068263473053</v>
      </c>
      <c r="T22" s="12">
        <f t="shared" si="9"/>
        <v>0.76463904191616772</v>
      </c>
    </row>
    <row r="23" spans="1:20" x14ac:dyDescent="0.25">
      <c r="A23" s="5">
        <v>10</v>
      </c>
      <c r="B23" s="7">
        <v>25</v>
      </c>
      <c r="C23" s="5">
        <f t="shared" si="0"/>
        <v>40</v>
      </c>
      <c r="D23" s="8">
        <v>2</v>
      </c>
      <c r="E23" s="8">
        <v>0</v>
      </c>
      <c r="F23" s="15">
        <v>26487</v>
      </c>
      <c r="G23" s="3">
        <f t="shared" si="1"/>
        <v>132.435</v>
      </c>
      <c r="H23" s="10">
        <v>12000</v>
      </c>
      <c r="I23" s="11">
        <f t="shared" si="2"/>
        <v>14487</v>
      </c>
      <c r="J23" s="14">
        <v>31300</v>
      </c>
      <c r="K23" s="3">
        <f t="shared" si="3"/>
        <v>2608.3333333333335</v>
      </c>
      <c r="L23" s="9">
        <f t="shared" si="10"/>
        <v>2.22900390625</v>
      </c>
      <c r="M23" s="3">
        <f t="shared" si="4"/>
        <v>11882.886308871852</v>
      </c>
      <c r="N23" s="12">
        <f t="shared" si="5"/>
        <v>0.44863088718510408</v>
      </c>
      <c r="O23" s="13">
        <f t="shared" si="6"/>
        <v>14604.113691128148</v>
      </c>
      <c r="P23" s="2">
        <f t="shared" si="11"/>
        <v>48.680378970427164</v>
      </c>
      <c r="Q23" s="5">
        <f t="shared" si="12"/>
        <v>7</v>
      </c>
      <c r="R23" s="6">
        <f t="shared" si="7"/>
        <v>1.8663404078119041E-2</v>
      </c>
      <c r="S23" s="3">
        <f t="shared" si="8"/>
        <v>4089.1518335158817</v>
      </c>
      <c r="T23" s="12">
        <f t="shared" si="9"/>
        <v>0.84561664841182915</v>
      </c>
    </row>
    <row r="24" spans="1:20" x14ac:dyDescent="0.25">
      <c r="B24" s="7"/>
      <c r="F24" s="16"/>
      <c r="H24" s="17"/>
      <c r="J24" s="18"/>
      <c r="L24" s="9"/>
    </row>
    <row r="25" spans="1:20" x14ac:dyDescent="0.25">
      <c r="B25" s="7"/>
      <c r="H25" s="17"/>
      <c r="J25" s="18"/>
      <c r="L25" s="9"/>
    </row>
    <row r="26" spans="1:20" x14ac:dyDescent="0.25">
      <c r="B26" s="7"/>
      <c r="H26" s="17"/>
      <c r="J26" s="18"/>
      <c r="M26" s="2"/>
    </row>
    <row r="27" spans="1:20" x14ac:dyDescent="0.25">
      <c r="B27" s="7"/>
      <c r="H27" s="17"/>
      <c r="J27" s="18"/>
    </row>
    <row r="28" spans="1:20" x14ac:dyDescent="0.25">
      <c r="B28" s="7"/>
      <c r="H28" s="17"/>
      <c r="J28" s="18"/>
    </row>
    <row r="29" spans="1:20" x14ac:dyDescent="0.25">
      <c r="B29" s="7"/>
      <c r="H29" s="17"/>
      <c r="J29" s="18"/>
    </row>
    <row r="30" spans="1:20" x14ac:dyDescent="0.25">
      <c r="J30" s="18"/>
    </row>
    <row r="31" spans="1:20" x14ac:dyDescent="0.25">
      <c r="J31" s="18"/>
    </row>
    <row r="32" spans="1:20" x14ac:dyDescent="0.25">
      <c r="J32" s="18"/>
    </row>
  </sheetData>
  <sheetProtection sheet="1" objects="1" scenarios="1"/>
  <sortState xmlns:xlrd2="http://schemas.microsoft.com/office/spreadsheetml/2017/richdata2" ref="A2:T23">
    <sortCondition descending="1" ref="F2:F23"/>
    <sortCondition descending="1" ref="J2:J23"/>
  </sortState>
  <conditionalFormatting sqref="B2:B7">
    <cfRule type="cellIs" dxfId="6" priority="7" operator="greaterThan">
      <formula>59</formula>
    </cfRule>
  </conditionalFormatting>
  <conditionalFormatting sqref="B2:B11">
    <cfRule type="cellIs" dxfId="5" priority="6" operator="greaterThan">
      <formula>59</formula>
    </cfRule>
  </conditionalFormatting>
  <conditionalFormatting sqref="E2:E23">
    <cfRule type="cellIs" dxfId="4" priority="5" operator="greaterThan">
      <formula>1</formula>
    </cfRule>
  </conditionalFormatting>
  <conditionalFormatting sqref="D2:D23">
    <cfRule type="cellIs" dxfId="3" priority="4" operator="greaterThan">
      <formula>2</formula>
    </cfRule>
  </conditionalFormatting>
  <conditionalFormatting sqref="B4">
    <cfRule type="cellIs" dxfId="2" priority="3" operator="greaterThan">
      <formula>59</formula>
    </cfRule>
  </conditionalFormatting>
  <conditionalFormatting sqref="B2:B31">
    <cfRule type="cellIs" dxfId="1" priority="2" operator="greaterThan">
      <formula>59</formula>
    </cfRule>
  </conditionalFormatting>
  <conditionalFormatting sqref="T2:T23">
    <cfRule type="cellIs" dxfId="0" priority="1" operator="equal">
      <formula>1</formula>
    </cfRule>
  </conditionalFormatting>
  <pageMargins left="0.7" right="0.7" top="0.75" bottom="0.75" header="0.3" footer="0.3"/>
  <pageSetup orientation="portrait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050336-6B16-45EC-92A2-406A4008BA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Borrowers Helped</vt:lpstr>
      <vt:lpstr>US Trustee Office</vt:lpstr>
      <vt:lpstr>Definitions</vt:lpstr>
      <vt:lpstr>Borrowers Helped (3)</vt:lpstr>
      <vt:lpstr>FY2021 Median Incomes</vt:lpstr>
      <vt:lpstr>Borrowers Helped (2)</vt:lpstr>
      <vt:lpstr>Old 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2021-08-20T02:45:01Z</dcterms:created>
  <dcterms:modified xsi:type="dcterms:W3CDTF">2021-09-05T04:50:35Z</dcterms:modified>
</cp:coreProperties>
</file>