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xcel Project Files/Student Loan Forgiveness Calculator/"/>
    </mc:Choice>
  </mc:AlternateContent>
  <xr:revisionPtr revIDLastSave="962" documentId="8_{501CF26D-9D6F-4D25-8822-86A7D73FEDE4}" xr6:coauthVersionLast="47" xr6:coauthVersionMax="47" xr10:uidLastSave="{6ACFCA6A-10F5-468F-B642-6583066EAE9A}"/>
  <bookViews>
    <workbookView xWindow="-108" yWindow="-108" windowWidth="23256" windowHeight="12456" tabRatio="864" xr2:uid="{55B5DC45-2EF9-4652-B78D-7E136374EA58}"/>
  </bookViews>
  <sheets>
    <sheet name="Data entry" sheetId="3" r:id="rId1"/>
    <sheet name="Borrowers Helped" sheetId="24" r:id="rId2"/>
    <sheet name="Borrower scatter plot" sheetId="38" r:id="rId3"/>
    <sheet name="Box-and-Whisker plot" sheetId="39" r:id="rId4"/>
    <sheet name="Backend" sheetId="23" r:id="rId5"/>
    <sheet name="Flowchart" sheetId="36" r:id="rId6"/>
    <sheet name="Table One" sheetId="25" r:id="rId7"/>
    <sheet name="Table Two" sheetId="26" r:id="rId8"/>
    <sheet name="US Trustee's Office" sheetId="8" r:id="rId9"/>
    <sheet name="FY2021 Median Incomes" sheetId="6" r:id="rId10"/>
    <sheet name="Federal Poverty Levels 2021" sheetId="35" r:id="rId11"/>
    <sheet name="Definitions" sheetId="2" r:id="rId12"/>
    <sheet name="Old Calculations" sheetId="1" state="hidden" r:id="rId13"/>
  </sheets>
  <functionGroups builtInGroupCount="19"/>
  <definedNames>
    <definedName name="_xlnm._FilterDatabase" localSheetId="1" hidden="1">'Borrowers Helped'!$A$1:$L$119</definedName>
    <definedName name="_xlchart.v1.0" hidden="1">'Borrowers Helped'!$L$1</definedName>
    <definedName name="_xlchart.v1.1" hidden="1">'Borrowers Helped'!$L$2:$L$119</definedName>
    <definedName name="_xlcn.WorksheetConnection_StudentLoanForgivenessCalculator.xlsmTable31" hidden="1">Table3</definedName>
    <definedName name="_xlpm.colIndex" hidden="1" xlm="1">#NAME?</definedName>
    <definedName name="_xlpm.dependents" hidden="1" xlm="1">#NAME?</definedName>
    <definedName name="_xlpm.familysize" hidden="1" xlm="1">#NAME?</definedName>
    <definedName name="_xlpm.FilingStatus" hidden="1" xlm="1">#NAME?</definedName>
    <definedName name="_xlpm.state" hidden="1" xlm="1">#NAME?</definedName>
    <definedName name="ExternalData_4" localSheetId="10" hidden="1">'Federal Poverty Levels 2021'!$A$1:$C$25</definedName>
    <definedName name="GetMedianIncome">_xlfn.LAMBDA(_xlpm.state,_xlpm.filingStatus,_xlpm.dependents, _xlfn.LET(_xlpm.familySize, IF(_xlpm.filingStatus=2, 2, 1) + _xlpm.dependents, _xlpm.colIndex, _xlpm.familySize + 1, VLOOKUP(_xlpm.state, 'US Trustee''s Office'!$A$1:$I$59, _xlpm.colIndex, FALSE)))</definedName>
    <definedName name="_xlnm.Print_Area" localSheetId="0">'Data entry'!$A$1:$H$41</definedName>
    <definedName name="solver_adj" localSheetId="4" hidden="1">Backend!$E$32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Backend!$H$31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2</definedName>
    <definedName name="solver_val" localSheetId="4" hidden="1">0</definedName>
    <definedName name="solver_ver" localSheetId="4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3" name="Table3" connection="WorksheetConnection_Student Loan Forgiveness Calculator.xlsm!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" i="23" l="1"/>
  <c r="P4" i="23"/>
  <c r="H1" i="23"/>
  <c r="O20" i="23"/>
  <c r="O15" i="23"/>
  <c r="L3" i="23"/>
  <c r="M3" i="23" s="1"/>
  <c r="L4" i="23"/>
  <c r="M4" i="23" s="1"/>
  <c r="L5" i="23"/>
  <c r="M5" i="23" s="1"/>
  <c r="P5" i="23" s="1"/>
  <c r="L6" i="23"/>
  <c r="M6" i="23" s="1"/>
  <c r="L7" i="23"/>
  <c r="M7" i="23" s="1"/>
  <c r="L8" i="23"/>
  <c r="M8" i="23" s="1"/>
  <c r="L9" i="23"/>
  <c r="M9" i="23" s="1"/>
  <c r="L10" i="23"/>
  <c r="M10" i="23" s="1"/>
  <c r="P10" i="23" s="1"/>
  <c r="L11" i="23"/>
  <c r="M11" i="23" s="1"/>
  <c r="L12" i="23"/>
  <c r="M12" i="23" s="1"/>
  <c r="L13" i="23"/>
  <c r="M13" i="23" s="1"/>
  <c r="L14" i="23"/>
  <c r="M14" i="23" s="1"/>
  <c r="L15" i="23"/>
  <c r="M15" i="23" s="1"/>
  <c r="L16" i="23"/>
  <c r="M16" i="23" s="1"/>
  <c r="L17" i="23"/>
  <c r="M17" i="23" s="1"/>
  <c r="L18" i="23"/>
  <c r="M18" i="23" s="1"/>
  <c r="L19" i="23"/>
  <c r="M19" i="23" s="1"/>
  <c r="L20" i="23"/>
  <c r="M20" i="23" s="1"/>
  <c r="L21" i="23"/>
  <c r="M21" i="23" s="1"/>
  <c r="L22" i="23"/>
  <c r="M22" i="23" s="1"/>
  <c r="L23" i="23"/>
  <c r="M23" i="23" s="1"/>
  <c r="L24" i="23"/>
  <c r="M24" i="23" s="1"/>
  <c r="L25" i="23"/>
  <c r="M25" i="23" s="1"/>
  <c r="P25" i="23" s="1"/>
  <c r="L26" i="23"/>
  <c r="M26" i="23" s="1"/>
  <c r="L27" i="23"/>
  <c r="M27" i="23" s="1"/>
  <c r="L28" i="23"/>
  <c r="M28" i="23" s="1"/>
  <c r="L29" i="23"/>
  <c r="M29" i="23" s="1"/>
  <c r="L30" i="23"/>
  <c r="M30" i="23" s="1"/>
  <c r="L31" i="23"/>
  <c r="M31" i="23" s="1"/>
  <c r="L32" i="23"/>
  <c r="M32" i="23" s="1"/>
  <c r="L33" i="23"/>
  <c r="M33" i="23" s="1"/>
  <c r="L34" i="23"/>
  <c r="M34" i="23" s="1"/>
  <c r="L35" i="23"/>
  <c r="M35" i="23" s="1"/>
  <c r="L36" i="23"/>
  <c r="M36" i="23" s="1"/>
  <c r="L37" i="23"/>
  <c r="M37" i="23" s="1"/>
  <c r="L2" i="23"/>
  <c r="M2" i="23" s="1"/>
  <c r="C6" i="23"/>
  <c r="B4" i="23" a="1"/>
  <c r="B4" i="23" s="1"/>
  <c r="E48" i="23"/>
  <c r="E49" i="23"/>
  <c r="E50" i="23"/>
  <c r="E55" i="23"/>
  <c r="E57" i="23"/>
  <c r="P2" i="23" l="1"/>
  <c r="P20" i="23"/>
  <c r="P15" i="23"/>
  <c r="P3" i="23"/>
  <c r="B9" i="23"/>
  <c r="E51" i="23" l="1"/>
  <c r="E52" i="23"/>
  <c r="E53" i="23"/>
  <c r="E54" i="23"/>
  <c r="E56" i="23"/>
  <c r="E35" i="23"/>
  <c r="G35" i="23" s="1"/>
  <c r="H35" i="23" s="1"/>
  <c r="E36" i="23"/>
  <c r="H36" i="23" s="1"/>
  <c r="E37" i="23"/>
  <c r="H37" i="23" s="1"/>
  <c r="E38" i="23"/>
  <c r="H38" i="23" s="1"/>
  <c r="E39" i="23"/>
  <c r="H39" i="23" s="1"/>
  <c r="E40" i="23"/>
  <c r="H40" i="23" s="1"/>
  <c r="E41" i="23"/>
  <c r="H41" i="23" s="1"/>
  <c r="F23" i="23"/>
  <c r="F24" i="23"/>
  <c r="F25" i="23"/>
  <c r="F26" i="23"/>
  <c r="F27" i="23"/>
  <c r="F28" i="23"/>
  <c r="F29" i="23"/>
  <c r="G21" i="23"/>
  <c r="G20" i="23"/>
  <c r="G19" i="23"/>
  <c r="G18" i="23"/>
  <c r="G17" i="23"/>
  <c r="G16" i="23"/>
  <c r="F21" i="23"/>
  <c r="F16" i="23"/>
  <c r="F17" i="23"/>
  <c r="F18" i="23"/>
  <c r="F19" i="23"/>
  <c r="F20" i="23"/>
  <c r="F15" i="23"/>
  <c r="G27" i="23" l="1"/>
  <c r="H27" i="23" s="1"/>
  <c r="G29" i="23"/>
  <c r="H29" i="23" s="1"/>
  <c r="G25" i="23"/>
  <c r="H25" i="23" s="1"/>
  <c r="G23" i="23"/>
  <c r="H23" i="23" s="1"/>
  <c r="G26" i="23"/>
  <c r="H26" i="23" s="1"/>
  <c r="G28" i="23"/>
  <c r="H28" i="23" s="1"/>
  <c r="G24" i="23"/>
  <c r="H24" i="23" s="1"/>
  <c r="H31" i="23" l="1"/>
  <c r="B8" i="23"/>
  <c r="B5" i="23"/>
  <c r="B6" i="23" s="1" a="1"/>
  <c r="B6" i="23" s="1"/>
  <c r="B3" i="23"/>
  <c r="B2" i="23"/>
  <c r="B7" i="23" l="1"/>
  <c r="B17" i="23" s="1"/>
  <c r="B12" i="23"/>
  <c r="B11" i="23"/>
  <c r="B10" i="23"/>
  <c r="B13" i="23" s="1"/>
  <c r="C27" i="3"/>
  <c r="B27" i="3"/>
  <c r="B28" i="3" s="1"/>
  <c r="B26" i="3"/>
  <c r="F57" i="8"/>
  <c r="G57" i="8" s="1"/>
  <c r="H57" i="8" s="1"/>
  <c r="I57" i="8" s="1"/>
  <c r="F58" i="8"/>
  <c r="G58" i="8" s="1"/>
  <c r="H58" i="8" s="1"/>
  <c r="I58" i="8" s="1"/>
  <c r="F59" i="8"/>
  <c r="G59" i="8" s="1"/>
  <c r="H59" i="8" s="1"/>
  <c r="I59" i="8" s="1"/>
  <c r="F56" i="8"/>
  <c r="G56" i="8" s="1"/>
  <c r="H56" i="8" s="1"/>
  <c r="I56" i="8" s="1"/>
  <c r="F6" i="8"/>
  <c r="G6" i="8" s="1"/>
  <c r="H6" i="8" s="1"/>
  <c r="I6" i="8" s="1"/>
  <c r="F7" i="8"/>
  <c r="G7" i="8" s="1"/>
  <c r="H7" i="8" s="1"/>
  <c r="I7" i="8" s="1"/>
  <c r="F8" i="8"/>
  <c r="G8" i="8" s="1"/>
  <c r="H8" i="8" s="1"/>
  <c r="I8" i="8" s="1"/>
  <c r="F9" i="8"/>
  <c r="G9" i="8" s="1"/>
  <c r="H9" i="8" s="1"/>
  <c r="I9" i="8" s="1"/>
  <c r="F10" i="8"/>
  <c r="G10" i="8" s="1"/>
  <c r="H10" i="8" s="1"/>
  <c r="I10" i="8" s="1"/>
  <c r="F11" i="8"/>
  <c r="G11" i="8" s="1"/>
  <c r="H11" i="8" s="1"/>
  <c r="I11" i="8" s="1"/>
  <c r="F12" i="8"/>
  <c r="G12" i="8" s="1"/>
  <c r="H12" i="8" s="1"/>
  <c r="I12" i="8" s="1"/>
  <c r="F13" i="8"/>
  <c r="G13" i="8" s="1"/>
  <c r="H13" i="8" s="1"/>
  <c r="I13" i="8" s="1"/>
  <c r="F14" i="8"/>
  <c r="G14" i="8" s="1"/>
  <c r="H14" i="8" s="1"/>
  <c r="I14" i="8" s="1"/>
  <c r="F15" i="8"/>
  <c r="G15" i="8" s="1"/>
  <c r="H15" i="8" s="1"/>
  <c r="I15" i="8" s="1"/>
  <c r="F16" i="8"/>
  <c r="G16" i="8" s="1"/>
  <c r="H16" i="8" s="1"/>
  <c r="I16" i="8" s="1"/>
  <c r="F17" i="8"/>
  <c r="G17" i="8" s="1"/>
  <c r="H17" i="8" s="1"/>
  <c r="I17" i="8" s="1"/>
  <c r="F18" i="8"/>
  <c r="G18" i="8" s="1"/>
  <c r="H18" i="8" s="1"/>
  <c r="I18" i="8" s="1"/>
  <c r="F19" i="8"/>
  <c r="G19" i="8" s="1"/>
  <c r="H19" i="8" s="1"/>
  <c r="I19" i="8" s="1"/>
  <c r="F20" i="8"/>
  <c r="G20" i="8" s="1"/>
  <c r="H20" i="8" s="1"/>
  <c r="I20" i="8" s="1"/>
  <c r="F21" i="8"/>
  <c r="G21" i="8" s="1"/>
  <c r="H21" i="8" s="1"/>
  <c r="I21" i="8" s="1"/>
  <c r="F22" i="8"/>
  <c r="G22" i="8" s="1"/>
  <c r="H22" i="8" s="1"/>
  <c r="I22" i="8" s="1"/>
  <c r="F23" i="8"/>
  <c r="G23" i="8" s="1"/>
  <c r="H23" i="8" s="1"/>
  <c r="I23" i="8" s="1"/>
  <c r="F24" i="8"/>
  <c r="G24" i="8" s="1"/>
  <c r="H24" i="8" s="1"/>
  <c r="I24" i="8" s="1"/>
  <c r="F25" i="8"/>
  <c r="G25" i="8" s="1"/>
  <c r="H25" i="8" s="1"/>
  <c r="I25" i="8" s="1"/>
  <c r="F26" i="8"/>
  <c r="G26" i="8" s="1"/>
  <c r="H26" i="8" s="1"/>
  <c r="I26" i="8" s="1"/>
  <c r="F27" i="8"/>
  <c r="G27" i="8" s="1"/>
  <c r="H27" i="8" s="1"/>
  <c r="I27" i="8" s="1"/>
  <c r="F28" i="8"/>
  <c r="G28" i="8" s="1"/>
  <c r="H28" i="8" s="1"/>
  <c r="I28" i="8" s="1"/>
  <c r="F29" i="8"/>
  <c r="G29" i="8" s="1"/>
  <c r="H29" i="8" s="1"/>
  <c r="I29" i="8" s="1"/>
  <c r="F30" i="8"/>
  <c r="G30" i="8" s="1"/>
  <c r="H30" i="8" s="1"/>
  <c r="I30" i="8" s="1"/>
  <c r="F31" i="8"/>
  <c r="G31" i="8" s="1"/>
  <c r="H31" i="8" s="1"/>
  <c r="I31" i="8" s="1"/>
  <c r="F32" i="8"/>
  <c r="G32" i="8" s="1"/>
  <c r="H32" i="8" s="1"/>
  <c r="I32" i="8" s="1"/>
  <c r="F33" i="8"/>
  <c r="G33" i="8" s="1"/>
  <c r="H33" i="8" s="1"/>
  <c r="I33" i="8" s="1"/>
  <c r="F34" i="8"/>
  <c r="G34" i="8" s="1"/>
  <c r="H34" i="8" s="1"/>
  <c r="I34" i="8" s="1"/>
  <c r="F35" i="8"/>
  <c r="G35" i="8" s="1"/>
  <c r="H35" i="8" s="1"/>
  <c r="I35" i="8" s="1"/>
  <c r="F36" i="8"/>
  <c r="G36" i="8" s="1"/>
  <c r="H36" i="8" s="1"/>
  <c r="I36" i="8" s="1"/>
  <c r="F37" i="8"/>
  <c r="G37" i="8" s="1"/>
  <c r="H37" i="8" s="1"/>
  <c r="I37" i="8" s="1"/>
  <c r="F38" i="8"/>
  <c r="G38" i="8" s="1"/>
  <c r="H38" i="8" s="1"/>
  <c r="I38" i="8" s="1"/>
  <c r="F39" i="8"/>
  <c r="G39" i="8" s="1"/>
  <c r="H39" i="8" s="1"/>
  <c r="I39" i="8" s="1"/>
  <c r="F40" i="8"/>
  <c r="G40" i="8" s="1"/>
  <c r="H40" i="8" s="1"/>
  <c r="I40" i="8" s="1"/>
  <c r="F41" i="8"/>
  <c r="G41" i="8" s="1"/>
  <c r="H41" i="8" s="1"/>
  <c r="I41" i="8" s="1"/>
  <c r="F42" i="8"/>
  <c r="G42" i="8" s="1"/>
  <c r="H42" i="8" s="1"/>
  <c r="I42" i="8" s="1"/>
  <c r="F43" i="8"/>
  <c r="G43" i="8" s="1"/>
  <c r="H43" i="8" s="1"/>
  <c r="I43" i="8" s="1"/>
  <c r="F44" i="8"/>
  <c r="G44" i="8" s="1"/>
  <c r="H44" i="8" s="1"/>
  <c r="I44" i="8" s="1"/>
  <c r="F45" i="8"/>
  <c r="G45" i="8" s="1"/>
  <c r="H45" i="8" s="1"/>
  <c r="I45" i="8" s="1"/>
  <c r="F46" i="8"/>
  <c r="G46" i="8" s="1"/>
  <c r="H46" i="8" s="1"/>
  <c r="I46" i="8" s="1"/>
  <c r="F47" i="8"/>
  <c r="G47" i="8" s="1"/>
  <c r="H47" i="8" s="1"/>
  <c r="I47" i="8" s="1"/>
  <c r="F48" i="8"/>
  <c r="G48" i="8" s="1"/>
  <c r="H48" i="8" s="1"/>
  <c r="I48" i="8" s="1"/>
  <c r="F49" i="8"/>
  <c r="G49" i="8" s="1"/>
  <c r="H49" i="8" s="1"/>
  <c r="I49" i="8" s="1"/>
  <c r="F50" i="8"/>
  <c r="G50" i="8" s="1"/>
  <c r="H50" i="8" s="1"/>
  <c r="I50" i="8" s="1"/>
  <c r="F51" i="8"/>
  <c r="G51" i="8" s="1"/>
  <c r="H51" i="8" s="1"/>
  <c r="I51" i="8" s="1"/>
  <c r="F52" i="8"/>
  <c r="G52" i="8" s="1"/>
  <c r="H52" i="8" s="1"/>
  <c r="I52" i="8" s="1"/>
  <c r="F53" i="8"/>
  <c r="G53" i="8" s="1"/>
  <c r="H53" i="8" s="1"/>
  <c r="I53" i="8" s="1"/>
  <c r="F54" i="8"/>
  <c r="G54" i="8" s="1"/>
  <c r="H54" i="8" s="1"/>
  <c r="I54" i="8" s="1"/>
  <c r="F55" i="8"/>
  <c r="G55" i="8" s="1"/>
  <c r="H55" i="8" s="1"/>
  <c r="I55" i="8" s="1"/>
  <c r="F5" i="8"/>
  <c r="G5" i="8" s="1"/>
  <c r="H5" i="8" s="1"/>
  <c r="I5" i="8" s="1"/>
  <c r="B10" i="3"/>
  <c r="B14" i="23" l="1"/>
  <c r="B15" i="23" s="1"/>
  <c r="C44" i="23"/>
  <c r="D47" i="23"/>
  <c r="C45" i="23"/>
  <c r="B30" i="3"/>
  <c r="E47" i="23" l="1"/>
  <c r="F47" i="23"/>
  <c r="B16" i="23"/>
  <c r="B19" i="23" s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" i="1"/>
  <c r="P6" i="1"/>
  <c r="P8" i="1"/>
  <c r="P13" i="1"/>
  <c r="P19" i="1"/>
  <c r="P21" i="1"/>
  <c r="K22" i="1"/>
  <c r="I22" i="1"/>
  <c r="G22" i="1"/>
  <c r="C22" i="1"/>
  <c r="K17" i="1"/>
  <c r="I17" i="1"/>
  <c r="G17" i="1"/>
  <c r="C17" i="1"/>
  <c r="K2" i="1"/>
  <c r="I2" i="1"/>
  <c r="G2" i="1"/>
  <c r="C2" i="1"/>
  <c r="K8" i="1"/>
  <c r="I8" i="1"/>
  <c r="G8" i="1"/>
  <c r="C8" i="1"/>
  <c r="K11" i="1"/>
  <c r="I11" i="1"/>
  <c r="G11" i="1"/>
  <c r="C11" i="1"/>
  <c r="K14" i="1"/>
  <c r="I14" i="1"/>
  <c r="G14" i="1"/>
  <c r="C14" i="1"/>
  <c r="K18" i="1"/>
  <c r="I18" i="1"/>
  <c r="G18" i="1"/>
  <c r="C18" i="1"/>
  <c r="K12" i="1"/>
  <c r="I12" i="1"/>
  <c r="G12" i="1"/>
  <c r="C12" i="1"/>
  <c r="K16" i="1"/>
  <c r="I16" i="1"/>
  <c r="G16" i="1"/>
  <c r="C16" i="1"/>
  <c r="K21" i="1"/>
  <c r="I21" i="1"/>
  <c r="G21" i="1"/>
  <c r="C21" i="1"/>
  <c r="K5" i="1"/>
  <c r="I5" i="1"/>
  <c r="G5" i="1"/>
  <c r="C5" i="1"/>
  <c r="K9" i="1"/>
  <c r="I9" i="1"/>
  <c r="G9" i="1"/>
  <c r="C9" i="1"/>
  <c r="I10" i="1"/>
  <c r="I7" i="1"/>
  <c r="I19" i="1"/>
  <c r="I23" i="1"/>
  <c r="K23" i="1"/>
  <c r="G23" i="1"/>
  <c r="C23" i="1"/>
  <c r="M23" i="1"/>
  <c r="K19" i="1"/>
  <c r="K7" i="1"/>
  <c r="K10" i="1"/>
  <c r="G19" i="1"/>
  <c r="G7" i="1"/>
  <c r="G10" i="1"/>
  <c r="C19" i="1"/>
  <c r="C7" i="1"/>
  <c r="C10" i="1"/>
  <c r="H3" i="1"/>
  <c r="I3" i="1"/>
  <c r="G20" i="1"/>
  <c r="G6" i="1"/>
  <c r="G3" i="1"/>
  <c r="G13" i="1"/>
  <c r="G4" i="1"/>
  <c r="G15" i="1"/>
  <c r="K20" i="1"/>
  <c r="K6" i="1"/>
  <c r="K3" i="1"/>
  <c r="K13" i="1"/>
  <c r="K4" i="1"/>
  <c r="K15" i="1"/>
  <c r="H4" i="1"/>
  <c r="I4" i="1"/>
  <c r="H13" i="1"/>
  <c r="I13" i="1"/>
  <c r="H6" i="1"/>
  <c r="I6" i="1"/>
  <c r="H20" i="1"/>
  <c r="I20" i="1"/>
  <c r="I15" i="1"/>
  <c r="C13" i="1"/>
  <c r="C20" i="1"/>
  <c r="C6" i="1"/>
  <c r="C3" i="1"/>
  <c r="C4" i="1"/>
  <c r="C15" i="1"/>
  <c r="M11" i="1"/>
  <c r="O11" i="1"/>
  <c r="P11" i="1"/>
  <c r="M6" i="1"/>
  <c r="O6" i="1"/>
  <c r="M17" i="1"/>
  <c r="N17" i="1"/>
  <c r="M2" i="1"/>
  <c r="M8" i="1"/>
  <c r="N8" i="1"/>
  <c r="M22" i="1"/>
  <c r="O22" i="1"/>
  <c r="P22" i="1"/>
  <c r="M14" i="1"/>
  <c r="N14" i="1"/>
  <c r="M12" i="1"/>
  <c r="R21" i="1"/>
  <c r="M18" i="1"/>
  <c r="O18" i="1"/>
  <c r="P18" i="1"/>
  <c r="M5" i="1"/>
  <c r="O5" i="1"/>
  <c r="P5" i="1"/>
  <c r="M21" i="1"/>
  <c r="O21" i="1"/>
  <c r="M9" i="1"/>
  <c r="O9" i="1"/>
  <c r="P9" i="1"/>
  <c r="M20" i="1"/>
  <c r="O20" i="1"/>
  <c r="P20" i="1"/>
  <c r="M13" i="1"/>
  <c r="N13" i="1"/>
  <c r="M16" i="1"/>
  <c r="O16" i="1"/>
  <c r="P16" i="1"/>
  <c r="R9" i="1"/>
  <c r="M15" i="1"/>
  <c r="N15" i="1"/>
  <c r="M7" i="1"/>
  <c r="N7" i="1"/>
  <c r="M19" i="1"/>
  <c r="N19" i="1"/>
  <c r="M10" i="1"/>
  <c r="N10" i="1"/>
  <c r="M4" i="1"/>
  <c r="O4" i="1"/>
  <c r="P4" i="1"/>
  <c r="M3" i="1"/>
  <c r="N3" i="1"/>
  <c r="N23" i="1"/>
  <c r="O8" i="1"/>
  <c r="O14" i="1"/>
  <c r="S9" i="1"/>
  <c r="T9" i="1"/>
  <c r="O2" i="1"/>
  <c r="N2" i="1"/>
  <c r="N11" i="1"/>
  <c r="N22" i="1"/>
  <c r="S21" i="1"/>
  <c r="T21" i="1"/>
  <c r="N9" i="1"/>
  <c r="N5" i="1"/>
  <c r="O17" i="1"/>
  <c r="R22" i="1"/>
  <c r="S22" i="1"/>
  <c r="T22" i="1"/>
  <c r="O12" i="1"/>
  <c r="N12" i="1"/>
  <c r="R8" i="1"/>
  <c r="S8" i="1"/>
  <c r="T8" i="1"/>
  <c r="R11" i="1"/>
  <c r="S11" i="1"/>
  <c r="T11" i="1"/>
  <c r="N18" i="1"/>
  <c r="N16" i="1"/>
  <c r="S18" i="1"/>
  <c r="T18" i="1"/>
  <c r="R18" i="1"/>
  <c r="N20" i="1"/>
  <c r="R16" i="1"/>
  <c r="S16" i="1"/>
  <c r="T16" i="1"/>
  <c r="N21" i="1"/>
  <c r="R5" i="1"/>
  <c r="S5" i="1"/>
  <c r="T5" i="1"/>
  <c r="N4" i="1"/>
  <c r="O10" i="1"/>
  <c r="P10" i="1"/>
  <c r="O13" i="1"/>
  <c r="O19" i="1"/>
  <c r="O15" i="1"/>
  <c r="P15" i="1"/>
  <c r="O3" i="1"/>
  <c r="P3" i="1"/>
  <c r="O23" i="1"/>
  <c r="P23" i="1"/>
  <c r="N6" i="1"/>
  <c r="O7" i="1"/>
  <c r="P7" i="1"/>
  <c r="R6" i="1"/>
  <c r="S6" i="1"/>
  <c r="T6" i="1"/>
  <c r="R4" i="1"/>
  <c r="S4" i="1"/>
  <c r="T4" i="1"/>
  <c r="R20" i="1"/>
  <c r="S20" i="1"/>
  <c r="T20" i="1"/>
  <c r="R13" i="1"/>
  <c r="S13" i="1"/>
  <c r="T13" i="1"/>
  <c r="P17" i="1"/>
  <c r="S17" i="1"/>
  <c r="T17" i="1"/>
  <c r="P12" i="1"/>
  <c r="R12" i="1"/>
  <c r="P14" i="1"/>
  <c r="R14" i="1"/>
  <c r="P2" i="1"/>
  <c r="R2" i="1"/>
  <c r="R19" i="1"/>
  <c r="S10" i="1"/>
  <c r="T10" i="1"/>
  <c r="S15" i="1"/>
  <c r="T15" i="1"/>
  <c r="R23" i="1"/>
  <c r="S7" i="1"/>
  <c r="T7" i="1"/>
  <c r="R3" i="1"/>
  <c r="S12" i="1"/>
  <c r="T12" i="1"/>
  <c r="R17" i="1"/>
  <c r="S14" i="1"/>
  <c r="T14" i="1"/>
  <c r="S2" i="1"/>
  <c r="T2" i="1"/>
  <c r="S19" i="1"/>
  <c r="T19" i="1"/>
  <c r="R10" i="1"/>
  <c r="R15" i="1"/>
  <c r="S23" i="1"/>
  <c r="T23" i="1"/>
  <c r="R7" i="1"/>
  <c r="S3" i="1"/>
  <c r="T3" i="1"/>
  <c r="B19" i="3" l="1"/>
  <c r="B18" i="23"/>
  <c r="B18" i="3" s="1"/>
  <c r="B16" i="3"/>
  <c r="B23" i="23" l="1"/>
  <c r="A33" i="3"/>
  <c r="B22" i="23"/>
  <c r="B20" i="23"/>
  <c r="B21" i="23" s="1"/>
  <c r="B11" i="3"/>
  <c r="B12" i="3" s="1"/>
  <c r="B24" i="23" l="1"/>
  <c r="B21" i="3" l="1"/>
  <c r="B22" i="3" s="1"/>
  <c r="B26" i="23"/>
  <c r="B25" i="23"/>
  <c r="C34" i="3"/>
  <c r="B34" i="3"/>
  <c r="B35" i="3" s="1"/>
  <c r="B37" i="3" s="1"/>
  <c r="B39" i="3"/>
  <c r="A21" i="3"/>
  <c r="B40" i="3" l="1"/>
  <c r="C40" i="3" s="1"/>
  <c r="B36" i="3"/>
  <c r="B41" i="3" s="1"/>
  <c r="B38" i="3"/>
  <c r="B3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tc={C08B8BAB-15F1-46DD-AE33-3CFBD6E05E8E}</author>
    <author>tc={1D479518-0153-4D53-80BB-325A7B383A86}</author>
    <author>tc={C8330AB5-6178-46C4-B0F5-716FD2FA06FA}</author>
    <author>tc={0864B227-D6B3-4A66-BA09-7ACF7E07F771}</author>
    <author>tc={D9549649-7055-42EE-BDBD-208F1341434A}</author>
    <author>tc={190E3B09-44F7-439F-90A1-839E1DADEA74}</author>
    <author>tc={1005120D-BAE2-4C41-8B46-74C1B686C157}</author>
    <author>tc={F5DD3E4E-A04B-4323-88AD-C3C915A07F29}</author>
    <author>tc={A5DCC31B-61B1-4CF4-8BAA-FC118A65583F}</author>
    <author>tc={AAEFD06B-64B0-4BC5-80EC-26DEB0CCDB0D}</author>
    <author>tc={22C16A68-9575-49E8-A3B4-F4DCAC77479A}</author>
  </authors>
  <commentList>
    <comment ref="A1" authorId="0" shapeId="0" xr:uid="{C08B8BAB-15F1-46DD-AE33-3CFBD6E05E8E}">
      <text>
        <t>[Threaded comment]
Your version of Excel allows you to read this threaded comment; however, any edits to it will get removed if the file is opened in a newer version of Excel. Learn more: https://go.microsoft.com/fwlink/?linkid=870924
Comment:
    Your age as of today. Ages 27 and older are eligible for this program.</t>
      </text>
    </comment>
    <comment ref="A2" authorId="1" shapeId="0" xr:uid="{1D479518-0153-4D53-80BB-325A7B383A86}">
      <text>
        <t>[Threaded comment]
Your version of Excel allows you to read this threaded comment; however, any edits to it will get removed if the file is opened in a newer version of Excel. Learn more: https://go.microsoft.com/fwlink/?linkid=870924
Comment:
    Your home-of-record as of today</t>
      </text>
    </comment>
    <comment ref="A3" authorId="2" shapeId="0" xr:uid="{C8330AB5-6178-46C4-B0F5-716FD2FA06FA}">
      <text>
        <t>[Threaded comment]
Your version of Excel allows you to read this threaded comment; however, any edits to it will get removed if the file is opened in a newer version of Excel. Learn more: https://go.microsoft.com/fwlink/?linkid=870924
Comment:
    Your W4 filing status for the 2019 tax year</t>
      </text>
    </comment>
    <comment ref="A4" authorId="3" shapeId="0" xr:uid="{0864B227-D6B3-4A66-BA09-7ACF7E07F771}">
      <text>
        <t>[Threaded comment]
Your version of Excel allows you to read this threaded comment; however, any edits to it will get removed if the file is opened in a newer version of Excel. Learn more: https://go.microsoft.com/fwlink/?linkid=870924
Comment:
    As of end of 2019 tax year, regardless of where they live today or their current age</t>
      </text>
    </comment>
    <comment ref="A5" authorId="4" shapeId="0" xr:uid="{D9549649-7055-42EE-BDBD-208F1341434A}">
      <text>
        <t>[Threaded comment]
Your version of Excel allows you to read this threaded comment; however, any edits to it will get removed if the file is opened in a newer version of Excel. Learn more: https://go.microsoft.com/fwlink/?linkid=870924
Comment:
    What you currently owe as of this moment, inclusive of interest and fees</t>
      </text>
    </comment>
    <comment ref="A6" authorId="5" shapeId="0" xr:uid="{190E3B09-44F7-439F-90A1-839E1DADEA74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sum of all student loans borrowed, exclusive of interest and fees (see each promissory note)</t>
      </text>
    </comment>
    <comment ref="A7" authorId="6" shapeId="0" xr:uid="{1005120D-BAE2-4C41-8B46-74C1B686C157}">
      <text>
        <t>[Threaded comment]
Your version of Excel allows you to read this threaded comment; however, any edits to it will get removed if the file is opened in a newer version of Excel. Learn more: https://go.microsoft.com/fwlink/?linkid=870924
Comment:
    Do NOT include unemployment compensation, child support, social security disability, food stamps, economic stimulus, or any other public/welfare income. 
DO include gross employment income, rental income, real estate sales, lottery winnings, inheritances, royalties, business earnings, sales of goods, lawsuit settlements, insurance claim payouts, or cash gifts $1,000+. Any type of private gain is considered.</t>
      </text>
    </comment>
    <comment ref="A8" authorId="7" shapeId="0" xr:uid="{F5DD3E4E-A04B-4323-88AD-C3C915A07F29}">
      <text>
        <t>[Threaded comment]
Your version of Excel allows you to read this threaded comment; however, any edits to it will get removed if the file is opened in a newer version of Excel. Learn more: https://go.microsoft.com/fwlink/?linkid=870924
Comment:
    Same rules</t>
      </text>
    </comment>
    <comment ref="A9" authorId="8" shapeId="0" xr:uid="{A5DCC31B-61B1-4CF4-8BAA-FC118A65583F}">
      <text>
        <t>[Threaded comment]
Your version of Excel allows you to read this threaded comment; however, any edits to it will get removed if the file is opened in a newer version of Excel. Learn more: https://go.microsoft.com/fwlink/?linkid=870924
Comment:
    If multiple loans, use highest interest rate</t>
      </text>
    </comment>
    <comment ref="A18" authorId="9" shapeId="0" xr:uid="{AAEFD06B-64B0-4BC5-80EC-26DEB0CCDB0D}">
      <text>
        <t>[Threaded comment]
Your version of Excel allows you to read this threaded comment; however, any edits to it will get removed if the file is opened in a newer version of Excel. Learn more: https://go.microsoft.com/fwlink/?linkid=870924
Comment:
    Capped at 5% of 2020 monthly gross income for those with average gross income &lt;$100,000/year</t>
      </text>
    </comment>
    <comment ref="B21" authorId="10" shapeId="0" xr:uid="{22C16A68-9575-49E8-A3B4-F4DCAC77479A}">
      <text>
        <t>[Threaded comment]
Your version of Excel allows you to read this threaded comment; however, any edits to it will get removed if the file is opened in a newer version of Excel. Learn more: https://go.microsoft.com/fwlink/?linkid=870924
Comment:
    Zero interest, no prepayment penalty, forbearance and extension available if hardship, no adverse tax consequences, debt is fully discharged (cancelled) in the event of death or long-term or permanent disability. Cannot be disharged in a bankruptcy without a court judgment in an adversary proceeding.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tc={77C781CF-6E2C-4217-89D6-11CE4F805895}</author>
    <author>tc={A287913A-EC2F-4F10-9B3D-5839ADC85EB7}</author>
  </authors>
  <commentList>
    <comment ref="A1" authorId="0" shapeId="0" xr:uid="{77C781CF-6E2C-4217-89D6-11CE4F805895}">
      <text>
        <t>[Threaded comment]
Your version of Excel allows you to read this threaded comment; however, any edits to it will get removed if the file is opened in a newer version of Excel. Learn more: https://go.microsoft.com/fwlink/?linkid=870924
Comment:
    These are not real people</t>
      </text>
    </comment>
    <comment ref="K1" authorId="1" shapeId="0" xr:uid="{A287913A-EC2F-4F10-9B3D-5839ADC85EB7}">
      <text>
        <t>[Threaded comment]
Your version of Excel allows you to read this threaded comment; however, any edits to it will get removed if the file is opened in a newer version of Excel. Learn more: https://go.microsoft.com/fwlink/?linkid=870924
Comment:
    Zero interest, no prepayment penalty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tc={3F44BB9A-AAE7-4F48-A682-4AA606E2FB23}</author>
    <author>tc={152978DD-52D0-4541-9FF0-08F4F305CC06}</author>
    <author>tc={B7B1A60F-2429-49C1-B67D-000A635581B7}</author>
    <author>tc={1DCF48D1-ED3C-49BD-8660-2FC4A162C91C}</author>
    <author>tc={4E515114-EDCB-41CF-AE28-738ADFAFC6B1}</author>
    <author>tc={3E70CD3E-3215-4A5D-B3E6-55513A60718B}</author>
    <author>tc={2C263970-D26C-4059-86A9-25A64B9BCF8B}</author>
    <author>tc={0F38B044-A3DB-4D51-9F30-AF20B0F0E796}</author>
    <author>tc={8414F1A4-B8D5-42A3-85AF-0A63885BA1EC}</author>
    <author>tc={A8C9004B-AE87-48EE-9D3C-A5AB243C7E20}</author>
    <author>tc={505DB251-4FFB-447E-BF73-6D94CB1663D1}</author>
    <author>tc={BA07457C-EF5C-4163-945B-4262BA938B9C}</author>
    <author>tc={341FB9BD-14A8-4716-8C04-BBACFE27786E}</author>
    <author>tc={C71A869A-CA78-41A6-997E-2E3CF65DA40C}</author>
  </authors>
  <commentList>
    <comment ref="D1" authorId="0" shapeId="0" xr:uid="{3F44BB9A-AAE7-4F48-A682-4AA606E2FB23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Current Balance &gt; Original Amount Borrowed (underwater)</t>
      </text>
    </comment>
    <comment ref="A2" authorId="1" shapeId="0" xr:uid="{152978DD-52D0-4541-9FF0-08F4F305CC06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 of 2019 &amp; 2020 Gross Incomes</t>
      </text>
    </comment>
    <comment ref="D2" authorId="2" shapeId="0" xr:uid="{B7B1A60F-2429-49C1-B67D-000A635581B7}">
      <text>
        <t>[Threaded comment]
Your version of Excel allows you to read this threaded comment; however, any edits to it will get removed if the file is opened in a newer version of Excel. Learn more: https://go.microsoft.com/fwlink/?linkid=870924
Comment:
    Measures how far "underwater"</t>
      </text>
    </comment>
    <comment ref="E2" authorId="3" shapeId="0" xr:uid="{1DCF48D1-ED3C-49BD-8660-2FC4A162C91C}">
      <text>
        <t>[Threaded comment]
Your version of Excel allows you to read this threaded comment; however, any edits to it will get removed if the file is opened in a newer version of Excel. Learn more: https://go.microsoft.com/fwlink/?linkid=870924
Comment:
    -5 is lowest possible value</t>
      </text>
    </comment>
    <comment ref="A3" authorId="4" shapeId="0" xr:uid="{4E515114-EDCB-41CF-AE28-738ADFAFC6B1}">
      <text>
        <t>[Threaded comment]
Your version of Excel allows you to read this threaded comment; however, any edits to it will get removed if the file is opened in a newer version of Excel. Learn more: https://go.microsoft.com/fwlink/?linkid=870924
Comment:
    Retirement Age is 62</t>
      </text>
    </comment>
    <comment ref="A11" authorId="5" shapeId="0" xr:uid="{3E70CD3E-3215-4A5D-B3E6-55513A60718B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 Income / Total Current Balance</t>
      </text>
    </comment>
    <comment ref="A12" authorId="6" shapeId="0" xr:uid="{2C263970-D26C-4059-86A9-25A64B9BCF8B}">
      <text>
        <t>[Threaded comment]
Your version of Excel allows you to read this threaded comment; however, any edits to it will get removed if the file is opened in a newer version of Excel. Learn more: https://go.microsoft.com/fwlink/?linkid=870924
Comment:
    (Years to retirement ^ 0.666) / (filing status + dependents)</t>
      </text>
    </comment>
    <comment ref="A13" authorId="7" shapeId="0" xr:uid="{0F38B044-A3DB-4D51-9F30-AF20B0F0E796}">
      <text>
        <t>[Threaded comment]
Your version of Excel allows you to read this threaded comment; however, any edits to it will get removed if the file is opened in a newer version of Excel. Learn more: https://go.microsoft.com/fwlink/?linkid=870924
Comment:
    Linear number that reduces Score for "underwater" borrowers (see Table One)</t>
      </text>
    </comment>
    <comment ref="E32" authorId="8" shapeId="0" xr:uid="{8414F1A4-B8D5-42A3-85AF-0A63885BA1EC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Solver attempting to generate a best-fit equation</t>
      </text>
    </comment>
    <comment ref="G34" authorId="9" shapeId="0" xr:uid="{A8C9004B-AE87-48EE-9D3C-A5AB243C7E20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 corrective factor to apply to Y_fit to arrive at Y_actual</t>
      </text>
    </comment>
    <comment ref="H34" authorId="10" shapeId="0" xr:uid="{505DB251-4FFB-447E-BF73-6D94CB1663D1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what Y "should" be based on the exponential distribution equation</t>
      </text>
    </comment>
    <comment ref="H41" authorId="11" shapeId="0" xr:uid="{BA07457C-EF5C-4163-945B-4262BA938B9C}">
      <text>
        <t>[Threaded comment]
Your version of Excel allows you to read this threaded comment; however, any edits to it will get removed if the file is opened in a newer version of Excel. Learn more: https://go.microsoft.com/fwlink/?linkid=870924
Comment:
    Can't go below 60 because that would cause the new plan balance to be greater than the current balance owed</t>
      </text>
    </comment>
    <comment ref="D47" authorId="12" shapeId="0" xr:uid="{341FB9BD-14A8-4716-8C04-BBACFE27786E}">
      <text>
        <t>[Threaded comment]
Your version of Excel allows you to read this threaded comment; however, any edits to it will get removed if the file is opened in a newer version of Excel. Learn more: https://go.microsoft.com/fwlink/?linkid=870924
Comment:
    FPL (Federal Poverty Level) / Median Income</t>
      </text>
    </comment>
    <comment ref="D50" authorId="13" shapeId="0" xr:uid="{C71A869A-CA78-41A6-997E-2E3CF65DA40C}">
      <text>
        <t>[Threaded comment]
Your version of Excel allows you to read this threaded comment; however, any edits to it will get removed if the file is opened in a newer version of Excel. Learn more: https://go.microsoft.com/fwlink/?linkid=870924
Comment:
    Median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tc={4A2E585E-E494-4205-8BA2-13BA38871108}</author>
    <author>tc={65833B37-6E4F-479E-A38C-3AAA74682C2A}</author>
  </authors>
  <commentList>
    <comment ref="A28" authorId="0" shapeId="0" xr:uid="{4A2E585E-E494-4205-8BA2-13BA38871108}">
      <text>
        <t>[Threaded comment]
Your version of Excel allows you to read this threaded comment; however, any edits to it will get removed if the file is opened in a newer version of Excel. Learn more: https://go.microsoft.com/fwlink/?linkid=870924
Comment:
    Factors that increase amount of loans forgiven</t>
      </text>
    </comment>
    <comment ref="A37" authorId="1" shapeId="0" xr:uid="{65833B37-6E4F-479E-A38C-3AAA74682C2A}">
      <text>
        <t>[Threaded comment]
Your version of Excel allows you to read this threaded comment; however, any edits to it will get removed if the file is opened in a newer version of Excel. Learn more: https://go.microsoft.com/fwlink/?linkid=870924
Comment:
    Original Loan Balance &gt; Total Current Balance (above water)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tc={3CC5075A-9064-45A3-90AA-93F213D60355}</author>
    <author>tc={EB80024F-B207-43D0-92DD-A0F6549319E9}</author>
    <author>tc={769DDF77-791B-4310-9A04-84D04CB87C51}</author>
    <author>tc={9C16F0DD-3549-4904-8B76-CB7E074B512D}</author>
    <author>tc={E7BA4945-5661-4648-9962-0A6A20574F48}</author>
    <author>tc={6BD9F1EB-0496-42D2-ADF9-C15EF79E38A8}</author>
  </authors>
  <commentList>
    <comment ref="G1" authorId="0" shapeId="0" xr:uid="{3CC5075A-9064-45A3-90AA-93F213D60355}">
      <text>
        <t>[Threaded comment]
Your version of Excel allows you to read this threaded comment; however, any edits to it will get removed if the file is opened in a newer version of Excel. Learn more: https://go.microsoft.com/fwlink/?linkid=870924
Comment:
    Interest only (nothing towards principal)</t>
      </text>
    </comment>
    <comment ref="I1" authorId="1" shapeId="0" xr:uid="{EB80024F-B207-43D0-92DD-A0F6549319E9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current balance and amount originally borrowed</t>
      </text>
    </comment>
    <comment ref="J1" authorId="2" shapeId="0" xr:uid="{769DDF77-791B-4310-9A04-84D04CB87C51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 of last two years</t>
      </text>
    </comment>
    <comment ref="O1" authorId="3" shapeId="0" xr:uid="{9C16F0DD-3549-4904-8B76-CB7E074B512D}">
      <text>
        <t>[Threaded comment]
Your version of Excel allows you to read this threaded comment; however, any edits to it will get removed if the file is opened in a newer version of Excel. Learn more: https://go.microsoft.com/fwlink/?linkid=870924
Comment:
    Paid in a lump-sum</t>
      </text>
    </comment>
    <comment ref="P1" authorId="4" shapeId="0" xr:uid="{E7BA4945-5661-4648-9962-0A6A20574F48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a 300 months (25 year) term</t>
      </text>
    </comment>
    <comment ref="Q1" authorId="5" shapeId="0" xr:uid="{6BD9F1EB-0496-42D2-ADF9-C15EF79E38A8}">
      <text>
        <t>[Threaded comment]
Your version of Excel allows you to read this threaded comment; however, any edits to it will get removed if the file is opened in a newer version of Excel. Learn more: https://go.microsoft.com/fwlink/?linkid=870924
Comment:
    Capped at 7 years unless age 60+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906F60-1834-4AE8-A34F-348A4DA86E4B}" keepAlive="1" name="Query - Append1" description="Connection to the 'Append1' query in the workbook." type="5" refreshedVersion="7" background="1" saveData="1">
    <dbPr connection="Provider=Microsoft.Mashup.OleDb.1;Data Source=$Workbook$;Location=Append1;Extended Properties=&quot;&quot;" command="SELECT * FROM [Append1]"/>
  </connection>
  <connection id="2" xr16:uid="{CB19F6C5-E000-4B73-9412-24C6D6156A49}" keepAlive="1" name="Query - Table 0" description="Connection to the 'Table 0' query in the workbook." type="5" refreshedVersion="0" background="1" saveData="1">
    <dbPr connection="Provider=Microsoft.Mashup.OleDb.1;Data Source=$Workbook$;Location=&quot;Table 0&quot;;Extended Properties=&quot;&quot;" command="SELECT * FROM [Table 0]"/>
  </connection>
  <connection id="3" xr16:uid="{597AF787-C9BC-439E-A955-841694456F34}" keepAlive="1" name="Query - Table 1" description="Connection to the 'Table 1' query in the workbook." type="5" refreshedVersion="0" background="1" saveData="1">
    <dbPr connection="Provider=Microsoft.Mashup.OleDb.1;Data Source=$Workbook$;Location=&quot;Table 1&quot;;Extended Properties=&quot;&quot;" command="SELECT * FROM [Table 1]"/>
  </connection>
  <connection id="4" xr16:uid="{3CEB911A-4D8D-4DA6-A228-13EAF5B726C4}" keepAlive="1" name="Query - Table 2" description="Connection to the 'Table 2' query in the workbook." type="5" refreshedVersion="0" background="1" saveData="1">
    <dbPr connection="Provider=Microsoft.Mashup.OleDb.1;Data Source=$Workbook$;Location=&quot;Table 2&quot;;Extended Properties=&quot;&quot;" command="SELECT * FROM [Table 2]"/>
  </connection>
  <connection id="5" xr16:uid="{485274D0-BAF9-4DDE-9ED8-450A408890B0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A3CDE26B-9BD3-489B-AA36-F5C4110A9093}" name="WorksheetConnection_Student Loan Forgiveness Calculator.xlsm!Table3" type="102" refreshedVersion="7" minRefreshableVersion="5">
    <extLst>
      <ext xmlns:x15="http://schemas.microsoft.com/office/spreadsheetml/2010/11/main" uri="{DE250136-89BD-433C-8126-D09CA5730AF9}">
        <x15:connection id="Table3">
          <x15:rangePr sourceName="_xlcn.WorksheetConnection_StudentLoanForgivenessCalculator.xlsmTable3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<sst xmlns="http://schemas.openxmlformats.org/spreadsheetml/2006/main" count="587" uniqueCount="407">
  <si>
    <t>Borrower</t>
  </si>
  <si>
    <t>Age</t>
  </si>
  <si>
    <t>Years 'till retirement</t>
  </si>
  <si>
    <t>Total loan balance</t>
  </si>
  <si>
    <t>Original amount borrowed</t>
  </si>
  <si>
    <t>Gross Annual Income</t>
  </si>
  <si>
    <t>Filing Status</t>
  </si>
  <si>
    <t>Single</t>
  </si>
  <si>
    <t>Married filing jointly</t>
  </si>
  <si>
    <t>Head of Household</t>
  </si>
  <si>
    <t>Score</t>
  </si>
  <si>
    <t>Remaining Balance</t>
  </si>
  <si>
    <t>Monthly payment</t>
  </si>
  <si>
    <t>Percent of monthly gross income</t>
  </si>
  <si>
    <t>Gross Monthly Income</t>
  </si>
  <si>
    <t>Percent Forgiven</t>
  </si>
  <si>
    <t>Years of Payments</t>
  </si>
  <si>
    <t>Positive Factors</t>
  </si>
  <si>
    <t>Negative Factors</t>
  </si>
  <si>
    <t>Filing status 3</t>
  </si>
  <si>
    <t>High income</t>
  </si>
  <si>
    <t>Filing status 1</t>
  </si>
  <si>
    <t>Low income</t>
  </si>
  <si>
    <t>Monthly Finance Charge</t>
  </si>
  <si>
    <t>Spread</t>
  </si>
  <si>
    <t>Dependents Under 18</t>
  </si>
  <si>
    <t>Total Percentage Forgiven</t>
  </si>
  <si>
    <t>Initial Amount Forgiven</t>
  </si>
  <si>
    <t>2019 Gross Income</t>
  </si>
  <si>
    <t>2020 Gross Income</t>
  </si>
  <si>
    <t>Dependents</t>
  </si>
  <si>
    <t>Code</t>
  </si>
  <si>
    <t>Calculations</t>
  </si>
  <si>
    <t>Amount to be Paid Back</t>
  </si>
  <si>
    <t>New Monthly Payment</t>
  </si>
  <si>
    <t>Years of Payments (zero interest)</t>
  </si>
  <si>
    <t>Notes</t>
  </si>
  <si>
    <t>With or without children</t>
  </si>
  <si>
    <t>Difference</t>
  </si>
  <si>
    <t>Percent of loan forgiven</t>
  </si>
  <si>
    <t>Short time 'till retirement</t>
  </si>
  <si>
    <t>Long time 'till retirement</t>
  </si>
  <si>
    <t>Single-parent household as custodial parent of 1 or more kids</t>
  </si>
  <si>
    <t>Borrower Serial No.</t>
  </si>
  <si>
    <t>Total Loan Balance</t>
  </si>
  <si>
    <t>Average Income 2019-20</t>
  </si>
  <si>
    <t>Total Amount Forgiven</t>
  </si>
  <si>
    <t>Yrs of Payments</t>
  </si>
  <si>
    <t>Total Payout</t>
  </si>
  <si>
    <t>Under age 18, regardless of where they reside</t>
  </si>
  <si>
    <t>Total amount due on all student loans as of today</t>
  </si>
  <si>
    <t>Compared to outstanding loan balance</t>
  </si>
  <si>
    <t>% Forgiven</t>
  </si>
  <si>
    <t>Column1</t>
  </si>
  <si>
    <t>Column2</t>
  </si>
  <si>
    <t>Column3</t>
  </si>
  <si>
    <t>Column4</t>
  </si>
  <si>
    <t>FY 2021 Median Family Incomes for States,</t>
  </si>
  <si>
    <t>Metropolitan and Nonmetropolitan Portions of States</t>
  </si>
  <si>
    <t>--------</t>
  </si>
  <si>
    <t>FY 2021</t>
  </si>
  <si>
    <t>TOTAL</t>
  </si>
  <si>
    <t>METRO</t>
  </si>
  <si>
    <t>NONMETRO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</si>
  <si>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</si>
  <si>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</si>
  <si>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</si>
  <si>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</si>
  <si>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</si>
  <si>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</si>
  <si>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</si>
  <si>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</si>
  <si>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63400*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</si>
  <si>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</si>
  <si>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</si>
  <si>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</si>
  <si>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</si>
  <si>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</si>
  <si>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</si>
  <si>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</si>
  <si>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</si>
  <si>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</si>
  <si>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</si>
  <si>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</si>
  <si>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</si>
  <si>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</si>
  <si>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</si>
  <si>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</si>
  <si>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</si>
  <si>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</si>
  <si>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</si>
  <si>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</si>
  <si>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</si>
  <si>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</si>
  <si>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</si>
  <si>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</si>
  <si>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</si>
  <si>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</si>
  <si>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</si>
  <si>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</si>
  <si>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</si>
  <si>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</si>
  <si>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</si>
  <si>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</si>
  <si>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</si>
  <si>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</si>
  <si>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</si>
  <si>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</si>
  <si>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</si>
  <si>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</si>
  <si>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</si>
  <si>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</si>
  <si>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</si>
  <si>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</si>
  <si>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</si>
  <si>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</si>
  <si>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US</t>
  </si>
  <si>
    <t>* US nonmetropolitan median</t>
  </si>
  <si>
    <t>State of Residence</t>
  </si>
  <si>
    <t>STATE</t>
  </si>
  <si>
    <t>State</t>
  </si>
  <si>
    <t>Column5</t>
  </si>
  <si>
    <t>ST</t>
  </si>
  <si>
    <t>AL</t>
  </si>
  <si>
    <t>AK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</si>
  <si>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</si>
  <si>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</si>
  <si>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</si>
  <si>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</si>
  <si>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</si>
  <si>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</si>
  <si>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</si>
  <si>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</si>
  <si>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</si>
  <si>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</si>
  <si>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</si>
  <si>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</si>
  <si>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</si>
  <si>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</si>
  <si>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</si>
  <si>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</si>
  <si>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</si>
  <si>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</si>
  <si>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</si>
  <si>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</si>
  <si>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</si>
  <si>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</si>
  <si>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</si>
  <si>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</si>
  <si>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</si>
  <si>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</si>
  <si>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</si>
  <si>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</si>
  <si>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</si>
  <si>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</si>
  <si>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</si>
  <si>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</si>
  <si>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</si>
  <si>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</si>
  <si>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</si>
  <si>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</si>
  <si>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</si>
  <si>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</si>
  <si>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</si>
  <si>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</si>
  <si>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</si>
  <si>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</si>
  <si>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</si>
  <si>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</si>
  <si>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</si>
  <si>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</si>
  <si>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</si>
  <si>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</si>
  <si>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</si>
  <si>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Married Filing Jointly</t>
  </si>
  <si>
    <t>Filing Status (IRS W-4)</t>
  </si>
  <si>
    <t>VIRGIN ISLANDS</t>
  </si>
  <si>
    <t>PUERTO RICO</t>
  </si>
  <si>
    <t>NORTHERN MARIANA ISLANDS</t>
  </si>
  <si>
    <t>GUAM</t>
  </si>
  <si>
    <r>
      <t>4 PEOPLE </t>
    </r>
    <r>
      <rPr>
        <b/>
        <sz val="14"/>
        <color rgb="FF000000"/>
        <rFont val="Arial"/>
        <family val="2"/>
      </rPr>
      <t>*</t>
    </r>
  </si>
  <si>
    <t>3 PEOPLE</t>
  </si>
  <si>
    <t>2 PEOPLE</t>
  </si>
  <si>
    <t>1 EARNER</t>
  </si>
  <si>
    <t>FAMILY SIZE</t>
  </si>
  <si>
    <t>WYOMING</t>
  </si>
  <si>
    <t>WISCONSIN</t>
  </si>
  <si>
    <t>WEST VIRGINIA</t>
  </si>
  <si>
    <t>WASHINGTON</t>
  </si>
  <si>
    <t>VIRGINIA</t>
  </si>
  <si>
    <t>VERMONT</t>
  </si>
  <si>
    <t>UTAH</t>
  </si>
  <si>
    <t>TEXAS</t>
  </si>
  <si>
    <t>TENNESSEE</t>
  </si>
  <si>
    <t>SOUTH DAKOTA</t>
  </si>
  <si>
    <t>SOUTH CAROLINA</t>
  </si>
  <si>
    <t>RHODE ISLAND</t>
  </si>
  <si>
    <t>PENNSYLVANIA</t>
  </si>
  <si>
    <t>OREGON</t>
  </si>
  <si>
    <t>OKLAHOMA</t>
  </si>
  <si>
    <t>OHIO</t>
  </si>
  <si>
    <t>NORTH DAKOTA</t>
  </si>
  <si>
    <t>NORTH CAROLINA</t>
  </si>
  <si>
    <t>NEW YORK</t>
  </si>
  <si>
    <t>NEW MEXICO</t>
  </si>
  <si>
    <t>NEW JERSEY</t>
  </si>
  <si>
    <t>NEW HAMPSHIRE</t>
  </si>
  <si>
    <t>NEVADA</t>
  </si>
  <si>
    <t>NEBRASKA</t>
  </si>
  <si>
    <t>MONTANA</t>
  </si>
  <si>
    <t>MISSOURI</t>
  </si>
  <si>
    <t>MISSISSIPPI</t>
  </si>
  <si>
    <t>MINNESOTA</t>
  </si>
  <si>
    <t>MICHIGAN</t>
  </si>
  <si>
    <t>MASSACHUSETTS</t>
  </si>
  <si>
    <t>MARYLAND</t>
  </si>
  <si>
    <t>MAINE</t>
  </si>
  <si>
    <t>LOUISIANA</t>
  </si>
  <si>
    <t>KENTUCKY</t>
  </si>
  <si>
    <t>KANSAS</t>
  </si>
  <si>
    <t>IOWA</t>
  </si>
  <si>
    <t>INDIANA</t>
  </si>
  <si>
    <t>ILLINOIS</t>
  </si>
  <si>
    <t>IDAHO</t>
  </si>
  <si>
    <t>HAWAII</t>
  </si>
  <si>
    <t>GEORGIA</t>
  </si>
  <si>
    <t>FLORIDA</t>
  </si>
  <si>
    <t>DISTRICT OF COLUMBIA</t>
  </si>
  <si>
    <t>DELAWARE</t>
  </si>
  <si>
    <t>CONNECTICUT</t>
  </si>
  <si>
    <t>COLORADO</t>
  </si>
  <si>
    <t>CALIFORNIA</t>
  </si>
  <si>
    <t>ARKANSAS</t>
  </si>
  <si>
    <t>ARIZONA</t>
  </si>
  <si>
    <t>ALASKA</t>
  </si>
  <si>
    <t>ALABAMA</t>
  </si>
  <si>
    <r>
      <t>* </t>
    </r>
    <r>
      <rPr>
        <i/>
        <sz val="12"/>
        <color rgb="FF000000"/>
        <rFont val="Times New Roman"/>
        <family val="1"/>
      </rPr>
      <t>Add $9,000 for each individual in excess of 4.</t>
    </r>
  </si>
  <si>
    <t>STATE/TERRITORY</t>
  </si>
  <si>
    <t>STATE/TERR</t>
  </si>
  <si>
    <t>1</t>
  </si>
  <si>
    <t>2</t>
  </si>
  <si>
    <t>3</t>
  </si>
  <si>
    <t>4</t>
  </si>
  <si>
    <t>5</t>
  </si>
  <si>
    <t>6</t>
  </si>
  <si>
    <t>7</t>
  </si>
  <si>
    <t>8</t>
  </si>
  <si>
    <t>GU</t>
  </si>
  <si>
    <t>VI</t>
  </si>
  <si>
    <t>PR</t>
  </si>
  <si>
    <t>NI</t>
  </si>
  <si>
    <t>Includes never married, divorced, married filing separately, and non-custodial single parents</t>
  </si>
  <si>
    <t>Pre-COVID-19 total gross income from employment, rental income, business income, lottery winnings, inheritance, or alimony, but excluding child support, unemployment, food stamps, and social security (SSD/SSI)</t>
  </si>
  <si>
    <t>Year 2020 total gross income from employment, rental income, business income, winnings, inheritances, or alimony, but excluding child support and social security</t>
  </si>
  <si>
    <t>It would take you:</t>
  </si>
  <si>
    <t>years!</t>
  </si>
  <si>
    <t>Interest Rate on Loan</t>
  </si>
  <si>
    <t>years old is when your payments would stop after all principal and interest is paid in full.</t>
  </si>
  <si>
    <t>Income-to-Debt</t>
  </si>
  <si>
    <t>years old is when your payments would stop with our zero-interest forgiveness plan.</t>
  </si>
  <si>
    <t>every month for up to 25 years (300 months)</t>
  </si>
  <si>
    <t>Interest-only payment per month</t>
  </si>
  <si>
    <t>this "income" tax equals</t>
  </si>
  <si>
    <t>Adjust</t>
  </si>
  <si>
    <t>cheaper!</t>
  </si>
  <si>
    <t>total cost of all principal and interest payments (not including any lender charges or fees)</t>
  </si>
  <si>
    <t>Table One</t>
  </si>
  <si>
    <t>Table Two</t>
  </si>
  <si>
    <t>Number of Dependents Under 18</t>
  </si>
  <si>
    <t>Amount Originally Borrowed</t>
  </si>
  <si>
    <t>Total Current Balance</t>
  </si>
  <si>
    <t>Total Current Loan Balance</t>
  </si>
  <si>
    <t>Difference (high negative)</t>
  </si>
  <si>
    <t>Difference (high positive)</t>
  </si>
  <si>
    <t>Obsolete</t>
  </si>
  <si>
    <t>Paying interest only on your current loan would cost</t>
  </si>
  <si>
    <t>at a 25% income tax rate (yours may vary)</t>
  </si>
  <si>
    <t>any remaining loan balance is then cancelled at the end</t>
  </si>
  <si>
    <t>more expensive than our zero-interest 5-year plan</t>
  </si>
  <si>
    <t>Income Means Test</t>
  </si>
  <si>
    <t>X</t>
  </si>
  <si>
    <t>Means Test Quotient (MTQ)</t>
  </si>
  <si>
    <t>Y/X</t>
  </si>
  <si>
    <t>dY/dX</t>
  </si>
  <si>
    <t>fitting constants</t>
  </si>
  <si>
    <t>residual</t>
  </si>
  <si>
    <t>Y_fit (A*exp(-AX))</t>
  </si>
  <si>
    <t>residual^2</t>
  </si>
  <si>
    <t>SUM =</t>
  </si>
  <si>
    <t>sum of residual^2</t>
  </si>
  <si>
    <t>Y_actual</t>
  </si>
  <si>
    <t>Y_actual / Y_fit</t>
  </si>
  <si>
    <t>New Y_actual</t>
  </si>
  <si>
    <t>New Table Two</t>
  </si>
  <si>
    <t>Old Table Two</t>
  </si>
  <si>
    <t>can't get to zero</t>
  </si>
  <si>
    <t>Y = 821.32*A * EXP(-A*X)</t>
  </si>
  <si>
    <t>Y = MTQ</t>
  </si>
  <si>
    <t>Residual Balance</t>
  </si>
  <si>
    <t>Y = mX + b</t>
  </si>
  <si>
    <t>If you keep your current loan</t>
  </si>
  <si>
    <t>total cost of interest-only payments for 25 years plus taxes, which is</t>
  </si>
  <si>
    <t>m = 1/-20000</t>
  </si>
  <si>
    <t>b = 0</t>
  </si>
  <si>
    <t>{if X &gt; 1, plan is 7 years</t>
  </si>
  <si>
    <t>7 year plan</t>
  </si>
  <si>
    <t>5 year plan</t>
  </si>
  <si>
    <t>Compares average 2019-2020 gross income to median state income threshold, above median = PASS = 7 year repayment plan, below median = FAIL = 5 year repayment plan</t>
  </si>
  <si>
    <t>Average Gross Income (B2)</t>
  </si>
  <si>
    <t>Average of the 2019 and 2020 gross incomes</t>
  </si>
  <si>
    <t>Median Income (B4)</t>
  </si>
  <si>
    <t>Median income for the state and family size of the borrower (borrower plus all dependents)</t>
  </si>
  <si>
    <t>Formula used to calculate initial amount of loan forgiveness: See Backend tab</t>
  </si>
  <si>
    <t>Only individuals ages 27 and over are eligible</t>
  </si>
  <si>
    <t>Residual balance divided by MTQ</t>
  </si>
  <si>
    <t>Y = 85 {for X &gt; 2.42}</t>
  </si>
  <si>
    <t>-0.5 = m*10000 = 10000/-20000</t>
  </si>
  <si>
    <t>X = Difference</t>
  </si>
  <si>
    <t>Y = X/-20000</t>
  </si>
  <si>
    <t>Y = Difference Adjustment</t>
  </si>
  <si>
    <t>Original Amount Borrowed</t>
  </si>
  <si>
    <t>Capped at five (5) or seven (7) years with zero interest; no pre-payment penalty; payments can be "piggybacked" onto end of loan due to financial hardship (job loss, pandemic, disability, etc.); no adverse tax consequences</t>
  </si>
  <si>
    <t>Monthly payment multiplied by 60 or 84; if total payout is below $1000, then the original student loan is forgiven in its entirety.</t>
  </si>
  <si>
    <t>% of Original Loan Forgiven</t>
  </si>
  <si>
    <t>The denominator that the residual balance is divided by to determine the monthly payment amount. The MTQ is 300 for B2/B4 &lt;= 1 and between 85 and 299 for B2/B4 &gt; 1 up to 2.42 and 85 for B2/B4 &gt; 2.42</t>
  </si>
  <si>
    <t>Total Current Balance - Initial Amount Forgiven</t>
  </si>
  <si>
    <t>Equals Total Current Balance divided by the Score</t>
  </si>
  <si>
    <t>Total amount of loans borrowed, exclusive of any interest accrued (listed on each promissory note)</t>
  </si>
  <si>
    <t>Total Current Balance - Original Amount Borrowed</t>
  </si>
  <si>
    <t>N/A</t>
  </si>
  <si>
    <t>Y = 821.32 * 0.885282783 * EXP(-0.885282783*X)</t>
  </si>
  <si>
    <t>Persons in family/household</t>
  </si>
  <si>
    <t>Poverty guideline</t>
  </si>
  <si>
    <t>Jurisdiction(s)</t>
  </si>
  <si>
    <t>THE 48 CONTIGUOUS STATES AND THE DISTRICT OF COLUMBIA</t>
  </si>
  <si>
    <t>X = B2/B6</t>
  </si>
  <si>
    <t xml:space="preserve"> X = B2 / B6</t>
  </si>
  <si>
    <t>B2/B6 =</t>
  </si>
  <si>
    <t>B2/B7 =</t>
  </si>
  <si>
    <t>{Y = indeterminate for B2 &lt;= B7</t>
  </si>
  <si>
    <t>best guess</t>
  </si>
  <si>
    <t>New Payoff Amount</t>
  </si>
  <si>
    <t>{for 0 &lt; X &lt; 100000</t>
  </si>
  <si>
    <t>Y= -5</t>
  </si>
  <si>
    <t>Y= 0</t>
  </si>
  <si>
    <t>{for X &lt; 0</t>
  </si>
  <si>
    <t>{for X &gt; 100000</t>
  </si>
  <si>
    <t>{if FPL &lt; X &lt; 0.5, plan is 3 years</t>
  </si>
  <si>
    <t>AMP as % of 2020 gross income</t>
  </si>
  <si>
    <t>Adjusted Monthly Payment (AMP)</t>
  </si>
  <si>
    <t>3 year plan</t>
  </si>
  <si>
    <t>Final Monthly Plan Payment (FMP)</t>
  </si>
  <si>
    <t>Final Total Plan Payout (FTP)</t>
  </si>
  <si>
    <t>Total Current Balance / Score = Initial Amount Forgiven</t>
  </si>
  <si>
    <t>Total Current Balance - Initial Amount Forgiven = Residual Balance</t>
  </si>
  <si>
    <t>Residual Balance / Means Test Quotient = Adjusted Monthly Payment</t>
  </si>
  <si>
    <t>Adjusted Monthly Payment x Plan Payment Length = Total Plan Payout</t>
  </si>
  <si>
    <t>% Loan Forgiven = 100 x [Total Current Balance - Total Plan Payout] / Total Current Balance</t>
  </si>
  <si>
    <t>3-year plan</t>
  </si>
  <si>
    <t>50% to 100% median income</t>
  </si>
  <si>
    <t>5-year plan</t>
  </si>
  <si>
    <t>Over 100% of median income</t>
  </si>
  <si>
    <t>7-year plan</t>
  </si>
  <si>
    <t>No payments</t>
  </si>
  <si>
    <t>[FS + Dep]</t>
  </si>
  <si>
    <t>{if 0.5 &lt;= X &lt;= 1, plan is 5 years</t>
  </si>
  <si>
    <t>A =</t>
  </si>
  <si>
    <t>0.65</t>
  </si>
  <si>
    <t xml:space="preserve">Score = </t>
  </si>
  <si>
    <t>(Avg Gross Income/Debt) + [(Years to Retirement)^0.65]/[FS+Dep] + Difference Adjustment</t>
  </si>
  <si>
    <t>Filing Status (FS)</t>
  </si>
  <si>
    <t>Dependents (Dep)</t>
  </si>
  <si>
    <t>Years to Retirement (YtR)</t>
  </si>
  <si>
    <t>[YtR^0.65] / [FS + Dep]</t>
  </si>
  <si>
    <t>Average Gross Income (AGI)</t>
  </si>
  <si>
    <t>{Zero payments if Age 60 or older</t>
  </si>
  <si>
    <t>{if AGI &lt;= FPL, zero payments</t>
  </si>
  <si>
    <t>{if 55 &lt; Age &lt; 60, plan is (60-Age) years' long</t>
  </si>
  <si>
    <t>YtR^</t>
  </si>
  <si>
    <t>Amount Written-off</t>
  </si>
  <si>
    <t>At or below FPL</t>
  </si>
  <si>
    <t>AGI as percent of median</t>
  </si>
  <si>
    <t>AGI as percent of FPL</t>
  </si>
  <si>
    <t>YtR / [FS+Dep]</t>
  </si>
  <si>
    <t>Governing equations</t>
  </si>
  <si>
    <t>AGI = Average of 2019 &amp; 2020 gross income</t>
  </si>
  <si>
    <t>YtR = 62-Age</t>
  </si>
  <si>
    <t>IAF = TCB / Score</t>
  </si>
  <si>
    <t>Total Current Balance (TCB)</t>
  </si>
  <si>
    <t>Median Income (MI)</t>
  </si>
  <si>
    <t>Original Amount Borrowed (OAB)</t>
  </si>
  <si>
    <t>Difference Adjustment (DA)</t>
  </si>
  <si>
    <t>Initial Amount Forgiven (IAF)</t>
  </si>
  <si>
    <t>Residual Balance (RB)</t>
  </si>
  <si>
    <t>TCB - IAF = RB</t>
  </si>
  <si>
    <t>AMP = RB/MTQ</t>
  </si>
  <si>
    <t>months</t>
  </si>
  <si>
    <t>Payment Plan Length (PPL)</t>
  </si>
  <si>
    <t>Total Plan Payout (TPP)</t>
  </si>
  <si>
    <t>AMP*PPL = TPP</t>
  </si>
  <si>
    <t>Score = AGI/TCB + [YtR^0.65 / (FS+Dep)] - DA</t>
  </si>
  <si>
    <t>Federal Poverty Level (FPL) 2021</t>
  </si>
  <si>
    <t>Above FPL up to 49.9% of median income</t>
  </si>
  <si>
    <t>2019 Gross Private Income</t>
  </si>
  <si>
    <t>2020 Gross Private Income</t>
  </si>
  <si>
    <t>Modified Loan Reduced to Simple Debt</t>
  </si>
  <si>
    <t>Percent of loan balance forgiven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</si>
</sst>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%"/>
    <numFmt numFmtId="167" formatCode="0.000"/>
    <numFmt numFmtId="168" formatCode="_(&quot;$&quot;* #,##0_);_(&quot;$&quot;* \(#,##0\);_(&quot;$&quot;* &quot;-&quot;??_);_(@_)"/>
    <numFmt numFmtId="169" formatCode="0000000"/>
    <numFmt numFmtId="170" formatCode="_([$$-409]* #,##0.00_);_([$$-409]* \(#,##0.00\);_([$$-409]* &quot;-&quot;??_);_(@_)"/>
    <numFmt numFmtId="171" formatCode="00000000"/>
    <numFmt numFmtId="172" formatCode="0000\ 0000"/>
    <numFmt numFmtId="173" formatCode="0.0"/>
    <numFmt numFmtId="174" formatCode="0.0000"/>
    <numFmt numFmtId="175" formatCode="0.0000000000"/>
    <numFmt numFmtId="176" formatCode="0.00000"/>
    <numFmt numFmtId="177" formatCode="0.000%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2060"/>
      <name val="Calibri"/>
      <family val="2"/>
      <scheme val="minor"/>
    </font>
    <font>
      <sz val="10"/>
      <color theme="4"/>
      <name val="Calibri"/>
      <family val="2"/>
      <scheme val="minor"/>
    </font>
    <font>
      <b/>
      <i/>
      <sz val="12"/>
      <color rgb="FFCC0000"/>
      <name val="Times New Roman"/>
      <family val="1"/>
    </font>
    <font>
      <b/>
      <sz val="8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i/>
      <sz val="12"/>
      <color rgb="FF000000"/>
      <name val="Times New Roman"/>
      <family val="1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3">
    <xf numFmtId="0" fontId="0" fillId="0" borderId="0" xfId="0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165" fontId="3" fillId="0" borderId="0" xfId="0" applyNumberFormat="1" applyFont="1"/>
    <xf numFmtId="165" fontId="4" fillId="0" borderId="0" xfId="0" applyNumberFormat="1" applyFont="1"/>
    <xf numFmtId="166" fontId="0" fillId="0" borderId="0" xfId="1" applyNumberFormat="1" applyFont="1"/>
    <xf numFmtId="165" fontId="5" fillId="0" borderId="0" xfId="0" applyNumberFormat="1" applyFont="1"/>
    <xf numFmtId="165" fontId="6" fillId="0" borderId="0" xfId="0" applyNumberFormat="1" applyFont="1"/>
    <xf numFmtId="0" fontId="6" fillId="0" borderId="0" xfId="0" applyFont="1"/>
    <xf numFmtId="0" fontId="3" fillId="0" borderId="0" xfId="0" applyFont="1"/>
    <xf numFmtId="0" fontId="5" fillId="0" borderId="0" xfId="0" applyFont="1"/>
    <xf numFmtId="0" fontId="0" fillId="0" borderId="1" xfId="0" applyBorder="1"/>
    <xf numFmtId="0" fontId="0" fillId="0" borderId="1" xfId="0" applyBorder="1" applyAlignment="1">
      <alignment horizontal="center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center"/>
    </xf>
    <xf numFmtId="168" fontId="0" fillId="0" borderId="1" xfId="0" applyNumberFormat="1" applyBorder="1"/>
    <xf numFmtId="44" fontId="0" fillId="0" borderId="1" xfId="2" applyFont="1" applyBorder="1" applyProtection="1"/>
    <xf numFmtId="1" fontId="0" fillId="0" borderId="1" xfId="0" applyNumberFormat="1" applyBorder="1"/>
    <xf numFmtId="168" fontId="0" fillId="0" borderId="0" xfId="0" applyNumberFormat="1"/>
    <xf numFmtId="0" fontId="0" fillId="0" borderId="7" xfId="0" applyBorder="1" applyAlignment="1">
      <alignment horizontal="center"/>
    </xf>
    <xf numFmtId="44" fontId="0" fillId="0" borderId="0" xfId="0" applyNumberFormat="1"/>
    <xf numFmtId="169" fontId="0" fillId="0" borderId="0" xfId="0" applyNumberFormat="1"/>
    <xf numFmtId="0" fontId="3" fillId="0" borderId="1" xfId="0" applyFont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Alignment="1">
      <alignment horizontal="center"/>
    </xf>
    <xf numFmtId="49" fontId="7" fillId="0" borderId="1" xfId="0" applyNumberFormat="1" applyFont="1" applyBorder="1" applyAlignment="1" applyProtection="1">
      <alignment horizontal="center" shrinkToFit="1"/>
      <protection locked="0"/>
    </xf>
    <xf numFmtId="0" fontId="0" fillId="0" borderId="0" xfId="0" applyAlignment="1">
      <alignment horizontal="right"/>
    </xf>
    <xf numFmtId="44" fontId="4" fillId="0" borderId="0" xfId="0" applyNumberFormat="1" applyFont="1" applyAlignment="1">
      <alignment horizontal="right"/>
    </xf>
    <xf numFmtId="168" fontId="3" fillId="0" borderId="1" xfId="0" applyNumberFormat="1" applyFont="1" applyBorder="1" applyAlignment="1" applyProtection="1">
      <alignment horizontal="center"/>
      <protection locked="0"/>
    </xf>
    <xf numFmtId="170" fontId="0" fillId="0" borderId="1" xfId="0" applyNumberFormat="1" applyBorder="1"/>
    <xf numFmtId="170" fontId="2" fillId="0" borderId="2" xfId="0" applyNumberFormat="1" applyFont="1" applyBorder="1"/>
    <xf numFmtId="166" fontId="0" fillId="0" borderId="0" xfId="1" applyNumberFormat="1" applyFont="1" applyBorder="1"/>
    <xf numFmtId="168" fontId="0" fillId="0" borderId="0" xfId="2" applyNumberFormat="1" applyFont="1"/>
    <xf numFmtId="5" fontId="4" fillId="0" borderId="0" xfId="2" applyNumberFormat="1" applyFont="1" applyBorder="1" applyAlignment="1" applyProtection="1">
      <alignment horizontal="right"/>
      <protection locked="0"/>
    </xf>
    <xf numFmtId="5" fontId="4" fillId="0" borderId="0" xfId="0" applyNumberFormat="1" applyFont="1" applyAlignment="1">
      <alignment horizontal="right"/>
    </xf>
    <xf numFmtId="1" fontId="4" fillId="0" borderId="0" xfId="0" applyNumberFormat="1" applyFont="1" applyAlignment="1">
      <alignment horizontal="center"/>
    </xf>
    <xf numFmtId="7" fontId="0" fillId="0" borderId="0" xfId="0" applyNumberFormat="1" applyAlignment="1">
      <alignment horizontal="center"/>
    </xf>
    <xf numFmtId="171" fontId="0" fillId="0" borderId="0" xfId="0" applyNumberFormat="1"/>
    <xf numFmtId="172" fontId="0" fillId="0" borderId="0" xfId="0" applyNumberFormat="1"/>
    <xf numFmtId="164" fontId="4" fillId="0" borderId="0" xfId="0" applyNumberFormat="1" applyFont="1" applyAlignment="1">
      <alignment horizontal="right"/>
    </xf>
    <xf numFmtId="6" fontId="11" fillId="4" borderId="9" xfId="0" applyNumberFormat="1" applyFont="1" applyFill="1" applyBorder="1" applyAlignment="1">
      <alignment horizontal="center" vertical="center" wrapText="1"/>
    </xf>
    <xf numFmtId="6" fontId="11" fillId="4" borderId="13" xfId="0" applyNumberFormat="1" applyFont="1" applyFill="1" applyBorder="1" applyAlignment="1">
      <alignment horizontal="center" vertical="center" wrapText="1"/>
    </xf>
    <xf numFmtId="6" fontId="11" fillId="4" borderId="11" xfId="0" applyNumberFormat="1" applyFont="1" applyFill="1" applyBorder="1" applyAlignment="1">
      <alignment horizontal="center" vertical="center" wrapText="1"/>
    </xf>
    <xf numFmtId="6" fontId="11" fillId="4" borderId="14" xfId="0" applyNumberFormat="1" applyFont="1" applyFill="1" applyBorder="1" applyAlignment="1">
      <alignment horizontal="center" vertical="center" wrapText="1"/>
    </xf>
    <xf numFmtId="6" fontId="11" fillId="4" borderId="1" xfId="0" applyNumberFormat="1" applyFont="1" applyFill="1" applyBorder="1" applyAlignment="1">
      <alignment horizontal="center" vertical="center" wrapText="1"/>
    </xf>
    <xf numFmtId="0" fontId="12" fillId="3" borderId="15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13" fillId="4" borderId="16" xfId="0" applyFont="1" applyFill="1" applyBorder="1" applyAlignment="1">
      <alignment horizontal="left" vertical="center" wrapText="1"/>
    </xf>
    <xf numFmtId="0" fontId="13" fillId="4" borderId="17" xfId="0" applyFont="1" applyFill="1" applyBorder="1" applyAlignment="1">
      <alignment horizontal="left" vertical="center" wrapText="1"/>
    </xf>
    <xf numFmtId="6" fontId="11" fillId="4" borderId="3" xfId="0" applyNumberFormat="1" applyFont="1" applyFill="1" applyBorder="1" applyAlignment="1">
      <alignment horizontal="center" vertical="center" wrapText="1"/>
    </xf>
    <xf numFmtId="6" fontId="11" fillId="4" borderId="6" xfId="0" applyNumberFormat="1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0" fontId="13" fillId="3" borderId="18" xfId="0" applyFont="1" applyFill="1" applyBorder="1" applyAlignment="1">
      <alignment horizontal="left" vertical="center" wrapText="1"/>
    </xf>
    <xf numFmtId="0" fontId="11" fillId="5" borderId="15" xfId="0" applyFont="1" applyFill="1" applyBorder="1" applyAlignment="1">
      <alignment horizontal="center" vertical="center" wrapText="1"/>
    </xf>
    <xf numFmtId="6" fontId="11" fillId="5" borderId="1" xfId="0" applyNumberFormat="1" applyFont="1" applyFill="1" applyBorder="1" applyAlignment="1">
      <alignment horizontal="center" vertical="center" wrapText="1"/>
    </xf>
    <xf numFmtId="168" fontId="18" fillId="0" borderId="1" xfId="0" applyNumberFormat="1" applyFont="1" applyBorder="1" applyAlignment="1" applyProtection="1">
      <alignment horizontal="center"/>
      <protection locked="0"/>
    </xf>
    <xf numFmtId="0" fontId="0" fillId="3" borderId="1" xfId="0" applyFill="1" applyBorder="1"/>
    <xf numFmtId="0" fontId="0" fillId="3" borderId="3" xfId="0" applyFill="1" applyBorder="1"/>
    <xf numFmtId="0" fontId="0" fillId="3" borderId="6" xfId="0" applyFill="1" applyBorder="1"/>
    <xf numFmtId="167" fontId="0" fillId="0" borderId="1" xfId="0" applyNumberFormat="1" applyBorder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6" borderId="1" xfId="0" applyFill="1" applyBorder="1" applyAlignment="1">
      <alignment wrapText="1"/>
    </xf>
    <xf numFmtId="173" fontId="0" fillId="0" borderId="1" xfId="0" applyNumberFormat="1" applyBorder="1" applyAlignment="1">
      <alignment horizontal="center" wrapText="1"/>
    </xf>
    <xf numFmtId="10" fontId="3" fillId="0" borderId="1" xfId="1" applyNumberFormat="1" applyFont="1" applyBorder="1" applyProtection="1">
      <protection locked="0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44" fontId="19" fillId="3" borderId="0" xfId="0" applyNumberFormat="1" applyFont="1" applyFill="1"/>
    <xf numFmtId="166" fontId="19" fillId="3" borderId="0" xfId="1" applyNumberFormat="1" applyFont="1" applyFill="1"/>
    <xf numFmtId="165" fontId="0" fillId="0" borderId="1" xfId="0" applyNumberFormat="1" applyBorder="1"/>
    <xf numFmtId="167" fontId="17" fillId="0" borderId="1" xfId="0" applyNumberFormat="1" applyFont="1" applyBorder="1"/>
    <xf numFmtId="0" fontId="0" fillId="6" borderId="1" xfId="0" applyFill="1" applyBorder="1" applyAlignment="1">
      <alignment vertical="center" wrapText="1"/>
    </xf>
    <xf numFmtId="165" fontId="0" fillId="0" borderId="1" xfId="0" applyNumberFormat="1" applyBorder="1" applyAlignment="1">
      <alignment vertical="center" wrapText="1"/>
    </xf>
    <xf numFmtId="165" fontId="0" fillId="0" borderId="1" xfId="0" applyNumberFormat="1" applyBorder="1" applyAlignment="1">
      <alignment horizontal="right" vertical="center" wrapText="1"/>
    </xf>
    <xf numFmtId="0" fontId="0" fillId="0" borderId="0" xfId="0" applyAlignment="1">
      <alignment vertical="center" wrapText="1"/>
    </xf>
    <xf numFmtId="5" fontId="4" fillId="0" borderId="0" xfId="2" applyNumberFormat="1" applyFont="1" applyAlignment="1" applyProtection="1">
      <alignment horizontal="right"/>
      <protection locked="0"/>
    </xf>
    <xf numFmtId="166" fontId="0" fillId="0" borderId="7" xfId="1" applyNumberFormat="1" applyFont="1" applyBorder="1" applyAlignment="1" applyProtection="1">
      <alignment horizontal="center"/>
    </xf>
    <xf numFmtId="165" fontId="0" fillId="0" borderId="1" xfId="0" applyNumberFormat="1" applyBorder="1" applyAlignment="1">
      <alignment horizontal="center" wrapText="1"/>
    </xf>
    <xf numFmtId="0" fontId="0" fillId="5" borderId="1" xfId="0" applyFill="1" applyBorder="1" applyAlignment="1">
      <alignment horizontal="center" vertical="center" wrapText="1"/>
    </xf>
    <xf numFmtId="49" fontId="0" fillId="0" borderId="0" xfId="0" applyNumberFormat="1" applyAlignment="1">
      <alignment vertical="center"/>
    </xf>
    <xf numFmtId="8" fontId="0" fillId="0" borderId="1" xfId="0" applyNumberFormat="1" applyBorder="1" applyAlignment="1">
      <alignment horizontal="right" vertical="center" wrapText="1"/>
    </xf>
    <xf numFmtId="166" fontId="0" fillId="0" borderId="0" xfId="1" applyNumberFormat="1" applyFont="1" applyBorder="1" applyAlignment="1" applyProtection="1">
      <alignment horizontal="center"/>
    </xf>
    <xf numFmtId="0" fontId="0" fillId="0" borderId="0" xfId="0" quotePrefix="1"/>
    <xf numFmtId="167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17" fillId="0" borderId="0" xfId="0" applyFont="1"/>
    <xf numFmtId="0" fontId="0" fillId="0" borderId="2" xfId="0" quotePrefix="1" applyBorder="1"/>
    <xf numFmtId="173" fontId="24" fillId="0" borderId="1" xfId="0" applyNumberFormat="1" applyFont="1" applyBorder="1" applyAlignment="1">
      <alignment horizontal="center" wrapText="1"/>
    </xf>
    <xf numFmtId="2" fontId="0" fillId="9" borderId="1" xfId="0" applyNumberFormat="1" applyFill="1" applyBorder="1"/>
    <xf numFmtId="167" fontId="0" fillId="9" borderId="1" xfId="0" applyNumberFormat="1" applyFill="1" applyBorder="1"/>
    <xf numFmtId="167" fontId="0" fillId="10" borderId="1" xfId="0" applyNumberFormat="1" applyFill="1" applyBorder="1"/>
    <xf numFmtId="2" fontId="0" fillId="10" borderId="1" xfId="0" applyNumberFormat="1" applyFill="1" applyBorder="1"/>
    <xf numFmtId="167" fontId="0" fillId="11" borderId="1" xfId="0" applyNumberFormat="1" applyFill="1" applyBorder="1"/>
    <xf numFmtId="0" fontId="2" fillId="12" borderId="1" xfId="0" applyFont="1" applyFill="1" applyBorder="1" applyAlignment="1">
      <alignment horizontal="center"/>
    </xf>
    <xf numFmtId="166" fontId="0" fillId="0" borderId="1" xfId="1" applyNumberFormat="1" applyFont="1" applyBorder="1" applyProtection="1"/>
    <xf numFmtId="167" fontId="0" fillId="9" borderId="7" xfId="0" applyNumberFormat="1" applyFill="1" applyBorder="1"/>
    <xf numFmtId="2" fontId="0" fillId="9" borderId="7" xfId="0" applyNumberFormat="1" applyFill="1" applyBorder="1"/>
    <xf numFmtId="167" fontId="0" fillId="11" borderId="20" xfId="0" applyNumberFormat="1" applyFill="1" applyBorder="1"/>
    <xf numFmtId="2" fontId="0" fillId="11" borderId="20" xfId="0" applyNumberFormat="1" applyFill="1" applyBorder="1"/>
    <xf numFmtId="2" fontId="0" fillId="10" borderId="7" xfId="0" applyNumberFormat="1" applyFill="1" applyBorder="1"/>
    <xf numFmtId="2" fontId="0" fillId="0" borderId="0" xfId="0" applyNumberFormat="1" applyAlignment="1">
      <alignment horizontal="right"/>
    </xf>
    <xf numFmtId="176" fontId="0" fillId="0" borderId="0" xfId="0" applyNumberFormat="1" applyAlignment="1">
      <alignment horizontal="left"/>
    </xf>
    <xf numFmtId="9" fontId="0" fillId="0" borderId="0" xfId="1" applyFont="1"/>
    <xf numFmtId="164" fontId="0" fillId="0" borderId="0" xfId="2" applyNumberFormat="1" applyFont="1"/>
    <xf numFmtId="165" fontId="0" fillId="0" borderId="0" xfId="2" applyNumberFormat="1" applyFont="1"/>
    <xf numFmtId="2" fontId="0" fillId="0" borderId="0" xfId="2" applyNumberFormat="1" applyFont="1"/>
    <xf numFmtId="177" fontId="0" fillId="0" borderId="0" xfId="1" applyNumberFormat="1" applyFont="1"/>
    <xf numFmtId="9" fontId="0" fillId="0" borderId="0" xfId="0" applyNumberFormat="1"/>
    <xf numFmtId="2" fontId="0" fillId="11" borderId="7" xfId="0" applyNumberFormat="1" applyFill="1" applyBorder="1"/>
    <xf numFmtId="1" fontId="0" fillId="0" borderId="1" xfId="0" applyNumberFormat="1" applyBorder="1" applyAlignment="1">
      <alignment horizontal="right"/>
    </xf>
    <xf numFmtId="168" fontId="2" fillId="0" borderId="1" xfId="0" applyNumberFormat="1" applyFont="1" applyBorder="1"/>
    <xf numFmtId="173" fontId="0" fillId="0" borderId="1" xfId="0" applyNumberFormat="1" applyBorder="1" applyAlignment="1">
      <alignment horizontal="center"/>
    </xf>
    <xf numFmtId="0" fontId="22" fillId="0" borderId="1" xfId="0" applyFont="1" applyBorder="1"/>
    <xf numFmtId="0" fontId="2" fillId="0" borderId="1" xfId="0" applyFont="1" applyBorder="1"/>
    <xf numFmtId="175" fontId="0" fillId="0" borderId="1" xfId="0" applyNumberFormat="1" applyBorder="1"/>
    <xf numFmtId="0" fontId="0" fillId="0" borderId="23" xfId="0" applyBorder="1"/>
    <xf numFmtId="165" fontId="0" fillId="0" borderId="23" xfId="0" applyNumberFormat="1" applyBorder="1"/>
    <xf numFmtId="174" fontId="0" fillId="0" borderId="1" xfId="0" applyNumberFormat="1" applyBorder="1"/>
    <xf numFmtId="2" fontId="0" fillId="0" borderId="1" xfId="0" applyNumberFormat="1" applyBorder="1"/>
    <xf numFmtId="2" fontId="3" fillId="0" borderId="1" xfId="0" applyNumberFormat="1" applyFont="1" applyBorder="1"/>
    <xf numFmtId="2" fontId="23" fillId="0" borderId="1" xfId="0" applyNumberFormat="1" applyFont="1" applyBorder="1"/>
    <xf numFmtId="167" fontId="4" fillId="10" borderId="7" xfId="0" applyNumberFormat="1" applyFont="1" applyFill="1" applyBorder="1"/>
    <xf numFmtId="0" fontId="0" fillId="0" borderId="24" xfId="0" applyBorder="1"/>
    <xf numFmtId="44" fontId="0" fillId="0" borderId="1" xfId="0" applyNumberFormat="1" applyBorder="1"/>
    <xf numFmtId="167" fontId="27" fillId="13" borderId="7" xfId="0" applyNumberFormat="1" applyFont="1" applyFill="1" applyBorder="1"/>
    <xf numFmtId="2" fontId="0" fillId="13" borderId="7" xfId="0" applyNumberFormat="1" applyFill="1" applyBorder="1"/>
    <xf numFmtId="167" fontId="0" fillId="0" borderId="21" xfId="0" applyNumberFormat="1" applyBorder="1"/>
    <xf numFmtId="167" fontId="0" fillId="0" borderId="1" xfId="0" applyNumberFormat="1" applyBorder="1" applyAlignment="1">
      <alignment horizontal="right"/>
    </xf>
    <xf numFmtId="44" fontId="0" fillId="0" borderId="1" xfId="2" applyFont="1" applyBorder="1"/>
    <xf numFmtId="0" fontId="28" fillId="0" borderId="0" xfId="0" applyFont="1" applyAlignment="1">
      <alignment horizontal="center"/>
    </xf>
    <xf numFmtId="0" fontId="28" fillId="0" borderId="0" xfId="0" applyFont="1"/>
    <xf numFmtId="0" fontId="0" fillId="0" borderId="0" xfId="0" applyAlignment="1">
      <alignment horizontal="left"/>
    </xf>
    <xf numFmtId="0" fontId="26" fillId="0" borderId="0" xfId="0" applyFont="1"/>
    <xf numFmtId="0" fontId="0" fillId="0" borderId="6" xfId="0" applyBorder="1"/>
    <xf numFmtId="0" fontId="0" fillId="0" borderId="28" xfId="0" applyBorder="1" applyAlignment="1">
      <alignment horizontal="right"/>
    </xf>
    <xf numFmtId="0" fontId="0" fillId="0" borderId="29" xfId="0" applyBorder="1"/>
    <xf numFmtId="0" fontId="0" fillId="0" borderId="19" xfId="0" applyBorder="1" applyAlignment="1">
      <alignment horizontal="right"/>
    </xf>
    <xf numFmtId="0" fontId="0" fillId="0" borderId="19" xfId="0" applyBorder="1"/>
    <xf numFmtId="0" fontId="0" fillId="0" borderId="27" xfId="0" applyBorder="1"/>
    <xf numFmtId="0" fontId="0" fillId="0" borderId="25" xfId="0" applyBorder="1"/>
    <xf numFmtId="0" fontId="17" fillId="0" borderId="6" xfId="0" applyFont="1" applyBorder="1"/>
    <xf numFmtId="0" fontId="0" fillId="0" borderId="30" xfId="0" applyBorder="1"/>
    <xf numFmtId="0" fontId="0" fillId="0" borderId="28" xfId="0" applyBorder="1"/>
    <xf numFmtId="0" fontId="17" fillId="0" borderId="29" xfId="0" applyFont="1" applyBorder="1"/>
    <xf numFmtId="9" fontId="0" fillId="0" borderId="7" xfId="1" applyFont="1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0" fillId="13" borderId="6" xfId="0" applyFill="1" applyBorder="1"/>
    <xf numFmtId="0" fontId="0" fillId="13" borderId="30" xfId="0" applyFill="1" applyBorder="1"/>
    <xf numFmtId="0" fontId="0" fillId="11" borderId="29" xfId="0" applyFill="1" applyBorder="1"/>
    <xf numFmtId="0" fontId="0" fillId="11" borderId="0" xfId="0" applyFill="1"/>
    <xf numFmtId="0" fontId="0" fillId="10" borderId="29" xfId="0" applyFill="1" applyBorder="1"/>
    <xf numFmtId="0" fontId="0" fillId="10" borderId="0" xfId="0" applyFill="1"/>
    <xf numFmtId="0" fontId="0" fillId="13" borderId="29" xfId="0" applyFill="1" applyBorder="1"/>
    <xf numFmtId="0" fontId="0" fillId="13" borderId="0" xfId="0" applyFill="1"/>
    <xf numFmtId="0" fontId="0" fillId="13" borderId="28" xfId="0" applyFill="1" applyBorder="1"/>
    <xf numFmtId="0" fontId="0" fillId="13" borderId="19" xfId="0" applyFill="1" applyBorder="1"/>
    <xf numFmtId="0" fontId="0" fillId="11" borderId="19" xfId="0" applyFill="1" applyBorder="1"/>
    <xf numFmtId="0" fontId="0" fillId="10" borderId="19" xfId="0" applyFill="1" applyBorder="1"/>
    <xf numFmtId="2" fontId="0" fillId="0" borderId="21" xfId="0" applyNumberFormat="1" applyBorder="1" applyAlignment="1">
      <alignment horizontal="center"/>
    </xf>
    <xf numFmtId="0" fontId="2" fillId="2" borderId="33" xfId="0" applyFont="1" applyFill="1" applyBorder="1" applyAlignment="1">
      <alignment horizontal="center"/>
    </xf>
    <xf numFmtId="0" fontId="22" fillId="2" borderId="34" xfId="0" applyFont="1" applyFill="1" applyBorder="1" applyAlignment="1">
      <alignment horizontal="center"/>
    </xf>
    <xf numFmtId="165" fontId="0" fillId="0" borderId="33" xfId="0" applyNumberFormat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165" fontId="0" fillId="0" borderId="36" xfId="0" applyNumberFormat="1" applyBorder="1"/>
    <xf numFmtId="165" fontId="0" fillId="0" borderId="37" xfId="0" applyNumberFormat="1" applyBorder="1"/>
    <xf numFmtId="0" fontId="0" fillId="0" borderId="38" xfId="0" applyBorder="1" applyAlignment="1">
      <alignment horizontal="center"/>
    </xf>
    <xf numFmtId="2" fontId="0" fillId="9" borderId="40" xfId="0" applyNumberFormat="1" applyFill="1" applyBorder="1"/>
    <xf numFmtId="167" fontId="4" fillId="9" borderId="39" xfId="0" applyNumberFormat="1" applyFont="1" applyFill="1" applyBorder="1"/>
    <xf numFmtId="0" fontId="28" fillId="13" borderId="25" xfId="0" applyFont="1" applyFill="1" applyBorder="1" applyAlignment="1">
      <alignment horizontal="center" vertical="center"/>
    </xf>
    <xf numFmtId="0" fontId="28" fillId="0" borderId="21" xfId="0" applyFont="1" applyBorder="1" applyAlignment="1">
      <alignment horizontal="center" vertical="center"/>
    </xf>
    <xf numFmtId="0" fontId="0" fillId="0" borderId="41" xfId="0" applyBorder="1"/>
    <xf numFmtId="0" fontId="0" fillId="0" borderId="0" xfId="0" quotePrefix="1" applyAlignment="1">
      <alignment horizontal="left" indent="1"/>
    </xf>
    <xf numFmtId="0" fontId="29" fillId="0" borderId="0" xfId="0" applyFont="1" applyAlignment="1">
      <alignment horizontal="left"/>
    </xf>
    <xf numFmtId="174" fontId="0" fillId="0" borderId="0" xfId="0" applyNumberFormat="1"/>
    <xf numFmtId="2" fontId="3" fillId="0" borderId="0" xfId="0" applyNumberFormat="1" applyFont="1"/>
    <xf numFmtId="2" fontId="23" fillId="0" borderId="0" xfId="0" applyNumberFormat="1" applyFont="1"/>
    <xf numFmtId="168" fontId="0" fillId="0" borderId="1" xfId="1" applyNumberFormat="1" applyFont="1" applyBorder="1" applyProtection="1"/>
    <xf numFmtId="165" fontId="0" fillId="0" borderId="42" xfId="0" applyNumberFormat="1" applyBorder="1"/>
    <xf numFmtId="0" fontId="0" fillId="0" borderId="43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22" xfId="0" applyBorder="1" applyAlignment="1">
      <alignment horizontal="center"/>
    </xf>
    <xf numFmtId="0" fontId="30" fillId="0" borderId="0" xfId="0" applyFont="1"/>
    <xf numFmtId="0" fontId="20" fillId="0" borderId="0" xfId="0" applyFont="1" applyAlignment="1">
      <alignment vertical="top" wrapText="1"/>
    </xf>
    <xf numFmtId="0" fontId="21" fillId="5" borderId="1" xfId="0" applyFont="1" applyFill="1" applyBorder="1" applyAlignment="1">
      <alignment horizontal="center" wrapText="1"/>
    </xf>
    <xf numFmtId="0" fontId="0" fillId="6" borderId="5" xfId="0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5" fillId="10" borderId="7" xfId="0" applyFont="1" applyFill="1" applyBorder="1" applyAlignment="1">
      <alignment horizontal="center" vertical="center" textRotation="90"/>
    </xf>
    <xf numFmtId="0" fontId="25" fillId="10" borderId="1" xfId="0" applyFont="1" applyFill="1" applyBorder="1" applyAlignment="1">
      <alignment horizontal="center" vertical="center" textRotation="90"/>
    </xf>
    <xf numFmtId="0" fontId="16" fillId="2" borderId="3" xfId="0" applyFont="1" applyFill="1" applyBorder="1" applyAlignment="1">
      <alignment horizontal="center"/>
    </xf>
    <xf numFmtId="0" fontId="16" fillId="2" borderId="4" xfId="0" applyFont="1" applyFill="1" applyBorder="1" applyAlignment="1">
      <alignment horizontal="center"/>
    </xf>
    <xf numFmtId="0" fontId="26" fillId="5" borderId="1" xfId="0" applyFont="1" applyFill="1" applyBorder="1" applyAlignment="1">
      <alignment horizontal="center"/>
    </xf>
    <xf numFmtId="0" fontId="28" fillId="11" borderId="1" xfId="0" applyFont="1" applyFill="1" applyBorder="1" applyAlignment="1">
      <alignment horizontal="center" vertical="center" textRotation="90"/>
    </xf>
    <xf numFmtId="0" fontId="28" fillId="11" borderId="20" xfId="0" applyFont="1" applyFill="1" applyBorder="1" applyAlignment="1">
      <alignment horizontal="center" vertical="center" textRotation="90"/>
    </xf>
    <xf numFmtId="165" fontId="0" fillId="5" borderId="3" xfId="0" applyNumberFormat="1" applyFill="1" applyBorder="1" applyAlignment="1">
      <alignment horizontal="center"/>
    </xf>
    <xf numFmtId="165" fontId="0" fillId="5" borderId="26" xfId="0" applyNumberFormat="1" applyFill="1" applyBorder="1" applyAlignment="1">
      <alignment horizontal="center"/>
    </xf>
    <xf numFmtId="165" fontId="0" fillId="5" borderId="4" xfId="0" applyNumberFormat="1" applyFill="1" applyBorder="1" applyAlignment="1">
      <alignment horizontal="center"/>
    </xf>
    <xf numFmtId="0" fontId="25" fillId="7" borderId="31" xfId="0" applyFont="1" applyFill="1" applyBorder="1" applyAlignment="1">
      <alignment horizontal="center"/>
    </xf>
    <xf numFmtId="0" fontId="25" fillId="7" borderId="32" xfId="0" applyFont="1" applyFill="1" applyBorder="1" applyAlignment="1">
      <alignment horizontal="center"/>
    </xf>
    <xf numFmtId="0" fontId="0" fillId="0" borderId="3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3" borderId="12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8" fillId="4" borderId="8" xfId="0" applyFont="1" applyFill="1" applyBorder="1" applyAlignment="1">
      <alignment vertical="center" wrapText="1"/>
    </xf>
    <xf numFmtId="0" fontId="8" fillId="4" borderId="0" xfId="0" applyFont="1" applyFill="1" applyAlignment="1">
      <alignment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0" fillId="8" borderId="1" xfId="0" applyFill="1" applyBorder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5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&quot;$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indexed="64"/>
        </bottom>
        <vertical/>
        <horizontal/>
      </border>
    </dxf>
    <dxf>
      <border outline="0">
        <left style="thin">
          <color rgb="FF000000"/>
        </left>
        <right style="thin">
          <color indexed="64"/>
        </righ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0" formatCode="&quot;$&quot;#,##0_);[Red]\(&quot;$&quot;#,##0\)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color theme="0"/>
      </font>
      <fill>
        <patternFill patternType="solid"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206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%"/>
    </dxf>
    <dxf>
      <numFmt numFmtId="34" formatCode="_(&quot;$&quot;* #,##0.00_);_(&quot;$&quot;* \(#,##0.00\);_(&quot;$&quot;* &quot;-&quot;??_);_(@_)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9" formatCode="&quot;$&quot;#,##0_);\(&quot;$&quot;#,##0\)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9" formatCode="&quot;$&quot;#,##0_);\(&quot;$&quot;#,##0\)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9" formatCode="&quot;$&quot;#,##0_);\(&quot;$&quot;#,##0\)"/>
      <alignment horizontal="right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2" formatCode="0000\ 000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9.xml"/><Relationship Id="rId18" Type="http://schemas.openxmlformats.org/officeDocument/2006/relationships/sheetMetadata" Target="metadata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chartsheet" Target="chartsheets/sheet3.xml"/><Relationship Id="rId12" Type="http://schemas.openxmlformats.org/officeDocument/2006/relationships/worksheet" Target="worksheets/sheet8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10/relationships/person" Target="persons/person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7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3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6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0.xml"/><Relationship Id="rId4" Type="http://schemas.openxmlformats.org/officeDocument/2006/relationships/chartsheet" Target="chartsheets/sheet2.xml"/><Relationship Id="rId9" Type="http://schemas.openxmlformats.org/officeDocument/2006/relationships/worksheet" Target="worksheets/sheet5.xml"/><Relationship Id="rId14" Type="http://schemas.openxmlformats.org/officeDocument/2006/relationships/theme" Target="theme/theme1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chartsheet" Target="chartsheets/sheet4.xml"/><Relationship Id="rId3" Type="http://schemas.openxmlformats.org/officeDocument/2006/relationships/chartsheet" Target="chart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Loan Forgiveness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'Borrowers Helped'!$L$1</c:f>
              <c:strCache>
                <c:ptCount val="1"/>
                <c:pt idx="0">
                  <c:v>% Forgiven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'Borrowers Helped'!$A$2:$A$119</c:f>
              <c:numCache>
                <c:formatCode>0000\ 0000</c:formatCode>
                <c:ptCount val="1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'Borrowers Helped'!$L$2:$L$119</c:f>
              <c:numCache>
                <c:formatCode>0.0%</c:formatCode>
                <c:ptCount val="118"/>
                <c:pt idx="0">
                  <c:v>0.85730116139413948</c:v>
                </c:pt>
                <c:pt idx="1">
                  <c:v>0.85281226865699278</c:v>
                </c:pt>
                <c:pt idx="2">
                  <c:v>0.87433565787094958</c:v>
                </c:pt>
                <c:pt idx="3">
                  <c:v>0.34905526023920963</c:v>
                </c:pt>
                <c:pt idx="4">
                  <c:v>0.85814708537089257</c:v>
                </c:pt>
                <c:pt idx="5">
                  <c:v>0.9224722458705269</c:v>
                </c:pt>
                <c:pt idx="6">
                  <c:v>0.95182644904761471</c:v>
                </c:pt>
                <c:pt idx="7">
                  <c:v>0.92352894767767602</c:v>
                </c:pt>
                <c:pt idx="8">
                  <c:v>0.91231545628790112</c:v>
                </c:pt>
                <c:pt idx="9">
                  <c:v>0.77408557778123777</c:v>
                </c:pt>
                <c:pt idx="10">
                  <c:v>0.95675081064359757</c:v>
                </c:pt>
                <c:pt idx="11">
                  <c:v>0.93189264410554706</c:v>
                </c:pt>
                <c:pt idx="12">
                  <c:v>0.84973505862210474</c:v>
                </c:pt>
                <c:pt idx="13">
                  <c:v>0.83536386660296169</c:v>
                </c:pt>
                <c:pt idx="14">
                  <c:v>0.93991301216703993</c:v>
                </c:pt>
                <c:pt idx="15">
                  <c:v>0.86627653306660657</c:v>
                </c:pt>
                <c:pt idx="16">
                  <c:v>0.89111248361700413</c:v>
                </c:pt>
                <c:pt idx="17">
                  <c:v>0.51270305714182096</c:v>
                </c:pt>
                <c:pt idx="18">
                  <c:v>0.8990890986742508</c:v>
                </c:pt>
                <c:pt idx="19">
                  <c:v>0.93178143928728274</c:v>
                </c:pt>
                <c:pt idx="20">
                  <c:v>0.85012604282756687</c:v>
                </c:pt>
                <c:pt idx="21">
                  <c:v>0.61992403534046403</c:v>
                </c:pt>
                <c:pt idx="22">
                  <c:v>0.93930819536862065</c:v>
                </c:pt>
                <c:pt idx="23">
                  <c:v>0.95771518129866806</c:v>
                </c:pt>
                <c:pt idx="24">
                  <c:v>0.87226478351404724</c:v>
                </c:pt>
                <c:pt idx="25">
                  <c:v>0.94647029312519615</c:v>
                </c:pt>
                <c:pt idx="26">
                  <c:v>0.87723260266331338</c:v>
                </c:pt>
                <c:pt idx="27">
                  <c:v>0.75688442550934742</c:v>
                </c:pt>
                <c:pt idx="28">
                  <c:v>0.88431537243950742</c:v>
                </c:pt>
                <c:pt idx="29">
                  <c:v>0.94051377579823614</c:v>
                </c:pt>
                <c:pt idx="30">
                  <c:v>0.74736203724640304</c:v>
                </c:pt>
                <c:pt idx="31">
                  <c:v>0.75568482906092227</c:v>
                </c:pt>
                <c:pt idx="32">
                  <c:v>0.9389187945997699</c:v>
                </c:pt>
                <c:pt idx="33">
                  <c:v>0.90887302739314613</c:v>
                </c:pt>
                <c:pt idx="34">
                  <c:v>0.82783935065251657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D2-476B-8F5E-B619A4AD7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146671"/>
        <c:axId val="304150415"/>
      </c:scatterChart>
      <c:valAx>
        <c:axId val="304146671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Borrower ID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000\ 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150415"/>
        <c:crosses val="autoZero"/>
        <c:crossBetween val="midCat"/>
      </c:valAx>
      <c:valAx>
        <c:axId val="30415041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Loan Forgiveness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14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rgbClr val="FF0000"/>
                </a:solidFill>
              </a:rPr>
              <a:t>Table One: Difference</a:t>
            </a:r>
            <a:r>
              <a:rPr lang="en-US" sz="1600" baseline="0">
                <a:solidFill>
                  <a:srgbClr val="FF0000"/>
                </a:solidFill>
              </a:rPr>
              <a:t> vs. Difference Adjustment</a:t>
            </a:r>
            <a:endParaRPr lang="en-US" sz="16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36807004965979989"/>
          <c:y val="0.1553945621914335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Backend!$D$3:$D$11</c:f>
              <c:numCache>
                <c:formatCode>"$"#,##0</c:formatCode>
                <c:ptCount val="9"/>
                <c:pt idx="0">
                  <c:v>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30000</c:v>
                </c:pt>
                <c:pt idx="5">
                  <c:v>40000</c:v>
                </c:pt>
                <c:pt idx="6">
                  <c:v>50000</c:v>
                </c:pt>
                <c:pt idx="7">
                  <c:v>100000</c:v>
                </c:pt>
                <c:pt idx="8">
                  <c:v>150000</c:v>
                </c:pt>
              </c:numCache>
            </c:numRef>
          </c:xVal>
          <c:yVal>
            <c:numRef>
              <c:f>Backend!$E$3:$E$11</c:f>
              <c:numCache>
                <c:formatCode>General</c:formatCode>
                <c:ptCount val="9"/>
                <c:pt idx="0">
                  <c:v>0</c:v>
                </c:pt>
                <c:pt idx="1">
                  <c:v>-0.5</c:v>
                </c:pt>
                <c:pt idx="2">
                  <c:v>-0.75</c:v>
                </c:pt>
                <c:pt idx="3">
                  <c:v>-1</c:v>
                </c:pt>
                <c:pt idx="4">
                  <c:v>-1.5</c:v>
                </c:pt>
                <c:pt idx="5">
                  <c:v>-2</c:v>
                </c:pt>
                <c:pt idx="6">
                  <c:v>-2.5</c:v>
                </c:pt>
                <c:pt idx="7">
                  <c:v>-5</c:v>
                </c:pt>
                <c:pt idx="8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60-4C81-B90C-DA9B6F2F6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476272"/>
        <c:axId val="506482928"/>
      </c:scatterChart>
      <c:valAx>
        <c:axId val="506476272"/>
        <c:scaling>
          <c:orientation val="minMax"/>
          <c:max val="1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Difference</a:t>
                </a:r>
                <a:r>
                  <a:rPr lang="en-US" sz="1400" baseline="0"/>
                  <a:t> = Current Balance - Amount Borrowed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0.3498927678906531"/>
              <c:y val="7.3273168194631089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82928"/>
        <c:crosses val="autoZero"/>
        <c:crossBetween val="midCat"/>
        <c:majorUnit val="25000"/>
      </c:valAx>
      <c:valAx>
        <c:axId val="506482928"/>
        <c:scaling>
          <c:orientation val="minMax"/>
          <c:min val="-5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Difference</a:t>
                </a:r>
                <a:r>
                  <a:rPr lang="en-US" sz="1200" baseline="0"/>
                  <a:t> Adjustment = Difference / -20000</a:t>
                </a:r>
                <a:endParaRPr lang="en-US" sz="1200"/>
              </a:p>
            </c:rich>
          </c:tx>
          <c:layout>
            <c:manualLayout>
              <c:xMode val="edge"/>
              <c:yMode val="edge"/>
              <c:x val="1.1718310275020438E-2"/>
              <c:y val="0.287707652916019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76272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Table Two: Means Test</a:t>
            </a:r>
            <a:r>
              <a:rPr lang="en-US" baseline="0"/>
              <a:t> Quotient vs. Income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Backend!$E$45</c:f>
              <c:strCache>
                <c:ptCount val="1"/>
                <c:pt idx="0">
                  <c:v>Y = MTQ</c:v>
                </c:pt>
              </c:strCache>
            </c:strRef>
          </c:tx>
          <c:spPr>
            <a:ln w="19050" cap="rnd">
              <a:solidFill>
                <a:schemeClr val="accent1"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1">
                    <a:alpha val="60000"/>
                  </a:schemeClr>
                </a:solidFill>
              </a:ln>
              <a:effectLst/>
            </c:spPr>
          </c:marker>
          <c:xVal>
            <c:numRef>
              <c:f>Backend!$D$47:$D$64</c:f>
              <c:numCache>
                <c:formatCode>0.000</c:formatCode>
                <c:ptCount val="18"/>
                <c:pt idx="0">
                  <c:v>#N/A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1.0009999999999999</c:v>
                </c:pt>
                <c:pt idx="5">
                  <c:v>1.1000000000000001</c:v>
                </c:pt>
                <c:pt idx="6">
                  <c:v>1.25</c:v>
                </c:pt>
                <c:pt idx="7">
                  <c:v>1.5</c:v>
                </c:pt>
                <c:pt idx="8">
                  <c:v>1.75</c:v>
                </c:pt>
                <c:pt idx="9">
                  <c:v>2</c:v>
                </c:pt>
                <c:pt idx="10">
                  <c:v>2.42</c:v>
                </c:pt>
                <c:pt idx="11">
                  <c:v>2.4209999999999998</c:v>
                </c:pt>
                <c:pt idx="12">
                  <c:v>2.75</c:v>
                </c:pt>
                <c:pt idx="13">
                  <c:v>3</c:v>
                </c:pt>
                <c:pt idx="14">
                  <c:v>3.5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</c:numCache>
            </c:numRef>
          </c:xVal>
          <c:yVal>
            <c:numRef>
              <c:f>Backend!$E$47:$E$64</c:f>
              <c:numCache>
                <c:formatCode>0.00</c:formatCode>
                <c:ptCount val="18"/>
                <c:pt idx="0">
                  <c:v>#N/A</c:v>
                </c:pt>
                <c:pt idx="1">
                  <c:v>467.04389855010027</c:v>
                </c:pt>
                <c:pt idx="2">
                  <c:v>374.31682282456717</c:v>
                </c:pt>
                <c:pt idx="3">
                  <c:v>299.99981647217328</c:v>
                </c:pt>
                <c:pt idx="4">
                  <c:v>299.7343493238136</c:v>
                </c:pt>
                <c:pt idx="5">
                  <c:v>274.58300038518064</c:v>
                </c:pt>
                <c:pt idx="6">
                  <c:v>240.43773722005099</c:v>
                </c:pt>
                <c:pt idx="7">
                  <c:v>192.70113615173005</c:v>
                </c:pt>
                <c:pt idx="8">
                  <c:v>154.44217826830754</c:v>
                </c:pt>
                <c:pt idx="9">
                  <c:v>123.7791686369647</c:v>
                </c:pt>
                <c:pt idx="10">
                  <c:v>85.343160470500891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73-401D-9FDE-050DEA728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136608"/>
        <c:axId val="502141600"/>
      </c:scatterChart>
      <c:valAx>
        <c:axId val="502136608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X = Average gross income /</a:t>
                </a:r>
                <a:r>
                  <a:rPr lang="en-US" sz="1200" baseline="0"/>
                  <a:t> median income</a:t>
                </a:r>
                <a:endParaRPr lang="en-US" sz="1200"/>
              </a:p>
            </c:rich>
          </c:tx>
          <c:layout>
            <c:manualLayout>
              <c:xMode val="edge"/>
              <c:yMode val="edge"/>
              <c:x val="0.35378420685493472"/>
              <c:y val="0.944199225394894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cross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41600"/>
        <c:crosses val="autoZero"/>
        <c:crossBetween val="midCat"/>
        <c:minorUnit val="0.25"/>
      </c:valAx>
      <c:valAx>
        <c:axId val="50214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Y = Means test quotient (mtq)</a:t>
                </a:r>
              </a:p>
            </c:rich>
          </c:tx>
          <c:layout>
            <c:manualLayout>
              <c:xMode val="edge"/>
              <c:yMode val="edge"/>
              <c:x val="1.0253521490642884E-2"/>
              <c:y val="0.283372527595286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36608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% Loan Forgiveness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75000"/>
                  <a:lumOff val="25000"/>
                </a:sysClr>
              </a:solidFill>
              <a:latin typeface="Calibri" panose="020F0502020204030204"/>
            </a:rPr>
            <a:t>% Loan Forgiveness</a:t>
          </a:r>
        </a:p>
      </cx:txPr>
    </cx:title>
    <cx:plotArea>
      <cx:plotAreaRegion>
        <cx:series layoutId="boxWhisker" uniqueId="{D5552C00-E6C3-447C-B911-CED3C4CE7C82}">
          <cx:tx>
            <cx:txData>
              <cx:f>_xlchart.v1.0</cx:f>
              <cx:v>% Forgiven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.5"/>
        <cx:tickLabels/>
      </cx:axis>
      <cx:axis id="1">
        <cx:valScaling max="1"/>
        <cx:majorGridlines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8B9D9DD-BE44-404B-9748-962CB313D086}">
  <sheetPr codeName="Chart15"/>
  <sheetViews>
    <sheetView zoomScale="7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DF3B0A4-A6C3-415F-99EF-2C55D0F122D7}">
  <sheetPr codeName="Chart16"/>
  <sheetViews>
    <sheetView zoomScale="11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6AA5452-92B5-4DDE-ACB1-B5D22BF3C82C}">
  <sheetPr codeName="Chart1"/>
  <sheetViews>
    <sheetView zoomScale="8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A735732-6BBB-4653-B362-32A202EA6627}">
  <sheetPr codeName="Chart2"/>
  <sheetViews>
    <sheetView zoomScale="81" workbookViewId="0" zoomToFit="1"/>
  </sheetViews>
  <sheetProtection content="1" objects="1"/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0</xdr:row>
      <xdr:rowOff>25400</xdr:rowOff>
    </xdr:from>
    <xdr:to>
      <xdr:col>11</xdr:col>
      <xdr:colOff>692150</xdr:colOff>
      <xdr:row>16</xdr:row>
      <xdr:rowOff>38100</xdr:rowOff>
    </xdr:to>
    <xdr:sp macro="" textlink="">
      <xdr:nvSpPr>
        <xdr:cNvPr id="7" name="Wave 6">
          <a:extLst>
            <a:ext uri="{FF2B5EF4-FFF2-40B4-BE49-F238E27FC236}">
              <a16:creationId xmlns:a16="http://schemas.microsoft.com/office/drawing/2014/main" id="{DBDE52CF-D065-4852-B79E-1F119139ECC0}"/>
            </a:ext>
          </a:extLst>
        </xdr:cNvPr>
        <xdr:cNvSpPr/>
      </xdr:nvSpPr>
      <xdr:spPr>
        <a:xfrm>
          <a:off x="3683000" y="25400"/>
          <a:ext cx="7905750" cy="1917700"/>
        </a:xfrm>
        <a:prstGeom prst="wav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6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+mj-lt"/>
            </a:rPr>
            <a:t>1-800-INSURE-U</a:t>
          </a:r>
          <a:endParaRPr lang="en-US" sz="11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+mj-lt"/>
          </a:endParaRPr>
        </a:p>
      </xdr:txBody>
    </xdr:sp>
    <xdr:clientData/>
  </xdr:twoCellAnchor>
  <xdr:twoCellAnchor>
    <xdr:from>
      <xdr:col>2</xdr:col>
      <xdr:colOff>571103</xdr:colOff>
      <xdr:row>20</xdr:row>
      <xdr:rowOff>100806</xdr:rowOff>
    </xdr:from>
    <xdr:to>
      <xdr:col>4</xdr:col>
      <xdr:colOff>552450</xdr:colOff>
      <xdr:row>23</xdr:row>
      <xdr:rowOff>77391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4ACFC55-BB57-4C0A-B6A5-7A276143F9E6}"/>
            </a:ext>
          </a:extLst>
        </xdr:cNvPr>
        <xdr:cNvSpPr/>
      </xdr:nvSpPr>
      <xdr:spPr>
        <a:xfrm>
          <a:off x="4025503" y="2710656"/>
          <a:ext cx="1403747" cy="541735"/>
        </a:xfrm>
        <a:prstGeom prst="roundRect">
          <a:avLst/>
        </a:prstGeom>
        <a:scene3d>
          <a:camera prst="orthographicFront"/>
          <a:lightRig rig="threePt" dir="t">
            <a:rot lat="0" lon="0" rev="0"/>
          </a:lightRig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/>
            <a:t>RESET</a:t>
          </a:r>
        </a:p>
      </xdr:txBody>
    </xdr:sp>
    <xdr:clientData/>
  </xdr:twoCellAnchor>
  <xdr:twoCellAnchor>
    <xdr:from>
      <xdr:col>2</xdr:col>
      <xdr:colOff>582734</xdr:colOff>
      <xdr:row>15</xdr:row>
      <xdr:rowOff>183661</xdr:rowOff>
    </xdr:from>
    <xdr:to>
      <xdr:col>4</xdr:col>
      <xdr:colOff>697522</xdr:colOff>
      <xdr:row>19</xdr:row>
      <xdr:rowOff>87923</xdr:rowOff>
    </xdr:to>
    <xdr:sp macro="[0]!Submit" textlink="">
      <xdr:nvSpPr>
        <xdr:cNvPr id="3" name="Rectangle: Beveled 2">
          <a:extLst>
            <a:ext uri="{FF2B5EF4-FFF2-40B4-BE49-F238E27FC236}">
              <a16:creationId xmlns:a16="http://schemas.microsoft.com/office/drawing/2014/main" id="{176D2CEB-4C68-4902-9FA8-9365A3BEDB0A}"/>
            </a:ext>
          </a:extLst>
        </xdr:cNvPr>
        <xdr:cNvSpPr/>
      </xdr:nvSpPr>
      <xdr:spPr>
        <a:xfrm>
          <a:off x="4128965" y="2586892"/>
          <a:ext cx="1574311" cy="719016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/>
            <a:t>SUBMIT</a:t>
          </a:r>
          <a:endParaRPr lang="en-US" sz="1100"/>
        </a:p>
      </xdr:txBody>
    </xdr:sp>
    <xdr:clientData/>
  </xdr:twoCellAnchor>
  <xdr:twoCellAnchor>
    <xdr:from>
      <xdr:col>5</xdr:col>
      <xdr:colOff>184150</xdr:colOff>
      <xdr:row>17</xdr:row>
      <xdr:rowOff>95250</xdr:rowOff>
    </xdr:from>
    <xdr:to>
      <xdr:col>6</xdr:col>
      <xdr:colOff>641350</xdr:colOff>
      <xdr:row>22</xdr:row>
      <xdr:rowOff>6350</xdr:rowOff>
    </xdr:to>
    <xdr:sp macro="[0]!Proposal" textlink="">
      <xdr:nvSpPr>
        <xdr:cNvPr id="4" name="Rectangle: Single Corner Snipped 3">
          <a:extLst>
            <a:ext uri="{FF2B5EF4-FFF2-40B4-BE49-F238E27FC236}">
              <a16:creationId xmlns:a16="http://schemas.microsoft.com/office/drawing/2014/main" id="{243CA97C-BBEB-4528-BC9F-39EEC36FFA5A}"/>
            </a:ext>
          </a:extLst>
        </xdr:cNvPr>
        <xdr:cNvSpPr/>
      </xdr:nvSpPr>
      <xdr:spPr>
        <a:xfrm>
          <a:off x="5765800" y="2190750"/>
          <a:ext cx="1409700" cy="819150"/>
        </a:xfrm>
        <a:prstGeom prst="snip1Rect">
          <a:avLst/>
        </a:prstGeom>
        <a:gradFill flip="none" rotWithShape="1">
          <a:gsLst>
            <a:gs pos="0">
              <a:schemeClr val="accent3">
                <a:shade val="30000"/>
                <a:satMod val="115000"/>
              </a:schemeClr>
            </a:gs>
            <a:gs pos="50000">
              <a:schemeClr val="accent3">
                <a:shade val="67500"/>
                <a:satMod val="115000"/>
              </a:schemeClr>
            </a:gs>
            <a:gs pos="100000">
              <a:schemeClr val="accent3">
                <a:shade val="100000"/>
                <a:satMod val="115000"/>
              </a:schemeClr>
            </a:gs>
          </a:gsLst>
          <a:path path="circle">
            <a:fillToRect l="100000" t="100000"/>
          </a:path>
          <a:tileRect r="-100000" b="-100000"/>
        </a:gra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READ THE</a:t>
          </a:r>
          <a:r>
            <a:rPr lang="en-US" sz="1400" b="1" baseline="0"/>
            <a:t> FINE PRINT</a:t>
          </a:r>
          <a:endParaRPr 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1488" cy="627256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1F6128-FA06-4806-BA09-F8D86C899B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E8B622DE-015E-4E77-8D05-41BB342F27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7E2919DE-C724-021A-6C31-1938A6DEE2DB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0296" cy="6281530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155334</xdr:colOff>
      <xdr:row>0</xdr:row>
      <xdr:rowOff>152400</xdr:rowOff>
    </xdr:from>
    <xdr:to>
      <xdr:col>10</xdr:col>
      <xdr:colOff>454267</xdr:colOff>
      <xdr:row>13</xdr:row>
      <xdr:rowOff>0</xdr:rowOff>
    </xdr:to>
    <xdr:sp macro="" textlink="">
      <xdr:nvSpPr>
        <xdr:cNvPr id="3" name="Flowchart: Process 2">
          <a:extLst>
            <a:ext uri="{FF2B5EF4-FFF2-40B4-BE49-F238E27FC236}">
              <a16:creationId xmlns:a16="http://schemas.microsoft.com/office/drawing/2014/main" id="{F8E6EF0E-A78C-4FB1-808B-6BF0F6478CE1}"/>
            </a:ext>
          </a:extLst>
        </xdr:cNvPr>
        <xdr:cNvSpPr/>
      </xdr:nvSpPr>
      <xdr:spPr>
        <a:xfrm>
          <a:off x="3203334" y="152400"/>
          <a:ext cx="3346933" cy="232410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Gather 9 Initial Data Points:</a:t>
          </a:r>
        </a:p>
        <a:p>
          <a:pPr algn="ctr"/>
          <a:endParaRPr lang="en-US" sz="1200" b="1"/>
        </a:p>
        <a:p>
          <a:pPr algn="ctr"/>
          <a:r>
            <a:rPr lang="en-US" sz="1200"/>
            <a:t>Age</a:t>
          </a:r>
        </a:p>
        <a:p>
          <a:pPr algn="ctr"/>
          <a:r>
            <a:rPr lang="en-US" sz="1200"/>
            <a:t>State</a:t>
          </a:r>
        </a:p>
        <a:p>
          <a:pPr algn="ctr"/>
          <a:r>
            <a:rPr lang="en-US" sz="1200"/>
            <a:t>Filing Status</a:t>
          </a:r>
        </a:p>
        <a:p>
          <a:pPr algn="ctr"/>
          <a:r>
            <a:rPr lang="en-US" sz="1200"/>
            <a:t># of</a:t>
          </a:r>
          <a:r>
            <a:rPr lang="en-US" sz="1200" baseline="0"/>
            <a:t> Dependents &lt; 18</a:t>
          </a:r>
        </a:p>
        <a:p>
          <a:pPr algn="ctr"/>
          <a:r>
            <a:rPr lang="en-US" sz="1200" baseline="0"/>
            <a:t>Total Current Loan Balance</a:t>
          </a:r>
        </a:p>
        <a:p>
          <a:pPr algn="ctr"/>
          <a:r>
            <a:rPr lang="en-US" sz="1200" baseline="0"/>
            <a:t>Original Amount Borrowed</a:t>
          </a:r>
        </a:p>
        <a:p>
          <a:pPr algn="ctr"/>
          <a:r>
            <a:rPr lang="en-US" sz="1200" baseline="0"/>
            <a:t>Interest Rate</a:t>
          </a:r>
        </a:p>
        <a:p>
          <a:pPr algn="ctr"/>
          <a:r>
            <a:rPr lang="en-US" sz="1200" baseline="0"/>
            <a:t>2019 Gross Income</a:t>
          </a:r>
        </a:p>
        <a:p>
          <a:pPr algn="ctr"/>
          <a:r>
            <a:rPr lang="en-US" sz="1200" baseline="0"/>
            <a:t>2020 Gross Income</a:t>
          </a:r>
          <a:endParaRPr lang="en-US" sz="1200"/>
        </a:p>
      </xdr:txBody>
    </xdr:sp>
    <xdr:clientData/>
  </xdr:twoCellAnchor>
  <xdr:twoCellAnchor>
    <xdr:from>
      <xdr:col>5</xdr:col>
      <xdr:colOff>215570</xdr:colOff>
      <xdr:row>18</xdr:row>
      <xdr:rowOff>57150</xdr:rowOff>
    </xdr:from>
    <xdr:to>
      <xdr:col>10</xdr:col>
      <xdr:colOff>413080</xdr:colOff>
      <xdr:row>24</xdr:row>
      <xdr:rowOff>133350</xdr:rowOff>
    </xdr:to>
    <xdr:sp macro="" textlink="">
      <xdr:nvSpPr>
        <xdr:cNvPr id="4" name="Flowchart: Process 3">
          <a:extLst>
            <a:ext uri="{FF2B5EF4-FFF2-40B4-BE49-F238E27FC236}">
              <a16:creationId xmlns:a16="http://schemas.microsoft.com/office/drawing/2014/main" id="{6EB2CB04-0FEC-4CF8-925E-9298286CC01C}"/>
            </a:ext>
          </a:extLst>
        </xdr:cNvPr>
        <xdr:cNvSpPr/>
      </xdr:nvSpPr>
      <xdr:spPr>
        <a:xfrm>
          <a:off x="3263570" y="3486150"/>
          <a:ext cx="3245510" cy="121920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Algorithm determines an Initial Amount Forgiven by dividing the Total Current Balance by a Score.</a:t>
          </a:r>
        </a:p>
        <a:p>
          <a:pPr algn="l"/>
          <a:endParaRPr lang="en-US" sz="1100"/>
        </a:p>
        <a:p>
          <a:pPr algn="l"/>
          <a:r>
            <a:rPr lang="en-US" sz="1100"/>
            <a:t>Total</a:t>
          </a:r>
          <a:r>
            <a:rPr lang="en-US" sz="1100" baseline="0"/>
            <a:t> Current Loan Balance - Initial Amount Forgiven = Residual Balance</a:t>
          </a:r>
          <a:endParaRPr lang="en-US" sz="1100"/>
        </a:p>
      </xdr:txBody>
    </xdr:sp>
    <xdr:clientData/>
  </xdr:twoCellAnchor>
  <xdr:twoCellAnchor>
    <xdr:from>
      <xdr:col>3</xdr:col>
      <xdr:colOff>209550</xdr:colOff>
      <xdr:row>26</xdr:row>
      <xdr:rowOff>123825</xdr:rowOff>
    </xdr:from>
    <xdr:to>
      <xdr:col>7</xdr:col>
      <xdr:colOff>190500</xdr:colOff>
      <xdr:row>33</xdr:row>
      <xdr:rowOff>152400</xdr:rowOff>
    </xdr:to>
    <xdr:sp macro="" textlink="">
      <xdr:nvSpPr>
        <xdr:cNvPr id="5" name="Flowchart: Process 4">
          <a:extLst>
            <a:ext uri="{FF2B5EF4-FFF2-40B4-BE49-F238E27FC236}">
              <a16:creationId xmlns:a16="http://schemas.microsoft.com/office/drawing/2014/main" id="{84A028F1-B8D2-4CCE-AE02-D013FC7307D7}"/>
            </a:ext>
          </a:extLst>
        </xdr:cNvPr>
        <xdr:cNvSpPr/>
      </xdr:nvSpPr>
      <xdr:spPr>
        <a:xfrm>
          <a:off x="2038350" y="5505450"/>
          <a:ext cx="2419350" cy="1362075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Algorithm then takes the Residual Balance</a:t>
          </a:r>
          <a:r>
            <a:rPr lang="en-US" sz="1100" baseline="0"/>
            <a:t> (RB) and divides it by a Means Test Quotient (MTQ) to arrive at an </a:t>
          </a:r>
          <a:r>
            <a:rPr 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Adjusted Monthly Payment (AMP). The MTQ depends on a comparison of</a:t>
          </a:r>
          <a:r>
            <a:rPr lang="en-US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the average gross income to the state median income.</a:t>
          </a:r>
          <a:endParaRPr lang="en-US"/>
        </a:p>
      </xdr:txBody>
    </xdr:sp>
    <xdr:clientData/>
  </xdr:twoCellAnchor>
  <xdr:twoCellAnchor>
    <xdr:from>
      <xdr:col>8</xdr:col>
      <xdr:colOff>533400</xdr:colOff>
      <xdr:row>26</xdr:row>
      <xdr:rowOff>133350</xdr:rowOff>
    </xdr:from>
    <xdr:to>
      <xdr:col>13</xdr:col>
      <xdr:colOff>209550</xdr:colOff>
      <xdr:row>33</xdr:row>
      <xdr:rowOff>161924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202005A-B99B-44A5-97F3-A0851872AA65}"/>
            </a:ext>
          </a:extLst>
        </xdr:cNvPr>
        <xdr:cNvSpPr/>
      </xdr:nvSpPr>
      <xdr:spPr>
        <a:xfrm>
          <a:off x="5410200" y="5514975"/>
          <a:ext cx="2724150" cy="1362074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Payment Plan Length (36, 60,</a:t>
          </a:r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84 months or other term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 over age 55)</a:t>
          </a: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is assigned,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depending on average income compared to the state median.</a:t>
          </a:r>
          <a:endParaRPr lang="en-US">
            <a:effectLst/>
          </a:endParaRPr>
        </a:p>
        <a:p>
          <a:pPr algn="l"/>
          <a:endParaRPr lang="en-US" sz="1100"/>
        </a:p>
      </xdr:txBody>
    </xdr:sp>
    <xdr:clientData/>
  </xdr:twoCellAnchor>
  <xdr:twoCellAnchor>
    <xdr:from>
      <xdr:col>6</xdr:col>
      <xdr:colOff>214313</xdr:colOff>
      <xdr:row>42</xdr:row>
      <xdr:rowOff>123825</xdr:rowOff>
    </xdr:from>
    <xdr:to>
      <xdr:col>10</xdr:col>
      <xdr:colOff>242888</xdr:colOff>
      <xdr:row>49</xdr:row>
      <xdr:rowOff>0</xdr:rowOff>
    </xdr:to>
    <xdr:sp macro="" textlink="">
      <xdr:nvSpPr>
        <xdr:cNvPr id="7" name="Flowchart: Process 6">
          <a:extLst>
            <a:ext uri="{FF2B5EF4-FFF2-40B4-BE49-F238E27FC236}">
              <a16:creationId xmlns:a16="http://schemas.microsoft.com/office/drawing/2014/main" id="{AE27605E-1EEB-4915-AD60-F89F9C147595}"/>
            </a:ext>
          </a:extLst>
        </xdr:cNvPr>
        <xdr:cNvSpPr/>
      </xdr:nvSpPr>
      <xdr:spPr>
        <a:xfrm>
          <a:off x="3871913" y="8553450"/>
          <a:ext cx="2466975" cy="1209675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The AMP multiplied</a:t>
          </a:r>
          <a:r>
            <a:rPr lang="en-US" sz="1100" baseline="0"/>
            <a:t> by the Payment Plan Length (in months) = Total Plan Payout (TPP).</a:t>
          </a:r>
        </a:p>
        <a:p>
          <a:pPr algn="ctr"/>
          <a:endParaRPr lang="en-US" sz="1100" baseline="0"/>
        </a:p>
        <a:p>
          <a:pPr algn="ctr"/>
          <a:r>
            <a:rPr lang="en-US" sz="1100" baseline="0"/>
            <a:t>The TPP must be $1,000 or more, otherwise, loan is 100% forgiven.</a:t>
          </a:r>
        </a:p>
        <a:p>
          <a:pPr algn="ctr"/>
          <a:endParaRPr lang="en-US" sz="1100" baseline="0"/>
        </a:p>
        <a:p>
          <a:pPr algn="ctr"/>
          <a:endParaRPr lang="en-US" sz="1100"/>
        </a:p>
      </xdr:txBody>
    </xdr:sp>
    <xdr:clientData/>
  </xdr:twoCellAnchor>
  <xdr:twoCellAnchor>
    <xdr:from>
      <xdr:col>6</xdr:col>
      <xdr:colOff>214313</xdr:colOff>
      <xdr:row>35</xdr:row>
      <xdr:rowOff>161926</xdr:rowOff>
    </xdr:from>
    <xdr:to>
      <xdr:col>10</xdr:col>
      <xdr:colOff>242888</xdr:colOff>
      <xdr:row>39</xdr:row>
      <xdr:rowOff>104776</xdr:rowOff>
    </xdr:to>
    <xdr:sp macro="" textlink="">
      <xdr:nvSpPr>
        <xdr:cNvPr id="8" name="Flowchart: Process 7">
          <a:extLst>
            <a:ext uri="{FF2B5EF4-FFF2-40B4-BE49-F238E27FC236}">
              <a16:creationId xmlns:a16="http://schemas.microsoft.com/office/drawing/2014/main" id="{44189F8D-7529-46FE-A6FC-38240ABE4AFD}"/>
            </a:ext>
          </a:extLst>
        </xdr:cNvPr>
        <xdr:cNvSpPr/>
      </xdr:nvSpPr>
      <xdr:spPr>
        <a:xfrm>
          <a:off x="3871913" y="7258051"/>
          <a:ext cx="2466975" cy="70485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If the average gross income is under $100,000/year,</a:t>
          </a:r>
          <a:r>
            <a:rPr lang="en-US" sz="1100" baseline="0"/>
            <a:t> the AMP is capped at 5% of gross monthly income</a:t>
          </a:r>
          <a:endParaRPr lang="en-US" sz="1100"/>
        </a:p>
      </xdr:txBody>
    </xdr:sp>
    <xdr:clientData/>
  </xdr:twoCellAnchor>
  <xdr:twoCellAnchor>
    <xdr:from>
      <xdr:col>7</xdr:col>
      <xdr:colOff>378143</xdr:colOff>
      <xdr:row>12</xdr:row>
      <xdr:rowOff>180975</xdr:rowOff>
    </xdr:from>
    <xdr:to>
      <xdr:col>8</xdr:col>
      <xdr:colOff>250508</xdr:colOff>
      <xdr:row>18</xdr:row>
      <xdr:rowOff>47625</xdr:rowOff>
    </xdr:to>
    <xdr:sp macro="" textlink="">
      <xdr:nvSpPr>
        <xdr:cNvPr id="9" name="Arrow: Down 8">
          <a:extLst>
            <a:ext uri="{FF2B5EF4-FFF2-40B4-BE49-F238E27FC236}">
              <a16:creationId xmlns:a16="http://schemas.microsoft.com/office/drawing/2014/main" id="{A64473F7-263E-402B-B4EF-4CED8467F97B}"/>
            </a:ext>
          </a:extLst>
        </xdr:cNvPr>
        <xdr:cNvSpPr/>
      </xdr:nvSpPr>
      <xdr:spPr>
        <a:xfrm>
          <a:off x="4645343" y="2466975"/>
          <a:ext cx="481965" cy="10096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75248</xdr:colOff>
      <xdr:row>50</xdr:row>
      <xdr:rowOff>114300</xdr:rowOff>
    </xdr:from>
    <xdr:to>
      <xdr:col>10</xdr:col>
      <xdr:colOff>381953</xdr:colOff>
      <xdr:row>54</xdr:row>
      <xdr:rowOff>133350</xdr:rowOff>
    </xdr:to>
    <xdr:sp macro="" textlink="">
      <xdr:nvSpPr>
        <xdr:cNvPr id="10" name="Flowchart: Process 9">
          <a:extLst>
            <a:ext uri="{FF2B5EF4-FFF2-40B4-BE49-F238E27FC236}">
              <a16:creationId xmlns:a16="http://schemas.microsoft.com/office/drawing/2014/main" id="{A2A0AEBE-F14D-407A-B465-8BA4F7A7B105}"/>
            </a:ext>
          </a:extLst>
        </xdr:cNvPr>
        <xdr:cNvSpPr/>
      </xdr:nvSpPr>
      <xdr:spPr>
        <a:xfrm>
          <a:off x="3732848" y="10067925"/>
          <a:ext cx="2745105" cy="781050"/>
        </a:xfrm>
        <a:prstGeom prst="flowChart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% Loan Forgiveness</a:t>
          </a:r>
          <a:r>
            <a:rPr lang="en-US" sz="1100" baseline="0"/>
            <a:t> =</a:t>
          </a:r>
        </a:p>
        <a:p>
          <a:pPr algn="ctr"/>
          <a:r>
            <a:rPr lang="en-US" sz="1100" baseline="0"/>
            <a:t>[Total Current Balance - Total Plan Payout] / Total Current Balance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4815" cy="62747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F22DFB-34CF-4C57-B3F7-018FB894443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4815" cy="62747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D2F7F5-293B-4055-AF53-19D3EDA2FA9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son Antonino" id="{313B62BE-283B-4223-BF6E-4F5AC2E9A96B}" userId="088f3e76e1014375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3654E9DF-EDF9-4364-96AC-FEDF82DF18A0}" autoFormatId="16" applyNumberFormats="0" applyBorderFormats="0" applyFontFormats="0" applyPatternFormats="0" applyAlignmentFormats="0" applyWidthHeightFormats="0">
  <queryTableRefresh nextId="4">
    <queryTableFields count="3">
      <queryTableField id="1" name="Header" tableColumnId="1"/>
      <queryTableField id="2" name="Persons in family/household" tableColumnId="2"/>
      <queryTableField id="3" name="Poverty guideline" tableColumnId="3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F4D177-455C-4CF7-8C7D-2435BBA3F6C9}" name="Table36" displayName="Table36" ref="A1:L119" totalsRowShown="0" headerRowDxfId="48">
  <autoFilter ref="A1:L119" xr:uid="{A35916F5-829B-4ED7-8DB7-9C10C8DED117}"/>
  <sortState xmlns:xlrd2="http://schemas.microsoft.com/office/spreadsheetml/2017/richdata2" ref="A2:L86">
    <sortCondition ref="A2:A86"/>
  </sortState>
  <tableColumns count="12">
    <tableColumn id="1" xr3:uid="{0F2669AC-B37E-430D-9492-654FBD5C4FA8}" name="Borrower Serial No." dataDxfId="47"/>
    <tableColumn id="2" xr3:uid="{F5CF2F13-9D8A-4D35-9CFB-9D1408EC9158}" name="Age"/>
    <tableColumn id="3" xr3:uid="{33A8E7CE-88BB-4786-9B5D-60D8FA7C6758}" name="State"/>
    <tableColumn id="4" xr3:uid="{678ADF29-778C-4483-8CCE-3703329FD112}" name="Filing Status" dataDxfId="46"/>
    <tableColumn id="5" xr3:uid="{E5FFDC9F-7E48-464F-B32B-D7EBC907B0CB}" name="Dependents" dataDxfId="45"/>
    <tableColumn id="6" xr3:uid="{029D34CF-797F-476E-9C4A-5BB898383278}" name="Average Income 2019-20" dataDxfId="44" dataCellStyle="Currency"/>
    <tableColumn id="7" xr3:uid="{BAB54B03-37DF-4D51-883A-62E9C47579CB}" name="Total Loan Balance" dataDxfId="43" dataCellStyle="Currency"/>
    <tableColumn id="9" xr3:uid="{CB37D19B-38ED-495F-A309-B191594FE47D}" name="Total Amount Forgiven" dataDxfId="42" dataCellStyle="Currency"/>
    <tableColumn id="10" xr3:uid="{C93B3D2A-6993-4E2C-971F-ED33A00C1085}" name="New Monthly Payment" dataDxfId="41"/>
    <tableColumn id="11" xr3:uid="{A7BF5B86-E9D9-45D7-B7ED-09C3C00B3413}" name="Yrs of Payments" dataDxfId="40"/>
    <tableColumn id="12" xr3:uid="{CA8D7927-EE28-44AD-AE73-A467E98703DC}" name="New Payoff Amount" dataDxfId="39"/>
    <tableColumn id="13" xr3:uid="{E5D66A47-DA98-4C72-A2FA-31EB97A5DE59}" name="% Forgiven" dataDxfId="38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80CDAAB-0CCA-4F53-82B8-E9143425E1AA}" name="Table6" displayName="Table6" ref="K1:P37" totalsRowShown="0" headerRowDxfId="32">
  <autoFilter ref="K1:P37" xr:uid="{A80CDAAB-0CCA-4F53-82B8-E9143425E1A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D7A08CD-5F37-4E82-8EB4-363208FE334C}" name="Age" dataDxfId="31"/>
    <tableColumn id="2" xr3:uid="{1EB38406-20ED-47EE-BC97-C5C51CD22064}" name="Years to Retirement (YtR)" dataDxfId="30">
      <calculatedColumnFormula>62-K2</calculatedColumnFormula>
    </tableColumn>
    <tableColumn id="3" xr3:uid="{2DBD0A33-8774-4780-B462-4CFEA432496F}" name="YtR^" dataDxfId="29">
      <calculatedColumnFormula>L2^$N$1</calculatedColumnFormula>
    </tableColumn>
    <tableColumn id="4" xr3:uid="{809F3019-FE88-4311-BA2F-C247E92A5C86}" name="0.65"/>
    <tableColumn id="5" xr3:uid="{3AF57CA5-1DB7-4A9F-AC80-04BE1F691801}" name="[FS + Dep]" dataDxfId="28"/>
    <tableColumn id="6" xr3:uid="{3E4AACB6-D7F7-4B84-A108-3B22A6F423AF}" name="YtR / [FS+Dep]" dataDxfId="27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CCB68C-C446-408F-A4CD-72A5B58AB841}" name="Table2" displayName="Table2" ref="A4:J59" totalsRowShown="0" headerRowDxfId="26" dataDxfId="25" tableBorderDxfId="24">
  <autoFilter ref="A4:J59" xr:uid="{80CCB68C-C446-408F-A4CD-72A5B58AB841}"/>
  <tableColumns count="10">
    <tableColumn id="1" xr3:uid="{5AD33FA6-3EDF-44D3-ACC1-91B57FA3EB06}" name="STATE/TERR" dataDxfId="23"/>
    <tableColumn id="2" xr3:uid="{BF68A608-93CF-4CB1-B77F-385C0E5FF280}" name="1" dataDxfId="22"/>
    <tableColumn id="3" xr3:uid="{19A92BB1-8263-47AA-8BBD-6A54A067B84D}" name="2" dataDxfId="21"/>
    <tableColumn id="4" xr3:uid="{4FFBF8A7-451A-4DD2-AE72-27615579C525}" name="3" dataDxfId="20"/>
    <tableColumn id="5" xr3:uid="{67D0428E-EC17-467B-83AF-B0256F6602DA}" name="4" dataDxfId="19"/>
    <tableColumn id="6" xr3:uid="{B9408685-E4E4-4E0B-8A82-5EC1A51E3E97}" name="5" dataDxfId="18">
      <calculatedColumnFormula>E5+9000</calculatedColumnFormula>
    </tableColumn>
    <tableColumn id="7" xr3:uid="{EE287872-5A1B-4B67-8BF4-DD8439351318}" name="6" dataDxfId="17">
      <calculatedColumnFormula>F5+9000</calculatedColumnFormula>
    </tableColumn>
    <tableColumn id="8" xr3:uid="{7C1900E3-68A9-4BBE-AA4E-A5E409B41388}" name="7" dataDxfId="16">
      <calculatedColumnFormula>G5+9000</calculatedColumnFormula>
    </tableColumn>
    <tableColumn id="9" xr3:uid="{B040D59A-AA08-40B7-B66C-BFA52AC15A4E}" name="8" dataDxfId="15">
      <calculatedColumnFormula>H5+9000</calculatedColumnFormula>
    </tableColumn>
    <tableColumn id="10" xr3:uid="{A05F033F-FFA5-4071-9C4B-DE262C32BDA6}" name="ST" dataDxfId="14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7827FD-C3B4-4E63-A06A-9AA405798224}" name="Page005" displayName="Page005" ref="A1:E58" totalsRowShown="0">
  <autoFilter ref="A1:E58" xr:uid="{527827FD-C3B4-4E63-A06A-9AA40579822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D4A22F6-B2D1-4708-9CB3-E0CAC720B1D1}" name="Column1" dataDxfId="13"/>
    <tableColumn id="2" xr3:uid="{73EF562C-7253-48C5-9A97-2561226E68BD}" name="Column2" dataDxfId="12"/>
    <tableColumn id="3" xr3:uid="{23F122C8-DCED-4FFA-8C73-120BCCD2D7C0}" name="Column3" dataDxfId="11"/>
    <tableColumn id="4" xr3:uid="{477ABBAD-5318-4AAF-AB98-2D5C901E4FE5}" name="Column4" dataDxfId="10"/>
    <tableColumn id="5" xr3:uid="{B10849DD-8F01-40A2-BC13-66AB325906C3}" name="Column5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1E8B8CB-0564-422A-9552-1D6AC3B2EBE0}" name="Append1" displayName="Append1" ref="A1:C25" tableType="queryTable" totalsRowShown="0">
  <autoFilter ref="A1:C25" xr:uid="{E1E8B8CB-0564-422A-9552-1D6AC3B2EBE0}">
    <filterColumn colId="0" hiddenButton="1"/>
    <filterColumn colId="1" hiddenButton="1"/>
    <filterColumn colId="2" hiddenButton="1"/>
  </autoFilter>
  <tableColumns count="3">
    <tableColumn id="1" xr3:uid="{B1733E88-8618-4A18-A57E-A0BA23B19EBC}" uniqueName="1" name="Jurisdiction(s)" queryTableFieldId="1" dataDxfId="8"/>
    <tableColumn id="2" xr3:uid="{AADE94CA-900F-42B9-8E26-C59C40FDB66D}" uniqueName="2" name="Persons in family/household" queryTableFieldId="2"/>
    <tableColumn id="3" xr3:uid="{D9689C5E-38A8-41E1-84A1-9E7F40643ECD}" uniqueName="3" name="Poverty guideline" queryTableFieldId="3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1-09-13T17:32:21.92" personId="{313B62BE-283B-4223-BF6E-4F5AC2E9A96B}" id="{C08B8BAB-15F1-46DD-AE33-3CFBD6E05E8E}">
    <text>Your age as of today. Ages 27 and older are eligible for this program.</text>
  </threadedComment>
  <threadedComment ref="A2" dT="2021-09-29T02:54:16.31" personId="{313B62BE-283B-4223-BF6E-4F5AC2E9A96B}" id="{1D479518-0153-4D53-80BB-325A7B383A86}">
    <text>Your home-of-record as of today</text>
  </threadedComment>
  <threadedComment ref="A3" dT="2021-09-29T02:53:41.77" personId="{313B62BE-283B-4223-BF6E-4F5AC2E9A96B}" id="{C8330AB5-6178-46C4-B0F5-716FD2FA06FA}">
    <text>Your W4 filing status for the 2019 tax year</text>
  </threadedComment>
  <threadedComment ref="A4" dT="2021-09-13T17:32:40.07" personId="{313B62BE-283B-4223-BF6E-4F5AC2E9A96B}" id="{0864B227-D6B3-4A66-BA09-7ACF7E07F771}">
    <text>As of end of 2019 tax year, regardless of where they live today or their current age</text>
  </threadedComment>
  <threadedComment ref="A5" dT="2021-09-13T17:32:50.33" personId="{313B62BE-283B-4223-BF6E-4F5AC2E9A96B}" id="{D9549649-7055-42EE-BDBD-208F1341434A}">
    <text>What you currently owe as of this moment, inclusive of interest and fees</text>
  </threadedComment>
  <threadedComment ref="A6" dT="2021-09-13T17:33:27.42" personId="{313B62BE-283B-4223-BF6E-4F5AC2E9A96B}" id="{190E3B09-44F7-439F-90A1-839E1DADEA74}">
    <text>Total sum of all student loans borrowed, exclusive of interest and fees (see each promissory note)</text>
  </threadedComment>
  <threadedComment ref="A7" dT="2021-09-13T17:34:38.73" personId="{313B62BE-283B-4223-BF6E-4F5AC2E9A96B}" id="{1005120D-BAE2-4C41-8B46-74C1B686C157}">
    <text>Do NOT include unemployment compensation, child support, social security disability, food stamps, economic stimulus, or any other public/welfare income. 
DO include gross employment income, rental income, real estate sales, lottery winnings, inheritances, royalties, business earnings, sales of goods, lawsuit settlements, insurance claim payouts, or cash gifts $1,000+. Any type of private gain is considered.</text>
  </threadedComment>
  <threadedComment ref="A8" dT="2021-09-13T17:44:20.85" personId="{313B62BE-283B-4223-BF6E-4F5AC2E9A96B}" id="{F5DD3E4E-A04B-4323-88AD-C3C915A07F29}">
    <text>Same rules</text>
  </threadedComment>
  <threadedComment ref="A9" dT="2021-09-13T17:35:18.06" personId="{313B62BE-283B-4223-BF6E-4F5AC2E9A96B}" id="{A5DCC31B-61B1-4CF4-8BAA-FC118A65583F}">
    <text>If multiple loans, use highest interest rate</text>
  </threadedComment>
  <threadedComment ref="A18" dT="2021-11-02T04:51:52.65" personId="{313B62BE-283B-4223-BF6E-4F5AC2E9A96B}" id="{AAEFD06B-64B0-4BC5-80EC-26DEB0CCDB0D}">
    <text>Capped at 5% of 2020 monthly gross income for those with average gross income &lt;$100,000/year</text>
  </threadedComment>
  <threadedComment ref="B21" dT="2021-08-26T05:53:59.36" personId="{313B62BE-283B-4223-BF6E-4F5AC2E9A96B}" id="{22C16A68-9575-49E8-A3B4-F4DCAC77479A}">
    <text>Zero interest, no prepayment penalty, forbearance and extension available if hardship, no adverse tax consequences, debt is fully discharged (cancelled) in the event of death or long-term or permanent disability. Cannot be disharged in a bankruptcy without a court judgment in an adversary proceeding.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1-10-05T03:28:13.49" personId="{313B62BE-283B-4223-BF6E-4F5AC2E9A96B}" id="{77C781CF-6E2C-4217-89D6-11CE4F805895}">
    <text>These are not real people</text>
  </threadedComment>
  <threadedComment ref="K1" dT="2021-08-26T03:27:29.34" personId="{313B62BE-283B-4223-BF6E-4F5AC2E9A96B}" id="{A287913A-EC2F-4F10-9B3D-5839ADC85EB7}">
    <text>Zero interest, no prepayment penalty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1" dT="2021-09-13T02:06:30.96" personId="{313B62BE-283B-4223-BF6E-4F5AC2E9A96B}" id="{3F44BB9A-AAE7-4F48-A682-4AA606E2FB23}">
    <text>Total Current Balance &gt; Original Amount Borrowed (underwater)</text>
  </threadedComment>
  <threadedComment ref="A2" dT="2021-11-02T22:53:49.05" personId="{313B62BE-283B-4223-BF6E-4F5AC2E9A96B}" id="{152978DD-52D0-4541-9FF0-08F4F305CC06}">
    <text>Average of 2019 &amp; 2020 Gross Incomes</text>
  </threadedComment>
  <threadedComment ref="D2" dT="2021-10-14T20:33:52.50" personId="{313B62BE-283B-4223-BF6E-4F5AC2E9A96B}" id="{B7B1A60F-2429-49C1-B67D-000A635581B7}">
    <text>Measures how far "underwater"</text>
  </threadedComment>
  <threadedComment ref="E2" dT="2021-11-02T05:17:24.50" personId="{313B62BE-283B-4223-BF6E-4F5AC2E9A96B}" id="{1DCF48D1-ED3C-49BD-8660-2FC4A162C91C}">
    <text>-5 is lowest possible value</text>
  </threadedComment>
  <threadedComment ref="A3" dT="2021-08-26T03:19:26.31" personId="{313B62BE-283B-4223-BF6E-4F5AC2E9A96B}" id="{4E515114-EDCB-41CF-AE28-738ADFAFC6B1}">
    <text>Retirement Age is 62</text>
  </threadedComment>
  <threadedComment ref="A11" dT="2021-10-16T05:17:19.39" personId="{313B62BE-283B-4223-BF6E-4F5AC2E9A96B}" id="{3E70CD3E-3215-4A5D-B3E6-55513A60718B}">
    <text>Average Income / Total Current Balance</text>
  </threadedComment>
  <threadedComment ref="A12" dT="2021-10-18T22:36:21.63" personId="{313B62BE-283B-4223-BF6E-4F5AC2E9A96B}" id="{2C263970-D26C-4059-86A9-25A64B9BCF8B}">
    <text>(Years to retirement ^ 0.666) / (filing status + dependents)</text>
  </threadedComment>
  <threadedComment ref="A13" dT="2021-10-18T22:36:42.72" personId="{313B62BE-283B-4223-BF6E-4F5AC2E9A96B}" id="{0F38B044-A3DB-4D51-9F30-AF20B0F0E796}">
    <text>Linear number that reduces Score for "underwater" borrowers (see Table One)</text>
  </threadedComment>
  <threadedComment ref="E32" dT="2021-10-13T06:00:06.42" personId="{313B62BE-283B-4223-BF6E-4F5AC2E9A96B}" id="{8414F1A4-B8D5-42A3-85AF-0A63885BA1EC}">
    <text>from Solver attempting to generate a best-fit equation</text>
  </threadedComment>
  <threadedComment ref="G34" dT="2021-10-13T06:00:50.46" personId="{313B62BE-283B-4223-BF6E-4F5AC2E9A96B}" id="{A8C9004B-AE87-48EE-9D3C-A5AB243C7E20}">
    <text>This is a corrective factor to apply to Y_fit to arrive at Y_actual</text>
  </threadedComment>
  <threadedComment ref="H34" dT="2021-10-13T06:01:22.36" personId="{313B62BE-283B-4223-BF6E-4F5AC2E9A96B}" id="{505DB251-4FFB-447E-BF73-6D94CB1663D1}">
    <text>this is what Y "should" be based on the exponential distribution equation</text>
  </threadedComment>
  <threadedComment ref="H41" dT="2021-10-13T07:12:52.91" personId="{313B62BE-283B-4223-BF6E-4F5AC2E9A96B}" id="{BA07457C-EF5C-4163-945B-4262BA938B9C}">
    <text>Can't go below 60 because that would cause the new plan balance to be greater than the current balance owed</text>
  </threadedComment>
  <threadedComment ref="D47" dT="2021-10-19T16:33:16.39" personId="{313B62BE-283B-4223-BF6E-4F5AC2E9A96B}" id="{341FB9BD-14A8-4716-8C04-BBACFE27786E}">
    <text>FPL (Federal Poverty Level) / Median Income</text>
  </threadedComment>
  <threadedComment ref="D50" dT="2021-10-19T16:33:28.14" personId="{313B62BE-283B-4223-BF6E-4F5AC2E9A96B}" id="{C71A869A-CA78-41A6-997E-2E3CF65DA40C}">
    <text>Median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8" dT="2021-08-21T00:50:22.52" personId="{313B62BE-283B-4223-BF6E-4F5AC2E9A96B}" id="{4A2E585E-E494-4205-8BA2-13BA38871108}">
    <text>Factors that increase amount of loans forgiven</text>
  </threadedComment>
  <threadedComment ref="A37" dT="2021-09-13T02:07:17.05" personId="{313B62BE-283B-4223-BF6E-4F5AC2E9A96B}" id="{65833B37-6E4F-479E-A38C-3AAA74682C2A}">
    <text>Original Loan Balance &gt; Total Current Balance (above water)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1" dT="2021-08-21T01:00:13.95" personId="{313B62BE-283B-4223-BF6E-4F5AC2E9A96B}" id="{3CC5075A-9064-45A3-90AA-93F213D60355}">
    <text>Interest only (nothing towards principal)</text>
  </threadedComment>
  <threadedComment ref="I1" dT="2021-08-21T01:28:49.63" personId="{313B62BE-283B-4223-BF6E-4F5AC2E9A96B}" id="{EB80024F-B207-43D0-92DD-A0F6549319E9}">
    <text>Difference between current balance and amount originally borrowed</text>
  </threadedComment>
  <threadedComment ref="J1" dT="2021-08-21T01:14:01.65" personId="{313B62BE-283B-4223-BF6E-4F5AC2E9A96B}" id="{769DDF77-791B-4310-9A04-84D04CB87C51}">
    <text>Average of last two years</text>
  </threadedComment>
  <threadedComment ref="O1" dT="2021-08-21T02:13:32.16" personId="{313B62BE-283B-4223-BF6E-4F5AC2E9A96B}" id="{9C16F0DD-3549-4904-8B76-CB7E074B512D}">
    <text>Paid in a lump-sum</text>
  </threadedComment>
  <threadedComment ref="P1" dT="2021-08-21T22:59:00.13" personId="{313B62BE-283B-4223-BF6E-4F5AC2E9A96B}" id="{E7BA4945-5661-4648-9962-0A6A20574F48}">
    <text>Based on a 300 months (25 year) term</text>
  </threadedComment>
  <threadedComment ref="Q1" dT="2021-08-21T02:07:58.49" personId="{313B62BE-283B-4223-BF6E-4F5AC2E9A96B}" id="{6BD9F1EB-0496-42D2-ADF9-C15EF79E38A8}">
    <text>Capped at 7 years unless age 60+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Relationship Id="rId4" Type="http://schemas.microsoft.com/office/2017/10/relationships/threadedComment" Target="../threadedComments/threadedComment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Relationship Id="rId4" Type="http://schemas.microsoft.com/office/2017/10/relationships/threadedComment" Target="../threadedComments/threadedComment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72F1B-B32B-4976-985A-8C6C79490056}">
  <sheetPr codeName="Sheet1">
    <pageSetUpPr fitToPage="1"/>
  </sheetPr>
  <dimension ref="A1:O41"/>
  <sheetViews>
    <sheetView showGridLines="0" tabSelected="1" zoomScale="120" zoomScaleNormal="120" workbookViewId="0">
      <selection activeCell="B1" sqref="B1"/>
    </sheetView>
  </sheetViews>
  <sheetFormatPr defaultColWidth="9.109375" defaultRowHeight="14.4" x14ac:dyDescent="0.3"/>
  <cols>
    <col min="1" max="1" width="31" bestFit="1" customWidth="1"/>
    <col min="2" max="2" width="27.77734375" customWidth="1"/>
    <col min="3" max="3" width="10.6640625" customWidth="1"/>
    <col min="4" max="5" width="10.5546875" customWidth="1"/>
    <col min="6" max="6" width="14.33203125" customWidth="1"/>
    <col min="7" max="7" width="13" customWidth="1"/>
    <col min="8" max="8" width="28" customWidth="1"/>
    <col min="9" max="9" width="7.109375" bestFit="1" customWidth="1"/>
    <col min="10" max="10" width="10.44140625" bestFit="1" customWidth="1"/>
    <col min="11" max="11" width="6.6640625" bestFit="1" customWidth="1"/>
    <col min="12" max="12" width="10.44140625" bestFit="1" customWidth="1"/>
    <col min="13" max="13" width="6.6640625" bestFit="1" customWidth="1"/>
  </cols>
  <sheetData>
    <row r="1" spans="1:15" x14ac:dyDescent="0.3">
      <c r="A1" s="63" t="s">
        <v>1</v>
      </c>
      <c r="B1" s="28"/>
      <c r="O1" t="b">
        <v>0</v>
      </c>
    </row>
    <row r="2" spans="1:15" x14ac:dyDescent="0.3">
      <c r="A2" s="63" t="s">
        <v>118</v>
      </c>
      <c r="B2" s="28"/>
    </row>
    <row r="3" spans="1:15" x14ac:dyDescent="0.3">
      <c r="A3" s="63" t="s">
        <v>6</v>
      </c>
      <c r="B3" s="31"/>
    </row>
    <row r="4" spans="1:15" x14ac:dyDescent="0.3">
      <c r="A4" s="63" t="s">
        <v>268</v>
      </c>
      <c r="B4" s="28"/>
    </row>
    <row r="5" spans="1:15" x14ac:dyDescent="0.3">
      <c r="A5" s="63" t="s">
        <v>271</v>
      </c>
      <c r="B5" s="62"/>
    </row>
    <row r="6" spans="1:15" x14ac:dyDescent="0.3">
      <c r="A6" s="63" t="s">
        <v>269</v>
      </c>
      <c r="B6" s="34"/>
    </row>
    <row r="7" spans="1:15" x14ac:dyDescent="0.3">
      <c r="A7" s="63" t="s">
        <v>403</v>
      </c>
      <c r="B7" s="34"/>
    </row>
    <row r="8" spans="1:15" x14ac:dyDescent="0.3">
      <c r="A8" s="63" t="s">
        <v>404</v>
      </c>
      <c r="B8" s="34"/>
    </row>
    <row r="9" spans="1:15" x14ac:dyDescent="0.3">
      <c r="A9" s="63" t="s">
        <v>256</v>
      </c>
      <c r="B9" s="71"/>
    </row>
    <row r="10" spans="1:15" ht="29.4" customHeight="1" x14ac:dyDescent="0.3">
      <c r="B10" s="192" t="str">
        <f>IF(AND(B3="Head of Household", B4&lt;1), "Must have at least 1 dependent if Head of Household", "")</f>
        <v/>
      </c>
    </row>
    <row r="11" spans="1:15" hidden="1" x14ac:dyDescent="0.3">
      <c r="A11" s="63" t="s">
        <v>10</v>
      </c>
      <c r="B11" s="66" t="e">
        <f>Backend!B14</f>
        <v>#DIV/0!</v>
      </c>
    </row>
    <row r="12" spans="1:15" hidden="1" x14ac:dyDescent="0.3">
      <c r="A12" s="63" t="s">
        <v>27</v>
      </c>
      <c r="B12" s="22" t="e">
        <f>Backend!B8/B11</f>
        <v>#DIV/0!</v>
      </c>
    </row>
    <row r="13" spans="1:15" ht="10.8" hidden="1" customHeight="1" x14ac:dyDescent="0.3">
      <c r="A13" s="17"/>
      <c r="B13" s="22"/>
    </row>
    <row r="14" spans="1:15" ht="9.6" hidden="1" customHeight="1" x14ac:dyDescent="0.3">
      <c r="A14" s="17"/>
      <c r="B14" s="22"/>
    </row>
    <row r="15" spans="1:15" ht="9.6" hidden="1" customHeight="1" x14ac:dyDescent="0.3">
      <c r="A15" s="17"/>
      <c r="B15" s="17"/>
    </row>
    <row r="16" spans="1:15" ht="21" customHeight="1" x14ac:dyDescent="0.3">
      <c r="A16" s="63" t="s">
        <v>279</v>
      </c>
      <c r="B16" s="18" t="e">
        <f>IF(AND(B3="Head of Household", B4&lt;1),"INDETERMINATE", IF(Backend!B2&gt;Backend!B6,"PASS","FAIL"))</f>
        <v>#DIV/0!</v>
      </c>
    </row>
    <row r="17" spans="1:10" x14ac:dyDescent="0.3">
      <c r="A17" s="196" t="s">
        <v>405</v>
      </c>
      <c r="B17" s="197"/>
    </row>
    <row r="18" spans="1:10" x14ac:dyDescent="0.3">
      <c r="A18" s="64" t="s">
        <v>34</v>
      </c>
      <c r="B18" s="35" t="e">
        <f>IF(Backend!B2&lt;100000,IF(Backend!B18&lt;=(Backend!B2/12)*0.05, Backend!B18, (Backend!B2/12)*0.05),Backend!B18)</f>
        <v>#DIV/0!</v>
      </c>
    </row>
    <row r="19" spans="1:10" x14ac:dyDescent="0.3">
      <c r="A19" s="63" t="s">
        <v>35</v>
      </c>
      <c r="B19" s="25" t="e">
        <f>Backend!B19/12</f>
        <v>#DIV/0!</v>
      </c>
      <c r="J19" s="3"/>
    </row>
    <row r="20" spans="1:10" ht="10.5" customHeight="1" thickBot="1" x14ac:dyDescent="0.35"/>
    <row r="21" spans="1:10" ht="15" thickBot="1" x14ac:dyDescent="0.35">
      <c r="A21" s="65" t="e">
        <f>"Total Payout over " &amp; B19 &amp; " years"</f>
        <v>#DIV/0!</v>
      </c>
      <c r="B21" s="36" t="e">
        <f>Backend!B24</f>
        <v>#DIV/0!</v>
      </c>
      <c r="H21" s="24"/>
    </row>
    <row r="22" spans="1:10" x14ac:dyDescent="0.3">
      <c r="A22" s="63" t="s">
        <v>406</v>
      </c>
      <c r="B22" s="83" t="e">
        <f>(B5-B21)/B5</f>
        <v>#DIV/0!</v>
      </c>
    </row>
    <row r="23" spans="1:10" ht="13.5" customHeight="1" x14ac:dyDescent="0.3">
      <c r="B23" s="88"/>
    </row>
    <row r="24" spans="1:10" ht="22.5" customHeight="1" x14ac:dyDescent="0.3"/>
    <row r="25" spans="1:10" x14ac:dyDescent="0.3">
      <c r="A25" s="193" t="s">
        <v>300</v>
      </c>
      <c r="B25" s="193"/>
      <c r="C25" s="67"/>
    </row>
    <row r="26" spans="1:10" x14ac:dyDescent="0.3">
      <c r="A26" s="78" t="s">
        <v>261</v>
      </c>
      <c r="B26" s="87">
        <f>B5*B9/12</f>
        <v>0</v>
      </c>
      <c r="C26" s="86" t="s">
        <v>260</v>
      </c>
    </row>
    <row r="27" spans="1:10" ht="28.8" x14ac:dyDescent="0.3">
      <c r="A27" s="78" t="s">
        <v>277</v>
      </c>
      <c r="B27" s="79">
        <f>B5</f>
        <v>0</v>
      </c>
      <c r="C27" s="68" t="str">
        <f>"and treated as taxable income at the ripe ol' age of " &amp; B1+25</f>
        <v>and treated as taxable income at the ripe ol' age of 25</v>
      </c>
    </row>
    <row r="28" spans="1:10" x14ac:dyDescent="0.3">
      <c r="A28" s="78" t="s">
        <v>262</v>
      </c>
      <c r="B28" s="80">
        <f>B27*0.25</f>
        <v>0</v>
      </c>
      <c r="C28" s="68" t="s">
        <v>276</v>
      </c>
    </row>
    <row r="29" spans="1:10" x14ac:dyDescent="0.3">
      <c r="A29" s="81"/>
      <c r="B29" s="68"/>
      <c r="C29" s="68"/>
    </row>
    <row r="30" spans="1:10" ht="21.75" customHeight="1" x14ac:dyDescent="0.3">
      <c r="A30" s="194" t="s">
        <v>275</v>
      </c>
      <c r="B30" s="80">
        <f>B26*300 + B28</f>
        <v>0</v>
      </c>
      <c r="C30" s="68" t="s">
        <v>301</v>
      </c>
    </row>
    <row r="31" spans="1:10" x14ac:dyDescent="0.3">
      <c r="A31" s="195"/>
      <c r="B31" s="80" t="e">
        <f>B30-B21</f>
        <v>#DIV/0!</v>
      </c>
      <c r="C31" s="68" t="s">
        <v>278</v>
      </c>
    </row>
    <row r="32" spans="1:10" x14ac:dyDescent="0.3">
      <c r="A32" s="67"/>
      <c r="B32" s="67"/>
      <c r="C32" s="68"/>
    </row>
    <row r="33" spans="1:3" ht="42.75" customHeight="1" x14ac:dyDescent="0.3">
      <c r="A33" s="69" t="e">
        <f>"If you paid our plan price of $" &amp; ROUND(B18,2) &amp; " per month against your current loan"</f>
        <v>#DIV/0!</v>
      </c>
      <c r="B33" s="85" t="s">
        <v>254</v>
      </c>
      <c r="C33" s="67"/>
    </row>
    <row r="34" spans="1:3" x14ac:dyDescent="0.3">
      <c r="A34" s="67"/>
      <c r="B34" s="70" t="str">
        <f>IFERROR(NPER($B$9/12,-$B$18,$B$5),"Indefinite")</f>
        <v>Indefinite</v>
      </c>
      <c r="C34" s="68" t="e">
        <f>"months to payoff outstanding balance of $"&amp;B5&amp;" at "&amp;B9*100&amp;"% interest, with $"&amp;ROUND(B18,2)&amp;" monthly payment."</f>
        <v>#DIV/0!</v>
      </c>
    </row>
    <row r="35" spans="1:3" x14ac:dyDescent="0.3">
      <c r="A35" s="67"/>
      <c r="B35" s="70" t="str">
        <f>IF(B34="Indefinite","N/A",B34/12)</f>
        <v>N/A</v>
      </c>
      <c r="C35" s="67" t="s">
        <v>255</v>
      </c>
    </row>
    <row r="36" spans="1:3" x14ac:dyDescent="0.3">
      <c r="A36" s="67"/>
      <c r="B36" s="84" t="str">
        <f>IFERROR(B18*B34,"N/A")</f>
        <v>N/A</v>
      </c>
      <c r="C36" s="68" t="s">
        <v>265</v>
      </c>
    </row>
    <row r="37" spans="1:3" x14ac:dyDescent="0.3">
      <c r="A37" s="67"/>
      <c r="B37" s="70" t="str">
        <f>IF(B34="Indefinite","N/A",B1+B35)</f>
        <v>N/A</v>
      </c>
      <c r="C37" s="68" t="s">
        <v>257</v>
      </c>
    </row>
    <row r="38" spans="1:3" x14ac:dyDescent="0.3">
      <c r="A38" s="67"/>
      <c r="B38" s="95" t="str">
        <f>IF(B34="Indefinite","Negative Amortization","")</f>
        <v>Negative Amortization</v>
      </c>
      <c r="C38" s="68"/>
    </row>
    <row r="39" spans="1:3" x14ac:dyDescent="0.3">
      <c r="B39" s="70" t="e">
        <f>(B1+B19)</f>
        <v>#DIV/0!</v>
      </c>
      <c r="C39" s="68" t="s">
        <v>259</v>
      </c>
    </row>
    <row r="40" spans="1:3" x14ac:dyDescent="0.3">
      <c r="B40" s="70" t="str">
        <f>IF(B37="N/A", "N/A", IF(B37-B39&gt;0,B37-B39,"-"))</f>
        <v>N/A</v>
      </c>
      <c r="C40" s="68" t="str">
        <f>IF(B40 &lt;&gt; 0,"years faster!","")</f>
        <v>years faster!</v>
      </c>
    </row>
    <row r="41" spans="1:3" x14ac:dyDescent="0.3">
      <c r="B41" s="84" t="str">
        <f>IFERROR(B36-B21,"N/A")</f>
        <v>N/A</v>
      </c>
      <c r="C41" s="68" t="s">
        <v>264</v>
      </c>
    </row>
  </sheetData>
  <sheetProtection sheet="1" objects="1" scenarios="1"/>
  <sortState xmlns:xlrd2="http://schemas.microsoft.com/office/spreadsheetml/2017/richdata2" ref="L8:M12">
    <sortCondition ref="L8:L12"/>
  </sortState>
  <mergeCells count="3">
    <mergeCell ref="A25:B25"/>
    <mergeCell ref="A30:A31"/>
    <mergeCell ref="A17:B17"/>
  </mergeCells>
  <conditionalFormatting sqref="B16">
    <cfRule type="cellIs" dxfId="50" priority="4" operator="equal">
      <formula>"PASS"</formula>
    </cfRule>
    <cfRule type="cellIs" dxfId="49" priority="5" operator="equal">
      <formula>"FAIL"</formula>
    </cfRule>
  </conditionalFormatting>
  <dataValidations xWindow="631" yWindow="386" count="5">
    <dataValidation type="whole" allowBlank="1" showErrorMessage="1" errorTitle="Error" error="Ages 27 and over only" promptTitle="FYI" prompt="Ages 25 and over only" sqref="B1" xr:uid="{F10D4749-9EFA-43E9-9B69-0B4BAF0F64AC}">
      <formula1>27</formula1>
      <formula2>128</formula2>
    </dataValidation>
    <dataValidation type="whole" allowBlank="1" showInputMessage="1" showErrorMessage="1" errorTitle="Error" error="0 through 9 only" promptTitle="FYI" prompt="Enter 0 up to and including 9. If 10 or more dependents, just enter 9." sqref="B4" xr:uid="{711F7084-A175-4D67-B910-AB15EDE96D65}">
      <formula1>0</formula1>
      <formula2>9</formula2>
    </dataValidation>
    <dataValidation type="decimal" operator="greaterThanOrEqual" allowBlank="1" showInputMessage="1" showErrorMessage="1" sqref="B7:B9" xr:uid="{4F1CC165-C3FA-444E-A273-222E26EA9EA8}">
      <formula1>0</formula1>
    </dataValidation>
    <dataValidation type="decimal" operator="greaterThanOrEqual" allowBlank="1" showInputMessage="1" showErrorMessage="1" errorTitle="Error" error="Must be at least $15,000" promptTitle="FYI" prompt="Must be $15,000 or greater" sqref="B5" xr:uid="{94192601-7B4A-408E-A5A0-4738E4857B47}">
      <formula1>15000</formula1>
    </dataValidation>
    <dataValidation type="decimal" operator="greaterThanOrEqual" allowBlank="1" showInputMessage="1" showErrorMessage="1" errorTitle="Error" error="Must be $10,000 or over" promptTitle="FYI" prompt="Must be at least $10,000" sqref="B6" xr:uid="{8A62870C-B19D-43FC-9490-BCC7D8575EC2}">
      <formula1>10000</formula1>
    </dataValidation>
  </dataValidations>
  <pageMargins left="0.7" right="0.7" top="0.75" bottom="0.75" header="0.3" footer="0.3"/>
  <pageSetup scale="92" fitToHeight="2" orientation="landscape" r:id="rId1"/>
  <ignoredErrors>
    <ignoredError sqref="B39" evalError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631" yWindow="386" count="2">
        <x14:dataValidation type="list" allowBlank="1" showInputMessage="1" showErrorMessage="1" xr:uid="{52518489-C34F-4223-B60A-51DF7B5E83E5}">
          <x14:formula1>
            <xm:f>'US Trustee''s Office'!$A$5:$A$59</xm:f>
          </x14:formula1>
          <xm:sqref>B2</xm:sqref>
        </x14:dataValidation>
        <x14:dataValidation type="list" allowBlank="1" showInputMessage="1" showErrorMessage="1" xr:uid="{76471EEC-A50F-43FB-B12B-1A2DAF5DA8F9}">
          <x14:formula1>
            <xm:f>Backend!$A$29:$A$31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6D11-2139-479B-9408-879E2BE325AA}">
  <sheetPr codeName="Sheet12"/>
  <dimension ref="A1:L995"/>
  <sheetViews>
    <sheetView zoomScale="120" zoomScaleNormal="120" workbookViewId="0">
      <pane ySplit="1" topLeftCell="A23" activePane="bottomLeft" state="frozen"/>
      <selection pane="bottomLeft" activeCell="A37" sqref="A37"/>
    </sheetView>
  </sheetViews>
  <sheetFormatPr defaultRowHeight="14.4" x14ac:dyDescent="0.3"/>
  <cols>
    <col min="1" max="1" width="20" customWidth="1"/>
    <col min="2" max="2" width="6.109375" customWidth="1"/>
    <col min="3" max="3" width="7.33203125" customWidth="1"/>
    <col min="4" max="4" width="19.44140625" style="5" bestFit="1" customWidth="1"/>
    <col min="5" max="5" width="13.44140625" style="5" customWidth="1"/>
    <col min="6" max="6" width="24.88671875" customWidth="1"/>
    <col min="7" max="7" width="19.5546875" customWidth="1"/>
    <col min="8" max="8" width="23.33203125" customWidth="1"/>
    <col min="9" max="9" width="24.88671875" style="26" customWidth="1"/>
    <col min="10" max="10" width="17" style="5" customWidth="1"/>
    <col min="11" max="11" width="20.5546875" style="26" customWidth="1"/>
    <col min="12" max="12" width="12.44140625" style="11" customWidth="1"/>
  </cols>
  <sheetData>
    <row r="1" spans="1:12" s="1" customFormat="1" ht="24" customHeight="1" x14ac:dyDescent="0.3">
      <c r="A1" s="72" t="s">
        <v>43</v>
      </c>
      <c r="B1" s="72" t="s">
        <v>1</v>
      </c>
      <c r="C1" s="72" t="s">
        <v>120</v>
      </c>
      <c r="D1" s="73" t="s">
        <v>6</v>
      </c>
      <c r="E1" s="73" t="s">
        <v>30</v>
      </c>
      <c r="F1" s="72" t="s">
        <v>45</v>
      </c>
      <c r="G1" s="72" t="s">
        <v>44</v>
      </c>
      <c r="H1" s="72" t="s">
        <v>46</v>
      </c>
      <c r="I1" s="74" t="s">
        <v>34</v>
      </c>
      <c r="J1" s="73" t="s">
        <v>47</v>
      </c>
      <c r="K1" s="74" t="s">
        <v>341</v>
      </c>
      <c r="L1" s="75" t="s">
        <v>52</v>
      </c>
    </row>
    <row r="2" spans="1:12" x14ac:dyDescent="0.3">
      <c r="A2" s="44">
        <v>1</v>
      </c>
      <c r="B2">
        <v>32</v>
      </c>
      <c r="C2" t="s">
        <v>127</v>
      </c>
      <c r="D2" s="5" t="s">
        <v>7</v>
      </c>
      <c r="E2" s="5">
        <v>0</v>
      </c>
      <c r="F2" s="39">
        <v>45500</v>
      </c>
      <c r="G2" s="39">
        <v>29028</v>
      </c>
      <c r="H2" s="39">
        <v>24885.74</v>
      </c>
      <c r="I2" s="45">
        <v>69.037698117515305</v>
      </c>
      <c r="J2" s="5">
        <v>5</v>
      </c>
      <c r="K2" s="26">
        <v>4142.2618870509186</v>
      </c>
      <c r="L2" s="37">
        <v>0.85730116139413948</v>
      </c>
    </row>
    <row r="3" spans="1:12" x14ac:dyDescent="0.3">
      <c r="A3" s="44">
        <v>2</v>
      </c>
      <c r="B3">
        <v>50</v>
      </c>
      <c r="C3" t="s">
        <v>165</v>
      </c>
      <c r="D3" s="5" t="s">
        <v>174</v>
      </c>
      <c r="E3" s="5">
        <v>0</v>
      </c>
      <c r="F3" s="39">
        <v>60275</v>
      </c>
      <c r="G3" s="39">
        <v>34000</v>
      </c>
      <c r="H3" s="39">
        <v>28995.62</v>
      </c>
      <c r="I3" s="45">
        <v>83.406381094370772</v>
      </c>
      <c r="J3" s="5">
        <v>5</v>
      </c>
      <c r="K3" s="26">
        <v>5004.3828656622463</v>
      </c>
      <c r="L3" s="37">
        <v>0.85281226865699278</v>
      </c>
    </row>
    <row r="4" spans="1:12" x14ac:dyDescent="0.3">
      <c r="A4" s="44">
        <v>3</v>
      </c>
      <c r="B4">
        <v>40</v>
      </c>
      <c r="C4" t="s">
        <v>125</v>
      </c>
      <c r="D4" s="5" t="s">
        <v>174</v>
      </c>
      <c r="E4" s="5">
        <v>2</v>
      </c>
      <c r="F4" s="39">
        <v>70425</v>
      </c>
      <c r="G4" s="39">
        <v>36750</v>
      </c>
      <c r="H4" s="39">
        <v>32131.84</v>
      </c>
      <c r="I4" s="45">
        <v>76.969409554043395</v>
      </c>
      <c r="J4" s="5">
        <v>5</v>
      </c>
      <c r="K4" s="26">
        <v>4618.1645732426041</v>
      </c>
      <c r="L4" s="11">
        <v>0.87433565787094958</v>
      </c>
    </row>
    <row r="5" spans="1:12" x14ac:dyDescent="0.3">
      <c r="A5" s="44">
        <v>4</v>
      </c>
      <c r="B5">
        <v>31</v>
      </c>
      <c r="C5" t="s">
        <v>155</v>
      </c>
      <c r="D5" s="5" t="s">
        <v>7</v>
      </c>
      <c r="E5" s="5">
        <v>0</v>
      </c>
      <c r="F5" s="39">
        <v>123750</v>
      </c>
      <c r="G5" s="39">
        <v>91000</v>
      </c>
      <c r="H5" s="39">
        <v>31764.03</v>
      </c>
      <c r="I5" s="45">
        <v>705.19013474085625</v>
      </c>
      <c r="J5" s="5">
        <v>7</v>
      </c>
      <c r="K5" s="26">
        <v>59235.971318231925</v>
      </c>
      <c r="L5" s="37">
        <v>0.34905526023920963</v>
      </c>
    </row>
    <row r="6" spans="1:12" x14ac:dyDescent="0.3">
      <c r="A6" s="44">
        <v>5</v>
      </c>
      <c r="B6">
        <v>52</v>
      </c>
      <c r="C6" t="s">
        <v>158</v>
      </c>
      <c r="D6" s="5" t="s">
        <v>174</v>
      </c>
      <c r="E6" s="5">
        <v>0</v>
      </c>
      <c r="F6" s="40">
        <v>57552.5</v>
      </c>
      <c r="G6" s="39">
        <v>21450</v>
      </c>
      <c r="H6" s="39">
        <v>18407.259999999998</v>
      </c>
      <c r="I6" s="45">
        <v>50.712416979905896</v>
      </c>
      <c r="J6" s="5">
        <v>5</v>
      </c>
      <c r="K6" s="26">
        <v>3042.7450187943537</v>
      </c>
      <c r="L6" s="37">
        <v>0.85814708537089257</v>
      </c>
    </row>
    <row r="7" spans="1:12" x14ac:dyDescent="0.3">
      <c r="A7" s="44">
        <v>6</v>
      </c>
      <c r="B7">
        <v>41</v>
      </c>
      <c r="C7" t="s">
        <v>126</v>
      </c>
      <c r="D7" s="5" t="s">
        <v>7</v>
      </c>
      <c r="E7" s="5">
        <v>0</v>
      </c>
      <c r="F7" s="39">
        <v>31050</v>
      </c>
      <c r="G7" s="39">
        <v>37500</v>
      </c>
      <c r="H7" s="39">
        <v>34592.71</v>
      </c>
      <c r="I7" s="45">
        <v>80.758077218201194</v>
      </c>
      <c r="J7" s="5">
        <v>3</v>
      </c>
      <c r="K7" s="26">
        <v>2907.2907798552428</v>
      </c>
      <c r="L7" s="37">
        <v>0.9224722458705269</v>
      </c>
    </row>
    <row r="8" spans="1:12" x14ac:dyDescent="0.3">
      <c r="A8" s="44">
        <v>7</v>
      </c>
      <c r="B8">
        <v>44</v>
      </c>
      <c r="C8" t="s">
        <v>125</v>
      </c>
      <c r="D8" s="5" t="s">
        <v>9</v>
      </c>
      <c r="E8" s="5">
        <v>1</v>
      </c>
      <c r="F8" s="39">
        <v>59500</v>
      </c>
      <c r="G8" s="39">
        <v>49350</v>
      </c>
      <c r="H8" s="39">
        <v>46972.639999999999</v>
      </c>
      <c r="I8" s="45">
        <v>39.622745658336846</v>
      </c>
      <c r="J8" s="5">
        <v>5</v>
      </c>
      <c r="K8" s="26">
        <v>2377.3647395002108</v>
      </c>
      <c r="L8" s="37">
        <v>0.95182644904761471</v>
      </c>
    </row>
    <row r="9" spans="1:12" x14ac:dyDescent="0.3">
      <c r="A9" s="44">
        <v>8</v>
      </c>
      <c r="B9">
        <v>51</v>
      </c>
      <c r="C9" t="s">
        <v>125</v>
      </c>
      <c r="D9" s="5" t="s">
        <v>7</v>
      </c>
      <c r="E9" s="5">
        <v>0</v>
      </c>
      <c r="F9" s="39">
        <v>37750</v>
      </c>
      <c r="G9" s="39">
        <v>18572</v>
      </c>
      <c r="H9" s="39">
        <v>17151.78</v>
      </c>
      <c r="I9" s="45">
        <v>39.450566214727793</v>
      </c>
      <c r="J9" s="5">
        <v>3</v>
      </c>
      <c r="K9" s="26">
        <v>1420.2203837302006</v>
      </c>
      <c r="L9" s="37">
        <v>0.92352894767767602</v>
      </c>
    </row>
    <row r="10" spans="1:12" x14ac:dyDescent="0.3">
      <c r="A10" s="44">
        <v>9</v>
      </c>
      <c r="B10">
        <v>56</v>
      </c>
      <c r="C10" t="s">
        <v>127</v>
      </c>
      <c r="D10" s="5" t="s">
        <v>7</v>
      </c>
      <c r="E10" s="5">
        <v>0</v>
      </c>
      <c r="F10" s="39">
        <v>58075</v>
      </c>
      <c r="G10" s="39">
        <v>62850</v>
      </c>
      <c r="H10" s="39">
        <v>57339.03</v>
      </c>
      <c r="I10" s="45">
        <v>114.81194942302959</v>
      </c>
      <c r="J10" s="5">
        <v>4</v>
      </c>
      <c r="K10" s="26">
        <v>5510.97357230542</v>
      </c>
      <c r="L10" s="11">
        <v>0.91231545628790112</v>
      </c>
    </row>
    <row r="11" spans="1:12" x14ac:dyDescent="0.3">
      <c r="A11" s="44">
        <v>10</v>
      </c>
      <c r="B11">
        <v>47</v>
      </c>
      <c r="C11" t="s">
        <v>139</v>
      </c>
      <c r="D11" s="5" t="s">
        <v>174</v>
      </c>
      <c r="E11" s="5">
        <v>1</v>
      </c>
      <c r="F11" s="39">
        <v>88214.5</v>
      </c>
      <c r="G11" s="39">
        <v>37645</v>
      </c>
      <c r="H11" s="39">
        <v>29140.45</v>
      </c>
      <c r="I11" s="45">
        <v>101.24462410030127</v>
      </c>
      <c r="J11" s="5">
        <v>7</v>
      </c>
      <c r="K11" s="26">
        <v>8504.5484244253057</v>
      </c>
      <c r="L11" s="11">
        <v>0.77408557778123777</v>
      </c>
    </row>
    <row r="12" spans="1:12" x14ac:dyDescent="0.3">
      <c r="A12" s="44">
        <v>11</v>
      </c>
      <c r="B12">
        <v>36</v>
      </c>
      <c r="C12" t="s">
        <v>133</v>
      </c>
      <c r="D12" s="5" t="s">
        <v>9</v>
      </c>
      <c r="E12" s="5">
        <v>2</v>
      </c>
      <c r="F12" s="39">
        <v>36765</v>
      </c>
      <c r="G12" s="39">
        <v>28936</v>
      </c>
      <c r="H12" s="39">
        <v>27684.54</v>
      </c>
      <c r="I12" s="45">
        <v>34.762737311579407</v>
      </c>
      <c r="J12" s="5">
        <v>3</v>
      </c>
      <c r="K12" s="26">
        <v>1251.4585432168587</v>
      </c>
      <c r="L12" s="37">
        <v>0.95675081064359757</v>
      </c>
    </row>
    <row r="13" spans="1:12" x14ac:dyDescent="0.3">
      <c r="A13" s="44">
        <v>12</v>
      </c>
      <c r="B13">
        <v>43</v>
      </c>
      <c r="C13" t="s">
        <v>129</v>
      </c>
      <c r="D13" s="5" t="s">
        <v>174</v>
      </c>
      <c r="E13" s="5">
        <v>3</v>
      </c>
      <c r="F13" s="39">
        <v>128662.5</v>
      </c>
      <c r="G13" s="39">
        <v>107654</v>
      </c>
      <c r="H13" s="39">
        <v>100321.97</v>
      </c>
      <c r="I13" s="45">
        <v>122.20048819102396</v>
      </c>
      <c r="J13" s="5">
        <v>5</v>
      </c>
      <c r="K13" s="26">
        <v>7332.0292914614383</v>
      </c>
      <c r="L13" s="37">
        <v>0.93189264410554706</v>
      </c>
    </row>
    <row r="14" spans="1:12" x14ac:dyDescent="0.3">
      <c r="A14" s="44">
        <v>13</v>
      </c>
      <c r="B14">
        <v>27</v>
      </c>
      <c r="C14" t="s">
        <v>132</v>
      </c>
      <c r="D14" s="5" t="s">
        <v>7</v>
      </c>
      <c r="E14" s="5">
        <v>0</v>
      </c>
      <c r="F14" s="39">
        <v>41211</v>
      </c>
      <c r="G14" s="39">
        <v>33265</v>
      </c>
      <c r="H14" s="39">
        <v>28266.44</v>
      </c>
      <c r="I14" s="45">
        <v>83.309387915594755</v>
      </c>
      <c r="J14" s="5">
        <v>5</v>
      </c>
      <c r="K14" s="26">
        <v>4998.5632749356855</v>
      </c>
      <c r="L14" s="37">
        <v>0.84973505862210474</v>
      </c>
    </row>
    <row r="15" spans="1:12" x14ac:dyDescent="0.3">
      <c r="A15" s="44">
        <v>14</v>
      </c>
      <c r="B15">
        <v>50</v>
      </c>
      <c r="C15" t="s">
        <v>169</v>
      </c>
      <c r="D15" s="5" t="s">
        <v>7</v>
      </c>
      <c r="E15" s="5">
        <v>0</v>
      </c>
      <c r="F15" s="39">
        <v>62024.5</v>
      </c>
      <c r="G15" s="39">
        <v>41295</v>
      </c>
      <c r="H15" s="39">
        <v>34496.35</v>
      </c>
      <c r="I15" s="45">
        <v>113.31081881051161</v>
      </c>
      <c r="J15" s="5">
        <v>5</v>
      </c>
      <c r="K15" s="26">
        <v>6798.6491286306964</v>
      </c>
      <c r="L15" s="11">
        <v>0.83536386660296169</v>
      </c>
    </row>
    <row r="16" spans="1:12" x14ac:dyDescent="0.3">
      <c r="A16" s="44">
        <v>15</v>
      </c>
      <c r="B16">
        <v>46</v>
      </c>
      <c r="C16" t="s">
        <v>128</v>
      </c>
      <c r="D16" s="5" t="s">
        <v>174</v>
      </c>
      <c r="E16" s="5">
        <v>3</v>
      </c>
      <c r="F16" s="39">
        <v>74715</v>
      </c>
      <c r="G16" s="39">
        <v>33595</v>
      </c>
      <c r="H16" s="39">
        <v>31576.38</v>
      </c>
      <c r="I16" s="45">
        <v>56.072843229119272</v>
      </c>
      <c r="J16" s="5">
        <v>3</v>
      </c>
      <c r="K16" s="26">
        <v>2018.6223562482937</v>
      </c>
      <c r="L16" s="37">
        <v>0.93991301216703993</v>
      </c>
    </row>
    <row r="17" spans="1:12" x14ac:dyDescent="0.3">
      <c r="A17" s="44">
        <v>16</v>
      </c>
      <c r="B17">
        <v>38</v>
      </c>
      <c r="C17" t="s">
        <v>166</v>
      </c>
      <c r="D17" s="5" t="s">
        <v>9</v>
      </c>
      <c r="E17" s="5">
        <v>3</v>
      </c>
      <c r="F17" s="39">
        <v>95372.5</v>
      </c>
      <c r="G17" s="39">
        <v>87207</v>
      </c>
      <c r="H17" s="39">
        <v>75545.38</v>
      </c>
      <c r="I17" s="45">
        <v>138.8288378673862</v>
      </c>
      <c r="J17" s="5">
        <v>7</v>
      </c>
      <c r="K17" s="26">
        <v>11661.622380860441</v>
      </c>
      <c r="L17" s="37">
        <v>0.86627653306660657</v>
      </c>
    </row>
    <row r="18" spans="1:12" x14ac:dyDescent="0.3">
      <c r="A18" s="44">
        <v>17</v>
      </c>
      <c r="B18">
        <v>44</v>
      </c>
      <c r="C18" t="s">
        <v>140</v>
      </c>
      <c r="D18" s="5" t="s">
        <v>174</v>
      </c>
      <c r="E18" s="5">
        <v>2</v>
      </c>
      <c r="F18" s="39">
        <v>58574</v>
      </c>
      <c r="G18" s="39">
        <v>34733</v>
      </c>
      <c r="H18" s="39">
        <v>30951.01</v>
      </c>
      <c r="I18" s="45">
        <v>63.033168442176581</v>
      </c>
      <c r="J18" s="5">
        <v>5</v>
      </c>
      <c r="K18" s="26">
        <v>3781.9901065305949</v>
      </c>
      <c r="L18" s="37">
        <v>0.89111248361700413</v>
      </c>
    </row>
    <row r="19" spans="1:12" x14ac:dyDescent="0.3">
      <c r="A19" s="44">
        <v>18</v>
      </c>
      <c r="B19">
        <v>34</v>
      </c>
      <c r="C19" t="s">
        <v>134</v>
      </c>
      <c r="D19" s="5" t="s">
        <v>174</v>
      </c>
      <c r="E19" s="5">
        <v>0</v>
      </c>
      <c r="F19" s="39">
        <v>157150</v>
      </c>
      <c r="G19" s="39">
        <v>121750</v>
      </c>
      <c r="H19" s="39">
        <v>62421.599999999999</v>
      </c>
      <c r="I19" s="45">
        <v>706.29050944027745</v>
      </c>
      <c r="J19" s="5">
        <v>7</v>
      </c>
      <c r="K19" s="26">
        <v>59328.402792983303</v>
      </c>
      <c r="L19" s="37">
        <v>0.51270305714182096</v>
      </c>
    </row>
    <row r="20" spans="1:12" x14ac:dyDescent="0.3">
      <c r="A20" s="44">
        <v>19</v>
      </c>
      <c r="B20">
        <v>52</v>
      </c>
      <c r="C20" t="s">
        <v>123</v>
      </c>
      <c r="D20" s="5" t="s">
        <v>174</v>
      </c>
      <c r="E20" s="5">
        <v>2</v>
      </c>
      <c r="F20" s="39">
        <v>62899</v>
      </c>
      <c r="G20" s="39">
        <v>42650</v>
      </c>
      <c r="H20" s="39">
        <v>38346.15</v>
      </c>
      <c r="I20" s="45">
        <v>71.73083235905338</v>
      </c>
      <c r="J20" s="5">
        <v>5</v>
      </c>
      <c r="K20" s="26">
        <v>4303.8499415432025</v>
      </c>
      <c r="L20" s="37">
        <v>0.8990890986742508</v>
      </c>
    </row>
    <row r="21" spans="1:12" x14ac:dyDescent="0.3">
      <c r="A21" s="44">
        <v>20</v>
      </c>
      <c r="B21">
        <v>29</v>
      </c>
      <c r="C21" t="s">
        <v>138</v>
      </c>
      <c r="D21" s="5" t="s">
        <v>7</v>
      </c>
      <c r="E21" s="5">
        <v>1</v>
      </c>
      <c r="F21" s="39">
        <v>39710.5</v>
      </c>
      <c r="G21" s="39">
        <v>29128</v>
      </c>
      <c r="H21" s="39">
        <v>27140.93</v>
      </c>
      <c r="I21" s="45">
        <v>55.196395456667403</v>
      </c>
      <c r="J21" s="5">
        <v>3</v>
      </c>
      <c r="K21" s="26">
        <v>1987.0702364400265</v>
      </c>
      <c r="L21" s="37">
        <v>0.93178143928728274</v>
      </c>
    </row>
    <row r="22" spans="1:12" x14ac:dyDescent="0.3">
      <c r="A22" s="44">
        <v>21</v>
      </c>
      <c r="B22">
        <v>41</v>
      </c>
      <c r="C22" t="s">
        <v>164</v>
      </c>
      <c r="D22" s="5" t="s">
        <v>7</v>
      </c>
      <c r="E22" s="5">
        <v>0</v>
      </c>
      <c r="F22" s="39">
        <v>42202.5</v>
      </c>
      <c r="G22" s="39">
        <v>31780</v>
      </c>
      <c r="H22" s="39">
        <v>27017.01</v>
      </c>
      <c r="I22" s="45">
        <v>79.383239315665449</v>
      </c>
      <c r="J22" s="5">
        <v>5</v>
      </c>
      <c r="K22" s="26">
        <v>4762.9943589399272</v>
      </c>
      <c r="L22" s="37">
        <v>0.85012604282756687</v>
      </c>
    </row>
    <row r="23" spans="1:12" x14ac:dyDescent="0.3">
      <c r="A23" s="44">
        <v>22</v>
      </c>
      <c r="B23">
        <v>38</v>
      </c>
      <c r="C23" t="s">
        <v>131</v>
      </c>
      <c r="D23" s="5" t="s">
        <v>7</v>
      </c>
      <c r="E23" s="5">
        <v>0</v>
      </c>
      <c r="F23" s="39">
        <v>103222.5</v>
      </c>
      <c r="G23" s="39">
        <v>71370</v>
      </c>
      <c r="H23" s="39">
        <v>44243.98</v>
      </c>
      <c r="I23" s="45">
        <v>322.92882854465569</v>
      </c>
      <c r="J23" s="5">
        <v>7</v>
      </c>
      <c r="K23" s="26">
        <v>27126.021597751078</v>
      </c>
      <c r="L23" s="37">
        <v>0.61992403534046403</v>
      </c>
    </row>
    <row r="24" spans="1:12" x14ac:dyDescent="0.3">
      <c r="A24" s="44">
        <v>23</v>
      </c>
      <c r="B24">
        <v>47</v>
      </c>
      <c r="C24" t="s">
        <v>140</v>
      </c>
      <c r="D24" s="5" t="s">
        <v>174</v>
      </c>
      <c r="E24" s="5">
        <v>2</v>
      </c>
      <c r="F24" s="39">
        <v>55384.5</v>
      </c>
      <c r="G24" s="39">
        <v>29875</v>
      </c>
      <c r="H24" s="39">
        <v>28061.83</v>
      </c>
      <c r="I24" s="45">
        <v>50.365768426735016</v>
      </c>
      <c r="J24" s="5">
        <v>3</v>
      </c>
      <c r="K24" s="26">
        <v>1813.1676633624606</v>
      </c>
      <c r="L24" s="37">
        <v>0.93930819536862065</v>
      </c>
    </row>
    <row r="25" spans="1:12" x14ac:dyDescent="0.3">
      <c r="A25" s="44">
        <v>24</v>
      </c>
      <c r="B25">
        <v>41</v>
      </c>
      <c r="C25" t="s">
        <v>124</v>
      </c>
      <c r="D25" s="5" t="s">
        <v>9</v>
      </c>
      <c r="E25" s="5">
        <v>3</v>
      </c>
      <c r="F25" s="39">
        <v>48624.5</v>
      </c>
      <c r="G25" s="39">
        <v>38760</v>
      </c>
      <c r="H25" s="39">
        <v>37121.040000000001</v>
      </c>
      <c r="I25" s="45">
        <v>45.526654801767478</v>
      </c>
      <c r="J25" s="5">
        <v>3</v>
      </c>
      <c r="K25" s="26">
        <v>1638.9595728636291</v>
      </c>
      <c r="L25" s="11">
        <v>0.95771518129866806</v>
      </c>
    </row>
    <row r="26" spans="1:12" x14ac:dyDescent="0.3">
      <c r="A26" s="44">
        <v>25</v>
      </c>
      <c r="B26">
        <v>52</v>
      </c>
      <c r="C26" t="s">
        <v>125</v>
      </c>
      <c r="D26" s="5" t="s">
        <v>7</v>
      </c>
      <c r="E26" s="5">
        <v>0</v>
      </c>
      <c r="F26" s="39">
        <v>45317.5</v>
      </c>
      <c r="G26" s="39">
        <v>49350</v>
      </c>
      <c r="H26" s="39">
        <v>43046.27</v>
      </c>
      <c r="I26" s="45">
        <v>105.06221555969613</v>
      </c>
      <c r="J26" s="5">
        <v>5</v>
      </c>
      <c r="K26" s="26">
        <v>6303.7329335817676</v>
      </c>
      <c r="L26" s="11">
        <v>0.87226478351404724</v>
      </c>
    </row>
    <row r="27" spans="1:12" x14ac:dyDescent="0.3">
      <c r="A27" s="44">
        <v>26</v>
      </c>
      <c r="B27">
        <v>46</v>
      </c>
      <c r="C27" t="s">
        <v>125</v>
      </c>
      <c r="D27" s="5" t="s">
        <v>7</v>
      </c>
      <c r="E27" s="5">
        <v>1</v>
      </c>
      <c r="F27" s="39">
        <v>45317.5</v>
      </c>
      <c r="G27" s="39">
        <v>49350</v>
      </c>
      <c r="H27" s="39">
        <v>46708.31</v>
      </c>
      <c r="I27" s="45">
        <v>73.380306507543651</v>
      </c>
      <c r="J27" s="5">
        <v>3</v>
      </c>
      <c r="K27" s="26">
        <v>2641.6910342715714</v>
      </c>
      <c r="L27" s="37">
        <v>0.94647029312519615</v>
      </c>
    </row>
    <row r="28" spans="1:12" x14ac:dyDescent="0.3">
      <c r="A28" s="44">
        <v>27</v>
      </c>
      <c r="B28">
        <v>32</v>
      </c>
      <c r="C28" t="s">
        <v>127</v>
      </c>
      <c r="D28" s="5" t="s">
        <v>9</v>
      </c>
      <c r="E28" s="5">
        <v>2</v>
      </c>
      <c r="F28" s="39">
        <v>69160</v>
      </c>
      <c r="G28" s="39">
        <v>28980</v>
      </c>
      <c r="H28" s="39">
        <v>25422.2</v>
      </c>
      <c r="I28" s="45">
        <v>59.296652913619596</v>
      </c>
      <c r="J28" s="5">
        <v>5</v>
      </c>
      <c r="K28" s="26">
        <v>3557.7991748171758</v>
      </c>
      <c r="L28" s="37">
        <v>0.87723260266331338</v>
      </c>
    </row>
    <row r="29" spans="1:12" x14ac:dyDescent="0.3">
      <c r="A29" s="44">
        <v>28</v>
      </c>
      <c r="B29">
        <v>52</v>
      </c>
      <c r="C29" t="s">
        <v>154</v>
      </c>
      <c r="D29" s="5" t="s">
        <v>174</v>
      </c>
      <c r="E29" s="5">
        <v>0</v>
      </c>
      <c r="F29" s="39">
        <v>67995.5</v>
      </c>
      <c r="G29" s="39">
        <v>43756</v>
      </c>
      <c r="H29" s="39">
        <v>33118.230000000003</v>
      </c>
      <c r="I29" s="45">
        <v>126.64006044539281</v>
      </c>
      <c r="J29" s="5">
        <v>7</v>
      </c>
      <c r="K29" s="26">
        <v>10637.765077412996</v>
      </c>
      <c r="L29" s="37">
        <v>0.75688442550934742</v>
      </c>
    </row>
    <row r="30" spans="1:12" x14ac:dyDescent="0.3">
      <c r="A30" s="44">
        <v>29</v>
      </c>
      <c r="B30">
        <v>44</v>
      </c>
      <c r="C30" t="s">
        <v>146</v>
      </c>
      <c r="D30" s="5" t="s">
        <v>174</v>
      </c>
      <c r="E30" s="5">
        <v>2</v>
      </c>
      <c r="F30" s="39">
        <v>88362.5</v>
      </c>
      <c r="G30" s="39">
        <v>36780</v>
      </c>
      <c r="H30" s="39">
        <v>32525.119999999999</v>
      </c>
      <c r="I30" s="45">
        <v>70.914676694581956</v>
      </c>
      <c r="J30" s="5">
        <v>5</v>
      </c>
      <c r="K30" s="26">
        <v>4254.8806016749177</v>
      </c>
      <c r="L30" s="37">
        <v>0.88431537243950742</v>
      </c>
    </row>
    <row r="31" spans="1:12" x14ac:dyDescent="0.3">
      <c r="A31" s="44">
        <v>30</v>
      </c>
      <c r="B31">
        <v>32</v>
      </c>
      <c r="C31" t="s">
        <v>133</v>
      </c>
      <c r="D31" s="5" t="s">
        <v>9</v>
      </c>
      <c r="E31" s="5">
        <v>1</v>
      </c>
      <c r="F31" s="39">
        <v>38680.5</v>
      </c>
      <c r="G31" s="39">
        <v>29035</v>
      </c>
      <c r="H31" s="39">
        <v>27307.82</v>
      </c>
      <c r="I31" s="45">
        <v>47.977292213839242</v>
      </c>
      <c r="J31" s="5">
        <v>3</v>
      </c>
      <c r="K31" s="26">
        <v>1727.1825196982127</v>
      </c>
      <c r="L31" s="11">
        <v>0.94051377579823614</v>
      </c>
    </row>
    <row r="32" spans="1:12" x14ac:dyDescent="0.3">
      <c r="A32" s="44">
        <v>31</v>
      </c>
      <c r="B32">
        <v>35</v>
      </c>
      <c r="C32" t="s">
        <v>137</v>
      </c>
      <c r="D32" s="42" t="s">
        <v>7</v>
      </c>
      <c r="E32" s="5">
        <v>0</v>
      </c>
      <c r="F32" s="39">
        <v>52221.5</v>
      </c>
      <c r="G32" s="39">
        <v>41789</v>
      </c>
      <c r="H32" s="39">
        <v>31231.51</v>
      </c>
      <c r="I32" s="45">
        <v>125.6843788751198</v>
      </c>
      <c r="J32" s="5">
        <v>7</v>
      </c>
      <c r="K32" s="26">
        <v>10557.487825510063</v>
      </c>
      <c r="L32" s="11">
        <v>0.74736203724640304</v>
      </c>
    </row>
    <row r="33" spans="1:12" x14ac:dyDescent="0.3">
      <c r="A33" s="44">
        <v>32</v>
      </c>
      <c r="B33" s="89">
        <v>55</v>
      </c>
      <c r="C33" t="s">
        <v>144</v>
      </c>
      <c r="D33" s="5" t="s">
        <v>7</v>
      </c>
      <c r="E33" s="5">
        <v>0</v>
      </c>
      <c r="F33" s="39">
        <v>80225</v>
      </c>
      <c r="G33" s="39">
        <v>87177</v>
      </c>
      <c r="H33" s="39">
        <v>65878.34</v>
      </c>
      <c r="I33" s="45">
        <v>253.55551972566639</v>
      </c>
      <c r="J33" s="5">
        <v>7</v>
      </c>
      <c r="K33" s="26">
        <v>21298.663656955978</v>
      </c>
      <c r="L33" s="37">
        <v>0.75568482906092227</v>
      </c>
    </row>
    <row r="34" spans="1:12" x14ac:dyDescent="0.3">
      <c r="A34" s="44">
        <v>33</v>
      </c>
      <c r="B34">
        <v>47</v>
      </c>
      <c r="C34" t="s">
        <v>145</v>
      </c>
      <c r="D34" s="5" t="s">
        <v>174</v>
      </c>
      <c r="E34" s="5">
        <v>2</v>
      </c>
      <c r="F34" s="39">
        <v>65595</v>
      </c>
      <c r="G34" s="39">
        <v>38788</v>
      </c>
      <c r="H34" s="39">
        <v>36418.78</v>
      </c>
      <c r="I34" s="45">
        <v>65.811605418447911</v>
      </c>
      <c r="J34" s="5">
        <v>3</v>
      </c>
      <c r="K34" s="26">
        <v>2369.2177950641249</v>
      </c>
      <c r="L34" s="11">
        <v>0.9389187945997699</v>
      </c>
    </row>
    <row r="35" spans="1:12" x14ac:dyDescent="0.3">
      <c r="A35" s="44">
        <v>34</v>
      </c>
      <c r="B35">
        <v>56</v>
      </c>
      <c r="C35" t="s">
        <v>128</v>
      </c>
      <c r="D35" s="5" t="s">
        <v>7</v>
      </c>
      <c r="E35" s="5">
        <v>0</v>
      </c>
      <c r="F35" s="39">
        <v>47000</v>
      </c>
      <c r="G35" s="39">
        <v>38756</v>
      </c>
      <c r="H35" s="39">
        <v>35224.28</v>
      </c>
      <c r="I35" s="45">
        <v>73.577436465650621</v>
      </c>
      <c r="J35" s="5">
        <v>4</v>
      </c>
      <c r="K35" s="26">
        <v>3531.7169503512296</v>
      </c>
      <c r="L35" s="37">
        <v>0.90887302739314613</v>
      </c>
    </row>
    <row r="36" spans="1:12" x14ac:dyDescent="0.3">
      <c r="A36" s="44">
        <v>35</v>
      </c>
      <c r="B36">
        <v>30</v>
      </c>
      <c r="C36" t="s">
        <v>163</v>
      </c>
      <c r="D36" s="5" t="s">
        <v>7</v>
      </c>
      <c r="E36" s="5">
        <v>0</v>
      </c>
      <c r="F36" s="39">
        <v>46495</v>
      </c>
      <c r="G36" s="39">
        <v>38788</v>
      </c>
      <c r="H36" s="39">
        <v>32110.23</v>
      </c>
      <c r="I36" s="45">
        <v>111.29612111483644</v>
      </c>
      <c r="J36" s="5">
        <v>5</v>
      </c>
      <c r="K36" s="26">
        <v>6677.767266890186</v>
      </c>
      <c r="L36" s="37">
        <v>0.82783935065251657</v>
      </c>
    </row>
    <row r="37" spans="1:12" x14ac:dyDescent="0.3">
      <c r="A37" s="44"/>
      <c r="F37" s="39"/>
      <c r="G37" s="39"/>
      <c r="H37" s="39"/>
      <c r="I37" s="45"/>
      <c r="L37" s="37"/>
    </row>
    <row r="38" spans="1:12" x14ac:dyDescent="0.3">
      <c r="A38" s="44"/>
      <c r="F38" s="39"/>
      <c r="G38" s="39"/>
      <c r="H38" s="39"/>
      <c r="I38" s="45"/>
    </row>
    <row r="39" spans="1:12" x14ac:dyDescent="0.3">
      <c r="A39" s="44"/>
      <c r="F39" s="39"/>
      <c r="G39" s="39"/>
      <c r="H39" s="39"/>
      <c r="I39" s="45"/>
      <c r="L39" s="37"/>
    </row>
    <row r="40" spans="1:12" x14ac:dyDescent="0.3">
      <c r="A40" s="44"/>
      <c r="F40" s="39"/>
      <c r="G40" s="39"/>
      <c r="H40" s="39"/>
      <c r="I40" s="45"/>
      <c r="L40" s="37"/>
    </row>
    <row r="41" spans="1:12" x14ac:dyDescent="0.3">
      <c r="A41" s="44"/>
      <c r="F41" s="39"/>
      <c r="G41" s="39"/>
      <c r="H41" s="39"/>
      <c r="I41" s="45"/>
      <c r="L41" s="37"/>
    </row>
    <row r="42" spans="1:12" x14ac:dyDescent="0.3">
      <c r="A42" s="44"/>
      <c r="F42" s="39"/>
      <c r="G42" s="39"/>
      <c r="H42" s="39"/>
      <c r="I42" s="45"/>
    </row>
    <row r="43" spans="1:12" x14ac:dyDescent="0.3">
      <c r="A43" s="44"/>
      <c r="F43" s="39"/>
      <c r="G43" s="39"/>
      <c r="H43" s="39"/>
      <c r="I43" s="45"/>
      <c r="L43" s="37"/>
    </row>
    <row r="44" spans="1:12" x14ac:dyDescent="0.3">
      <c r="A44" s="44"/>
      <c r="F44" s="39"/>
      <c r="G44" s="39"/>
      <c r="H44" s="39"/>
      <c r="I44" s="45"/>
    </row>
    <row r="45" spans="1:12" x14ac:dyDescent="0.3">
      <c r="A45" s="44"/>
      <c r="D45" s="41"/>
      <c r="E45" s="29"/>
      <c r="F45" s="39"/>
      <c r="G45" s="39"/>
      <c r="H45" s="39"/>
      <c r="I45" s="45"/>
      <c r="J45" s="30"/>
      <c r="L45" s="37"/>
    </row>
    <row r="46" spans="1:12" x14ac:dyDescent="0.3">
      <c r="A46" s="44"/>
      <c r="F46" s="39"/>
      <c r="G46" s="39"/>
      <c r="H46" s="39"/>
      <c r="I46" s="45"/>
      <c r="L46" s="37"/>
    </row>
    <row r="47" spans="1:12" x14ac:dyDescent="0.3">
      <c r="A47" s="44"/>
      <c r="F47" s="39"/>
      <c r="G47" s="39"/>
      <c r="H47" s="39"/>
      <c r="I47" s="45"/>
      <c r="L47" s="37"/>
    </row>
    <row r="48" spans="1:12" x14ac:dyDescent="0.3">
      <c r="A48" s="44"/>
      <c r="F48" s="39"/>
      <c r="G48" s="39"/>
      <c r="H48" s="39"/>
      <c r="I48" s="45"/>
      <c r="L48" s="37"/>
    </row>
    <row r="49" spans="1:9" x14ac:dyDescent="0.3">
      <c r="A49" s="44"/>
      <c r="F49" s="39"/>
      <c r="G49" s="39"/>
      <c r="H49" s="39"/>
      <c r="I49" s="45"/>
    </row>
    <row r="50" spans="1:9" x14ac:dyDescent="0.3">
      <c r="A50" s="44"/>
      <c r="F50" s="82"/>
      <c r="G50" s="82"/>
      <c r="H50" s="82"/>
      <c r="I50" s="45"/>
    </row>
    <row r="51" spans="1:9" x14ac:dyDescent="0.3">
      <c r="A51" s="44"/>
      <c r="F51" s="82"/>
      <c r="G51" s="82"/>
      <c r="H51" s="82"/>
      <c r="I51" s="45"/>
    </row>
    <row r="52" spans="1:9" x14ac:dyDescent="0.3">
      <c r="A52" s="44"/>
      <c r="F52" s="39"/>
      <c r="G52" s="39"/>
      <c r="H52" s="39"/>
      <c r="I52" s="45"/>
    </row>
    <row r="53" spans="1:9" x14ac:dyDescent="0.3">
      <c r="A53" s="44"/>
      <c r="F53" s="39"/>
      <c r="G53" s="39"/>
      <c r="H53" s="39"/>
      <c r="I53" s="45"/>
    </row>
    <row r="54" spans="1:9" x14ac:dyDescent="0.3">
      <c r="A54" s="44"/>
      <c r="F54" s="39"/>
      <c r="G54" s="39"/>
      <c r="H54" s="39"/>
      <c r="I54" s="45"/>
    </row>
    <row r="55" spans="1:9" x14ac:dyDescent="0.3">
      <c r="A55" s="44"/>
      <c r="F55" s="39"/>
      <c r="G55" s="39"/>
      <c r="H55" s="39"/>
      <c r="I55" s="45"/>
    </row>
    <row r="56" spans="1:9" x14ac:dyDescent="0.3">
      <c r="A56" s="44"/>
      <c r="F56" s="39"/>
      <c r="G56" s="39"/>
      <c r="H56" s="39"/>
      <c r="I56" s="45"/>
    </row>
    <row r="57" spans="1:9" x14ac:dyDescent="0.3">
      <c r="A57" s="44"/>
      <c r="F57" s="39"/>
      <c r="G57" s="39"/>
      <c r="H57" s="39"/>
      <c r="I57" s="45"/>
    </row>
    <row r="58" spans="1:9" x14ac:dyDescent="0.3">
      <c r="A58" s="44"/>
      <c r="F58" s="39"/>
      <c r="G58" s="39"/>
      <c r="H58" s="39"/>
      <c r="I58" s="45"/>
    </row>
    <row r="59" spans="1:9" x14ac:dyDescent="0.3">
      <c r="A59" s="44"/>
      <c r="F59" s="39"/>
      <c r="G59" s="39"/>
      <c r="H59" s="39"/>
      <c r="I59" s="45"/>
    </row>
    <row r="60" spans="1:9" x14ac:dyDescent="0.3">
      <c r="A60" s="44"/>
      <c r="F60" s="39"/>
      <c r="G60" s="39"/>
      <c r="H60" s="39"/>
      <c r="I60" s="45"/>
    </row>
    <row r="61" spans="1:9" x14ac:dyDescent="0.3">
      <c r="A61" s="44"/>
      <c r="F61" s="39"/>
      <c r="G61" s="39"/>
      <c r="H61" s="39"/>
      <c r="I61" s="45"/>
    </row>
    <row r="62" spans="1:9" x14ac:dyDescent="0.3">
      <c r="A62" s="44"/>
      <c r="F62" s="39"/>
      <c r="G62" s="39"/>
      <c r="H62" s="39"/>
      <c r="I62" s="45"/>
    </row>
    <row r="63" spans="1:9" x14ac:dyDescent="0.3">
      <c r="A63" s="44"/>
      <c r="F63" s="39"/>
      <c r="G63" s="39"/>
      <c r="H63" s="39"/>
      <c r="I63" s="45"/>
    </row>
    <row r="64" spans="1:9" x14ac:dyDescent="0.3">
      <c r="A64" s="44"/>
      <c r="F64" s="39"/>
      <c r="G64" s="39"/>
      <c r="H64" s="39"/>
      <c r="I64" s="45"/>
    </row>
    <row r="65" spans="1:9" x14ac:dyDescent="0.3">
      <c r="A65" s="44"/>
      <c r="F65" s="39"/>
      <c r="G65" s="39"/>
      <c r="H65" s="39"/>
      <c r="I65" s="45"/>
    </row>
    <row r="66" spans="1:9" x14ac:dyDescent="0.3">
      <c r="A66" s="44"/>
      <c r="F66" s="39"/>
      <c r="G66" s="39"/>
      <c r="H66" s="39"/>
      <c r="I66" s="45"/>
    </row>
    <row r="67" spans="1:9" x14ac:dyDescent="0.3">
      <c r="A67" s="44"/>
      <c r="F67" s="39"/>
      <c r="G67" s="39"/>
      <c r="H67" s="39"/>
      <c r="I67" s="45"/>
    </row>
    <row r="68" spans="1:9" x14ac:dyDescent="0.3">
      <c r="A68" s="44"/>
      <c r="F68" s="39"/>
      <c r="G68" s="39"/>
      <c r="H68" s="39"/>
      <c r="I68" s="45"/>
    </row>
    <row r="69" spans="1:9" x14ac:dyDescent="0.3">
      <c r="A69" s="44"/>
      <c r="F69" s="39"/>
      <c r="G69" s="39"/>
      <c r="H69" s="39"/>
      <c r="I69" s="45"/>
    </row>
    <row r="70" spans="1:9" x14ac:dyDescent="0.3">
      <c r="A70" s="44"/>
      <c r="F70" s="39"/>
      <c r="G70" s="39"/>
      <c r="H70" s="39"/>
      <c r="I70" s="45"/>
    </row>
    <row r="71" spans="1:9" x14ac:dyDescent="0.3">
      <c r="A71" s="44"/>
      <c r="F71" s="39"/>
      <c r="G71" s="39"/>
      <c r="H71" s="39"/>
      <c r="I71" s="45"/>
    </row>
    <row r="72" spans="1:9" x14ac:dyDescent="0.3">
      <c r="A72" s="44"/>
      <c r="F72" s="39"/>
      <c r="G72" s="39"/>
      <c r="H72" s="39"/>
      <c r="I72" s="45"/>
    </row>
    <row r="73" spans="1:9" x14ac:dyDescent="0.3">
      <c r="A73" s="44"/>
      <c r="F73" s="39"/>
      <c r="G73" s="39"/>
      <c r="H73" s="39"/>
      <c r="I73" s="45"/>
    </row>
    <row r="74" spans="1:9" x14ac:dyDescent="0.3">
      <c r="A74" s="44"/>
      <c r="F74" s="39"/>
      <c r="G74" s="39"/>
      <c r="H74" s="39"/>
      <c r="I74" s="45"/>
    </row>
    <row r="75" spans="1:9" x14ac:dyDescent="0.3">
      <c r="A75" s="44"/>
      <c r="F75" s="39"/>
      <c r="G75" s="39"/>
      <c r="H75" s="39"/>
      <c r="I75" s="45"/>
    </row>
    <row r="76" spans="1:9" x14ac:dyDescent="0.3">
      <c r="A76" s="44"/>
      <c r="F76" s="39"/>
      <c r="G76" s="39"/>
      <c r="H76" s="39"/>
      <c r="I76" s="45"/>
    </row>
    <row r="77" spans="1:9" x14ac:dyDescent="0.3">
      <c r="A77" s="44"/>
      <c r="F77" s="39"/>
      <c r="G77" s="39"/>
      <c r="H77" s="39"/>
      <c r="I77" s="45"/>
    </row>
    <row r="78" spans="1:9" x14ac:dyDescent="0.3">
      <c r="A78" s="44"/>
      <c r="F78" s="39"/>
      <c r="G78" s="39"/>
      <c r="H78" s="39"/>
      <c r="I78" s="45"/>
    </row>
    <row r="79" spans="1:9" x14ac:dyDescent="0.3">
      <c r="A79" s="44"/>
      <c r="F79" s="39"/>
      <c r="G79" s="39"/>
      <c r="H79" s="39"/>
      <c r="I79" s="45"/>
    </row>
    <row r="80" spans="1:9" x14ac:dyDescent="0.3">
      <c r="A80" s="44"/>
      <c r="F80" s="39"/>
      <c r="G80" s="39"/>
      <c r="H80" s="39"/>
      <c r="I80" s="45"/>
    </row>
    <row r="81" spans="1:9" x14ac:dyDescent="0.3">
      <c r="A81" s="44"/>
      <c r="F81" s="39"/>
      <c r="G81" s="39"/>
      <c r="H81" s="39"/>
      <c r="I81" s="45"/>
    </row>
    <row r="82" spans="1:9" x14ac:dyDescent="0.3">
      <c r="A82" s="44"/>
      <c r="F82" s="39"/>
      <c r="G82" s="39"/>
      <c r="H82" s="39"/>
      <c r="I82" s="45"/>
    </row>
    <row r="83" spans="1:9" x14ac:dyDescent="0.3">
      <c r="A83" s="44"/>
      <c r="F83" s="39"/>
      <c r="G83" s="39"/>
      <c r="H83" s="39"/>
      <c r="I83" s="45"/>
    </row>
    <row r="84" spans="1:9" x14ac:dyDescent="0.3">
      <c r="A84" s="44"/>
      <c r="F84" s="39"/>
      <c r="G84" s="39"/>
      <c r="H84" s="39"/>
      <c r="I84" s="45"/>
    </row>
    <row r="85" spans="1:9" x14ac:dyDescent="0.3">
      <c r="A85" s="44"/>
      <c r="F85" s="39"/>
      <c r="G85" s="39"/>
      <c r="H85" s="39"/>
      <c r="I85" s="45"/>
    </row>
    <row r="86" spans="1:9" x14ac:dyDescent="0.3">
      <c r="A86" s="44"/>
      <c r="F86" s="39"/>
      <c r="G86" s="39"/>
      <c r="H86" s="39"/>
      <c r="I86" s="45"/>
    </row>
    <row r="87" spans="1:9" x14ac:dyDescent="0.3">
      <c r="A87" s="44"/>
      <c r="F87" s="39"/>
      <c r="G87" s="39"/>
      <c r="H87" s="39"/>
      <c r="I87" s="45"/>
    </row>
    <row r="88" spans="1:9" x14ac:dyDescent="0.3">
      <c r="A88" s="44"/>
      <c r="F88" s="39"/>
      <c r="G88" s="39"/>
      <c r="H88" s="39"/>
      <c r="I88" s="45"/>
    </row>
    <row r="89" spans="1:9" x14ac:dyDescent="0.3">
      <c r="A89" s="44"/>
      <c r="F89" s="39"/>
      <c r="G89" s="39"/>
      <c r="H89" s="39"/>
      <c r="I89" s="45"/>
    </row>
    <row r="90" spans="1:9" x14ac:dyDescent="0.3">
      <c r="A90" s="44"/>
      <c r="F90" s="39"/>
      <c r="G90" s="39"/>
      <c r="H90" s="39"/>
      <c r="I90" s="45"/>
    </row>
    <row r="91" spans="1:9" x14ac:dyDescent="0.3">
      <c r="A91" s="44"/>
      <c r="F91" s="39"/>
      <c r="G91" s="39"/>
      <c r="H91" s="39"/>
      <c r="I91" s="45"/>
    </row>
    <row r="92" spans="1:9" x14ac:dyDescent="0.3">
      <c r="A92" s="44"/>
      <c r="F92" s="39"/>
      <c r="G92" s="39"/>
      <c r="H92" s="39"/>
      <c r="I92" s="45"/>
    </row>
    <row r="93" spans="1:9" x14ac:dyDescent="0.3">
      <c r="A93" s="44"/>
      <c r="F93" s="39"/>
      <c r="G93" s="39"/>
      <c r="H93" s="39"/>
      <c r="I93" s="45"/>
    </row>
    <row r="94" spans="1:9" x14ac:dyDescent="0.3">
      <c r="A94" s="44"/>
      <c r="F94" s="39"/>
      <c r="G94" s="39"/>
      <c r="H94" s="39"/>
      <c r="I94" s="45"/>
    </row>
    <row r="95" spans="1:9" x14ac:dyDescent="0.3">
      <c r="A95" s="44"/>
      <c r="F95" s="39"/>
      <c r="G95" s="39"/>
      <c r="H95" s="39"/>
      <c r="I95" s="45"/>
    </row>
    <row r="96" spans="1:9" x14ac:dyDescent="0.3">
      <c r="A96" s="44"/>
      <c r="F96" s="39"/>
      <c r="G96" s="39"/>
      <c r="H96" s="39"/>
      <c r="I96" s="45"/>
    </row>
    <row r="97" spans="1:9" x14ac:dyDescent="0.3">
      <c r="A97" s="44"/>
      <c r="F97" s="39"/>
      <c r="G97" s="39"/>
      <c r="H97" s="39"/>
      <c r="I97" s="45"/>
    </row>
    <row r="98" spans="1:9" x14ac:dyDescent="0.3">
      <c r="A98" s="44"/>
      <c r="F98" s="39"/>
      <c r="G98" s="39"/>
      <c r="H98" s="39"/>
      <c r="I98" s="45"/>
    </row>
    <row r="99" spans="1:9" x14ac:dyDescent="0.3">
      <c r="A99" s="44"/>
      <c r="F99" s="39"/>
      <c r="G99" s="39"/>
      <c r="H99" s="39"/>
      <c r="I99" s="45"/>
    </row>
    <row r="100" spans="1:9" x14ac:dyDescent="0.3">
      <c r="A100" s="44"/>
      <c r="F100" s="39"/>
      <c r="G100" s="39"/>
      <c r="H100" s="39"/>
      <c r="I100" s="45"/>
    </row>
    <row r="101" spans="1:9" x14ac:dyDescent="0.3">
      <c r="A101" s="44"/>
      <c r="F101" s="39"/>
      <c r="G101" s="39"/>
      <c r="H101" s="39"/>
      <c r="I101" s="45"/>
    </row>
    <row r="102" spans="1:9" x14ac:dyDescent="0.3">
      <c r="A102" s="44"/>
      <c r="F102" s="39"/>
      <c r="G102" s="39"/>
      <c r="H102" s="39"/>
      <c r="I102" s="45"/>
    </row>
    <row r="103" spans="1:9" x14ac:dyDescent="0.3">
      <c r="A103" s="44"/>
      <c r="F103" s="39"/>
      <c r="G103" s="39"/>
      <c r="H103" s="39"/>
      <c r="I103" s="45"/>
    </row>
    <row r="104" spans="1:9" x14ac:dyDescent="0.3">
      <c r="A104" s="44"/>
      <c r="F104" s="39"/>
      <c r="G104" s="39"/>
      <c r="H104" s="39"/>
      <c r="I104" s="45"/>
    </row>
    <row r="105" spans="1:9" x14ac:dyDescent="0.3">
      <c r="A105" s="44"/>
      <c r="F105" s="39"/>
      <c r="G105" s="39"/>
      <c r="H105" s="39"/>
      <c r="I105" s="45"/>
    </row>
    <row r="106" spans="1:9" x14ac:dyDescent="0.3">
      <c r="A106" s="44"/>
      <c r="F106" s="39"/>
      <c r="G106" s="39"/>
      <c r="H106" s="39"/>
      <c r="I106" s="45"/>
    </row>
    <row r="107" spans="1:9" x14ac:dyDescent="0.3">
      <c r="A107" s="44"/>
      <c r="F107" s="39"/>
      <c r="G107" s="39"/>
      <c r="H107" s="39"/>
      <c r="I107" s="45"/>
    </row>
    <row r="108" spans="1:9" x14ac:dyDescent="0.3">
      <c r="A108" s="44"/>
      <c r="F108" s="39"/>
      <c r="G108" s="39"/>
      <c r="H108" s="39"/>
      <c r="I108" s="45"/>
    </row>
    <row r="109" spans="1:9" x14ac:dyDescent="0.3">
      <c r="A109" s="44"/>
      <c r="F109" s="39"/>
      <c r="G109" s="39"/>
      <c r="H109" s="39"/>
      <c r="I109" s="45"/>
    </row>
    <row r="110" spans="1:9" x14ac:dyDescent="0.3">
      <c r="A110" s="44"/>
      <c r="F110" s="39"/>
      <c r="G110" s="39"/>
      <c r="H110" s="39"/>
      <c r="I110" s="45"/>
    </row>
    <row r="111" spans="1:9" x14ac:dyDescent="0.3">
      <c r="A111" s="44"/>
      <c r="F111" s="39"/>
      <c r="G111" s="39"/>
      <c r="H111" s="39"/>
      <c r="I111" s="45"/>
    </row>
    <row r="112" spans="1:9" x14ac:dyDescent="0.3">
      <c r="A112" s="44"/>
      <c r="F112" s="39"/>
      <c r="G112" s="39"/>
      <c r="H112" s="39"/>
      <c r="I112" s="45"/>
    </row>
    <row r="113" spans="1:9" x14ac:dyDescent="0.3">
      <c r="A113" s="44"/>
      <c r="F113" s="39"/>
      <c r="G113" s="39"/>
      <c r="H113" s="39"/>
      <c r="I113" s="45"/>
    </row>
    <row r="114" spans="1:9" x14ac:dyDescent="0.3">
      <c r="A114" s="44"/>
      <c r="F114" s="39"/>
      <c r="G114" s="39"/>
      <c r="H114" s="39"/>
      <c r="I114" s="45"/>
    </row>
    <row r="115" spans="1:9" x14ac:dyDescent="0.3">
      <c r="A115" s="44"/>
      <c r="F115" s="39"/>
      <c r="G115" s="39"/>
      <c r="H115" s="39"/>
      <c r="I115" s="45"/>
    </row>
    <row r="116" spans="1:9" x14ac:dyDescent="0.3">
      <c r="A116" s="44"/>
      <c r="F116" s="39"/>
      <c r="G116" s="39"/>
      <c r="H116" s="39"/>
      <c r="I116" s="45"/>
    </row>
    <row r="117" spans="1:9" x14ac:dyDescent="0.3">
      <c r="A117" s="44"/>
      <c r="F117" s="39"/>
      <c r="G117" s="39"/>
      <c r="H117" s="39"/>
      <c r="I117" s="45"/>
    </row>
    <row r="118" spans="1:9" x14ac:dyDescent="0.3">
      <c r="A118" s="44"/>
      <c r="F118" s="39"/>
      <c r="G118" s="39"/>
      <c r="H118" s="39"/>
      <c r="I118" s="45"/>
    </row>
    <row r="119" spans="1:9" x14ac:dyDescent="0.3">
      <c r="A119" s="44"/>
      <c r="F119" s="39"/>
      <c r="G119" s="39"/>
      <c r="H119" s="39"/>
      <c r="I119" s="45"/>
    </row>
    <row r="120" spans="1:9" x14ac:dyDescent="0.3">
      <c r="A120" s="44"/>
      <c r="F120" s="39"/>
      <c r="G120" s="39"/>
      <c r="H120" s="39"/>
      <c r="I120" s="45"/>
    </row>
    <row r="121" spans="1:9" x14ac:dyDescent="0.3">
      <c r="A121" s="44"/>
      <c r="F121" s="39"/>
      <c r="G121" s="39"/>
      <c r="H121" s="39"/>
      <c r="I121" s="45"/>
    </row>
    <row r="122" spans="1:9" x14ac:dyDescent="0.3">
      <c r="A122" s="44"/>
      <c r="F122" s="39"/>
      <c r="G122" s="39"/>
      <c r="H122" s="39"/>
      <c r="I122" s="45"/>
    </row>
    <row r="123" spans="1:9" x14ac:dyDescent="0.3">
      <c r="A123" s="44"/>
      <c r="F123" s="39"/>
      <c r="G123" s="39"/>
      <c r="H123" s="39"/>
      <c r="I123" s="45"/>
    </row>
    <row r="124" spans="1:9" x14ac:dyDescent="0.3">
      <c r="A124" s="44"/>
      <c r="F124" s="39"/>
      <c r="G124" s="39"/>
      <c r="H124" s="39"/>
      <c r="I124" s="45"/>
    </row>
    <row r="125" spans="1:9" x14ac:dyDescent="0.3">
      <c r="A125" s="44"/>
      <c r="F125" s="39"/>
      <c r="G125" s="39"/>
      <c r="H125" s="39"/>
      <c r="I125" s="45"/>
    </row>
    <row r="126" spans="1:9" x14ac:dyDescent="0.3">
      <c r="A126" s="44"/>
      <c r="F126" s="39"/>
      <c r="G126" s="39"/>
      <c r="H126" s="39"/>
      <c r="I126" s="45"/>
    </row>
    <row r="127" spans="1:9" x14ac:dyDescent="0.3">
      <c r="A127" s="44"/>
      <c r="F127" s="39"/>
      <c r="G127" s="39"/>
      <c r="H127" s="39"/>
      <c r="I127" s="45"/>
    </row>
    <row r="128" spans="1:9" x14ac:dyDescent="0.3">
      <c r="A128" s="44"/>
      <c r="F128" s="39"/>
      <c r="G128" s="39"/>
      <c r="H128" s="39"/>
      <c r="I128" s="45"/>
    </row>
    <row r="129" spans="1:9" x14ac:dyDescent="0.3">
      <c r="A129" s="44"/>
      <c r="F129" s="39"/>
      <c r="G129" s="39"/>
      <c r="H129" s="39"/>
      <c r="I129" s="45"/>
    </row>
    <row r="130" spans="1:9" x14ac:dyDescent="0.3">
      <c r="A130" s="44"/>
      <c r="F130" s="39"/>
      <c r="G130" s="39"/>
      <c r="H130" s="39"/>
      <c r="I130" s="45"/>
    </row>
    <row r="131" spans="1:9" x14ac:dyDescent="0.3">
      <c r="A131" s="44"/>
      <c r="F131" s="39"/>
      <c r="G131" s="39"/>
      <c r="H131" s="39"/>
      <c r="I131" s="45"/>
    </row>
    <row r="132" spans="1:9" x14ac:dyDescent="0.3">
      <c r="A132" s="44"/>
      <c r="F132" s="39"/>
      <c r="G132" s="39"/>
      <c r="H132" s="39"/>
      <c r="I132" s="45"/>
    </row>
    <row r="133" spans="1:9" x14ac:dyDescent="0.3">
      <c r="A133" s="44"/>
      <c r="F133" s="39"/>
      <c r="G133" s="39"/>
      <c r="H133" s="39"/>
      <c r="I133" s="33"/>
    </row>
    <row r="134" spans="1:9" x14ac:dyDescent="0.3">
      <c r="A134" s="44"/>
      <c r="F134" s="39"/>
      <c r="G134" s="39"/>
      <c r="H134" s="39"/>
      <c r="I134" s="33"/>
    </row>
    <row r="135" spans="1:9" x14ac:dyDescent="0.3">
      <c r="A135" s="44"/>
      <c r="F135" s="39"/>
      <c r="G135" s="39"/>
      <c r="H135" s="39"/>
      <c r="I135" s="33"/>
    </row>
    <row r="136" spans="1:9" x14ac:dyDescent="0.3">
      <c r="A136" s="44"/>
      <c r="F136" s="39"/>
      <c r="G136" s="39"/>
      <c r="H136" s="39"/>
      <c r="I136" s="33"/>
    </row>
    <row r="137" spans="1:9" x14ac:dyDescent="0.3">
      <c r="A137" s="44"/>
      <c r="F137" s="39"/>
      <c r="G137" s="39"/>
      <c r="H137" s="39"/>
      <c r="I137" s="33"/>
    </row>
    <row r="138" spans="1:9" x14ac:dyDescent="0.3">
      <c r="A138" s="44"/>
      <c r="F138" s="39"/>
      <c r="G138" s="39"/>
      <c r="H138" s="39"/>
      <c r="I138" s="33"/>
    </row>
    <row r="139" spans="1:9" x14ac:dyDescent="0.3">
      <c r="A139" s="44"/>
      <c r="F139" s="39"/>
      <c r="G139" s="39"/>
      <c r="H139" s="39"/>
      <c r="I139" s="33"/>
    </row>
    <row r="140" spans="1:9" x14ac:dyDescent="0.3">
      <c r="A140" s="44"/>
      <c r="F140" s="39"/>
      <c r="G140" s="39"/>
      <c r="H140" s="39"/>
      <c r="I140" s="33"/>
    </row>
    <row r="141" spans="1:9" x14ac:dyDescent="0.3">
      <c r="A141" s="44"/>
      <c r="F141" s="39"/>
      <c r="G141" s="39"/>
      <c r="H141" s="39"/>
      <c r="I141" s="33"/>
    </row>
    <row r="142" spans="1:9" x14ac:dyDescent="0.3">
      <c r="A142" s="44"/>
      <c r="F142" s="39"/>
      <c r="G142" s="39"/>
      <c r="H142" s="39"/>
      <c r="I142" s="33"/>
    </row>
    <row r="143" spans="1:9" x14ac:dyDescent="0.3">
      <c r="A143" s="44"/>
      <c r="F143" s="39"/>
      <c r="G143" s="39"/>
      <c r="H143" s="39"/>
      <c r="I143" s="33"/>
    </row>
    <row r="144" spans="1:9" x14ac:dyDescent="0.3">
      <c r="A144" s="44"/>
      <c r="F144" s="39"/>
      <c r="G144" s="39"/>
      <c r="H144" s="39"/>
      <c r="I144" s="33"/>
    </row>
    <row r="145" spans="1:9" x14ac:dyDescent="0.3">
      <c r="A145" s="44"/>
      <c r="F145" s="39"/>
      <c r="G145" s="39"/>
      <c r="H145" s="39"/>
      <c r="I145" s="33"/>
    </row>
    <row r="146" spans="1:9" x14ac:dyDescent="0.3">
      <c r="A146" s="44"/>
      <c r="F146" s="39"/>
      <c r="G146" s="39"/>
      <c r="H146" s="39"/>
      <c r="I146" s="33"/>
    </row>
    <row r="147" spans="1:9" x14ac:dyDescent="0.3">
      <c r="A147" s="44"/>
      <c r="F147" s="39"/>
      <c r="G147" s="39"/>
      <c r="H147" s="39"/>
      <c r="I147" s="33"/>
    </row>
    <row r="148" spans="1:9" x14ac:dyDescent="0.3">
      <c r="A148" s="44"/>
      <c r="F148" s="39"/>
      <c r="G148" s="39"/>
      <c r="H148" s="39"/>
      <c r="I148" s="33"/>
    </row>
    <row r="149" spans="1:9" x14ac:dyDescent="0.3">
      <c r="A149" s="44"/>
      <c r="F149" s="39"/>
      <c r="G149" s="39"/>
      <c r="H149" s="39"/>
      <c r="I149" s="33"/>
    </row>
    <row r="150" spans="1:9" x14ac:dyDescent="0.3">
      <c r="A150" s="44"/>
      <c r="F150" s="39"/>
      <c r="G150" s="39"/>
      <c r="H150" s="39"/>
      <c r="I150" s="33"/>
    </row>
    <row r="151" spans="1:9" x14ac:dyDescent="0.3">
      <c r="A151" s="44"/>
      <c r="F151" s="39"/>
      <c r="G151" s="39"/>
      <c r="H151" s="39"/>
      <c r="I151" s="33"/>
    </row>
    <row r="152" spans="1:9" x14ac:dyDescent="0.3">
      <c r="A152" s="44"/>
      <c r="F152" s="39"/>
      <c r="G152" s="39"/>
      <c r="H152" s="39"/>
      <c r="I152" s="33"/>
    </row>
    <row r="153" spans="1:9" x14ac:dyDescent="0.3">
      <c r="A153" s="44"/>
      <c r="F153" s="39"/>
      <c r="G153" s="39"/>
      <c r="H153" s="39"/>
      <c r="I153" s="33"/>
    </row>
    <row r="154" spans="1:9" x14ac:dyDescent="0.3">
      <c r="A154" s="44"/>
      <c r="F154" s="39"/>
      <c r="G154" s="39"/>
      <c r="H154" s="39"/>
      <c r="I154" s="33"/>
    </row>
    <row r="155" spans="1:9" x14ac:dyDescent="0.3">
      <c r="A155" s="44"/>
      <c r="F155" s="39"/>
      <c r="G155" s="39"/>
      <c r="H155" s="39"/>
      <c r="I155" s="33"/>
    </row>
    <row r="156" spans="1:9" x14ac:dyDescent="0.3">
      <c r="A156" s="44"/>
      <c r="F156" s="39"/>
      <c r="G156" s="39"/>
      <c r="H156" s="39"/>
      <c r="I156" s="33"/>
    </row>
    <row r="157" spans="1:9" x14ac:dyDescent="0.3">
      <c r="A157" s="44"/>
      <c r="F157" s="39"/>
      <c r="G157" s="39"/>
      <c r="H157" s="39"/>
      <c r="I157" s="33"/>
    </row>
    <row r="158" spans="1:9" x14ac:dyDescent="0.3">
      <c r="A158" s="44"/>
      <c r="F158" s="39"/>
      <c r="G158" s="39"/>
      <c r="H158" s="39"/>
      <c r="I158" s="33"/>
    </row>
    <row r="159" spans="1:9" x14ac:dyDescent="0.3">
      <c r="A159" s="44"/>
      <c r="F159" s="39"/>
      <c r="G159" s="39"/>
      <c r="H159" s="39"/>
      <c r="I159" s="33"/>
    </row>
    <row r="160" spans="1:9" x14ac:dyDescent="0.3">
      <c r="A160" s="44"/>
      <c r="F160" s="39"/>
      <c r="G160" s="39"/>
      <c r="H160" s="39"/>
      <c r="I160" s="33"/>
    </row>
    <row r="161" spans="1:9" x14ac:dyDescent="0.3">
      <c r="A161" s="44"/>
      <c r="F161" s="39"/>
      <c r="G161" s="39"/>
      <c r="H161" s="39"/>
      <c r="I161" s="33"/>
    </row>
    <row r="162" spans="1:9" x14ac:dyDescent="0.3">
      <c r="A162" s="44"/>
      <c r="F162" s="39"/>
      <c r="G162" s="39"/>
      <c r="H162" s="39"/>
      <c r="I162" s="33"/>
    </row>
    <row r="163" spans="1:9" x14ac:dyDescent="0.3">
      <c r="A163" s="44"/>
      <c r="F163" s="39"/>
      <c r="G163" s="39"/>
      <c r="H163" s="39"/>
      <c r="I163" s="33"/>
    </row>
    <row r="164" spans="1:9" x14ac:dyDescent="0.3">
      <c r="A164" s="44"/>
      <c r="F164" s="39"/>
      <c r="G164" s="39"/>
      <c r="H164" s="39"/>
      <c r="I164" s="33"/>
    </row>
    <row r="165" spans="1:9" x14ac:dyDescent="0.3">
      <c r="A165" s="44"/>
      <c r="F165" s="39"/>
      <c r="G165" s="39"/>
      <c r="H165" s="39"/>
      <c r="I165" s="33"/>
    </row>
    <row r="166" spans="1:9" x14ac:dyDescent="0.3">
      <c r="A166" s="44"/>
      <c r="F166" s="39"/>
      <c r="G166" s="39"/>
      <c r="H166" s="39"/>
      <c r="I166" s="33"/>
    </row>
    <row r="167" spans="1:9" x14ac:dyDescent="0.3">
      <c r="A167" s="44"/>
      <c r="F167" s="39"/>
      <c r="G167" s="39"/>
      <c r="H167" s="39"/>
      <c r="I167" s="33"/>
    </row>
    <row r="168" spans="1:9" x14ac:dyDescent="0.3">
      <c r="A168" s="44"/>
      <c r="F168" s="39"/>
      <c r="G168" s="39"/>
      <c r="H168" s="39"/>
      <c r="I168" s="33"/>
    </row>
    <row r="169" spans="1:9" x14ac:dyDescent="0.3">
      <c r="A169" s="44"/>
      <c r="F169" s="39"/>
      <c r="G169" s="39"/>
      <c r="H169" s="39"/>
      <c r="I169" s="33"/>
    </row>
    <row r="170" spans="1:9" x14ac:dyDescent="0.3">
      <c r="A170" s="44"/>
      <c r="F170" s="39"/>
      <c r="G170" s="39"/>
      <c r="H170" s="39"/>
      <c r="I170" s="33"/>
    </row>
    <row r="171" spans="1:9" x14ac:dyDescent="0.3">
      <c r="A171" s="44"/>
      <c r="F171" s="39"/>
      <c r="G171" s="39"/>
      <c r="H171" s="39"/>
      <c r="I171" s="33"/>
    </row>
    <row r="172" spans="1:9" x14ac:dyDescent="0.3">
      <c r="A172" s="44"/>
      <c r="F172" s="39"/>
      <c r="G172" s="39"/>
      <c r="H172" s="39"/>
      <c r="I172" s="33"/>
    </row>
    <row r="173" spans="1:9" x14ac:dyDescent="0.3">
      <c r="A173" s="44"/>
      <c r="F173" s="39"/>
      <c r="G173" s="39"/>
      <c r="H173" s="39"/>
      <c r="I173" s="33"/>
    </row>
    <row r="174" spans="1:9" x14ac:dyDescent="0.3">
      <c r="A174" s="44"/>
      <c r="F174" s="39"/>
      <c r="G174" s="39"/>
      <c r="H174" s="39"/>
      <c r="I174" s="33"/>
    </row>
    <row r="175" spans="1:9" x14ac:dyDescent="0.3">
      <c r="A175" s="44"/>
      <c r="F175" s="39"/>
      <c r="G175" s="39"/>
      <c r="H175" s="39"/>
      <c r="I175" s="33"/>
    </row>
    <row r="176" spans="1:9" x14ac:dyDescent="0.3">
      <c r="A176" s="44"/>
      <c r="F176" s="39"/>
      <c r="G176" s="39"/>
      <c r="H176" s="39"/>
      <c r="I176" s="33"/>
    </row>
    <row r="177" spans="1:9" x14ac:dyDescent="0.3">
      <c r="A177" s="44"/>
      <c r="F177" s="39"/>
      <c r="G177" s="39"/>
      <c r="H177" s="39"/>
      <c r="I177" s="33"/>
    </row>
    <row r="178" spans="1:9" x14ac:dyDescent="0.3">
      <c r="A178" s="44"/>
      <c r="F178" s="39"/>
      <c r="G178" s="39"/>
      <c r="H178" s="39"/>
      <c r="I178" s="33"/>
    </row>
    <row r="179" spans="1:9" x14ac:dyDescent="0.3">
      <c r="A179" s="44"/>
      <c r="F179" s="39"/>
      <c r="G179" s="39"/>
      <c r="H179" s="39"/>
      <c r="I179" s="33"/>
    </row>
    <row r="180" spans="1:9" x14ac:dyDescent="0.3">
      <c r="A180" s="44"/>
      <c r="F180" s="39"/>
      <c r="G180" s="39"/>
      <c r="H180" s="39"/>
      <c r="I180" s="33"/>
    </row>
    <row r="181" spans="1:9" x14ac:dyDescent="0.3">
      <c r="A181" s="44"/>
      <c r="F181" s="39"/>
      <c r="G181" s="39"/>
      <c r="H181" s="39"/>
      <c r="I181" s="33"/>
    </row>
    <row r="182" spans="1:9" x14ac:dyDescent="0.3">
      <c r="A182" s="44"/>
      <c r="F182" s="39"/>
      <c r="G182" s="39"/>
      <c r="H182" s="39"/>
      <c r="I182" s="33"/>
    </row>
    <row r="183" spans="1:9" x14ac:dyDescent="0.3">
      <c r="A183" s="44"/>
      <c r="F183" s="39"/>
      <c r="G183" s="39"/>
      <c r="H183" s="39"/>
      <c r="I183" s="33"/>
    </row>
    <row r="184" spans="1:9" x14ac:dyDescent="0.3">
      <c r="A184" s="44"/>
      <c r="F184" s="39"/>
      <c r="G184" s="39"/>
      <c r="H184" s="39"/>
      <c r="I184" s="33"/>
    </row>
    <row r="185" spans="1:9" x14ac:dyDescent="0.3">
      <c r="A185" s="44"/>
      <c r="F185" s="39"/>
      <c r="G185" s="39"/>
      <c r="H185" s="39"/>
      <c r="I185" s="33"/>
    </row>
    <row r="186" spans="1:9" x14ac:dyDescent="0.3">
      <c r="A186" s="44"/>
      <c r="F186" s="39"/>
      <c r="G186" s="39"/>
      <c r="H186" s="39"/>
      <c r="I186" s="33"/>
    </row>
    <row r="187" spans="1:9" x14ac:dyDescent="0.3">
      <c r="A187" s="44"/>
      <c r="F187" s="39"/>
      <c r="G187" s="39"/>
      <c r="H187" s="39"/>
      <c r="I187" s="33"/>
    </row>
    <row r="188" spans="1:9" x14ac:dyDescent="0.3">
      <c r="A188" s="44"/>
      <c r="F188" s="39"/>
      <c r="G188" s="39"/>
      <c r="H188" s="39"/>
      <c r="I188" s="33"/>
    </row>
    <row r="189" spans="1:9" x14ac:dyDescent="0.3">
      <c r="A189" s="44"/>
      <c r="F189" s="39"/>
      <c r="G189" s="39"/>
      <c r="H189" s="39"/>
      <c r="I189" s="33"/>
    </row>
    <row r="190" spans="1:9" x14ac:dyDescent="0.3">
      <c r="A190" s="44"/>
      <c r="F190" s="39"/>
      <c r="G190" s="39"/>
      <c r="H190" s="39"/>
      <c r="I190" s="33"/>
    </row>
    <row r="191" spans="1:9" x14ac:dyDescent="0.3">
      <c r="A191" s="44"/>
      <c r="F191" s="39"/>
      <c r="G191" s="39"/>
      <c r="H191" s="39"/>
      <c r="I191" s="33"/>
    </row>
    <row r="192" spans="1:9" x14ac:dyDescent="0.3">
      <c r="A192" s="44"/>
      <c r="F192" s="39"/>
      <c r="G192" s="39"/>
      <c r="H192" s="39"/>
      <c r="I192" s="33"/>
    </row>
    <row r="193" spans="1:9" x14ac:dyDescent="0.3">
      <c r="A193" s="44"/>
      <c r="F193" s="39"/>
      <c r="G193" s="39"/>
      <c r="H193" s="39"/>
      <c r="I193" s="33"/>
    </row>
    <row r="194" spans="1:9" x14ac:dyDescent="0.3">
      <c r="A194" s="44"/>
      <c r="F194" s="39"/>
      <c r="G194" s="39"/>
      <c r="H194" s="39"/>
      <c r="I194" s="33"/>
    </row>
    <row r="195" spans="1:9" x14ac:dyDescent="0.3">
      <c r="A195" s="44"/>
      <c r="F195" s="39"/>
      <c r="G195" s="39"/>
      <c r="H195" s="39"/>
      <c r="I195" s="33"/>
    </row>
    <row r="196" spans="1:9" x14ac:dyDescent="0.3">
      <c r="A196" s="44"/>
      <c r="F196" s="39"/>
      <c r="G196" s="39"/>
      <c r="H196" s="39"/>
      <c r="I196" s="33"/>
    </row>
    <row r="197" spans="1:9" x14ac:dyDescent="0.3">
      <c r="A197" s="44"/>
      <c r="F197" s="39"/>
      <c r="G197" s="39"/>
      <c r="H197" s="39"/>
      <c r="I197" s="33"/>
    </row>
    <row r="198" spans="1:9" x14ac:dyDescent="0.3">
      <c r="A198" s="44"/>
      <c r="F198" s="39"/>
      <c r="G198" s="39"/>
      <c r="H198" s="39"/>
      <c r="I198" s="33"/>
    </row>
    <row r="199" spans="1:9" x14ac:dyDescent="0.3">
      <c r="A199" s="44"/>
      <c r="F199" s="39"/>
      <c r="G199" s="39"/>
      <c r="H199" s="39"/>
      <c r="I199" s="33"/>
    </row>
    <row r="200" spans="1:9" x14ac:dyDescent="0.3">
      <c r="A200" s="44"/>
      <c r="F200" s="39"/>
      <c r="G200" s="39"/>
      <c r="H200" s="39"/>
      <c r="I200" s="33"/>
    </row>
    <row r="201" spans="1:9" x14ac:dyDescent="0.3">
      <c r="A201" s="44"/>
      <c r="F201" s="39"/>
      <c r="G201" s="39"/>
      <c r="H201" s="39"/>
      <c r="I201" s="33"/>
    </row>
    <row r="202" spans="1:9" x14ac:dyDescent="0.3">
      <c r="A202" s="44"/>
      <c r="F202" s="39"/>
      <c r="G202" s="39"/>
      <c r="H202" s="39"/>
      <c r="I202" s="33"/>
    </row>
    <row r="203" spans="1:9" x14ac:dyDescent="0.3">
      <c r="A203" s="44"/>
      <c r="F203" s="39"/>
      <c r="G203" s="39"/>
      <c r="H203" s="39"/>
      <c r="I203" s="33"/>
    </row>
    <row r="204" spans="1:9" x14ac:dyDescent="0.3">
      <c r="A204" s="44"/>
      <c r="F204" s="39"/>
      <c r="G204" s="39"/>
      <c r="H204" s="39"/>
      <c r="I204" s="33"/>
    </row>
    <row r="205" spans="1:9" x14ac:dyDescent="0.3">
      <c r="A205" s="44"/>
      <c r="F205" s="39"/>
      <c r="G205" s="39"/>
      <c r="H205" s="39"/>
      <c r="I205" s="33"/>
    </row>
    <row r="206" spans="1:9" x14ac:dyDescent="0.3">
      <c r="A206" s="44"/>
      <c r="F206" s="39"/>
      <c r="G206" s="39"/>
      <c r="H206" s="39"/>
      <c r="I206" s="33"/>
    </row>
    <row r="207" spans="1:9" x14ac:dyDescent="0.3">
      <c r="A207" s="44"/>
      <c r="F207" s="39"/>
      <c r="G207" s="39"/>
      <c r="H207" s="39"/>
      <c r="I207" s="33"/>
    </row>
    <row r="208" spans="1:9" x14ac:dyDescent="0.3">
      <c r="A208" s="44"/>
      <c r="F208" s="39"/>
      <c r="G208" s="39"/>
      <c r="H208" s="39"/>
      <c r="I208" s="33"/>
    </row>
    <row r="209" spans="1:9" x14ac:dyDescent="0.3">
      <c r="A209" s="44"/>
      <c r="F209" s="39"/>
      <c r="G209" s="39"/>
      <c r="H209" s="39"/>
      <c r="I209" s="33"/>
    </row>
    <row r="210" spans="1:9" x14ac:dyDescent="0.3">
      <c r="A210" s="44"/>
      <c r="F210" s="39"/>
      <c r="G210" s="39"/>
      <c r="H210" s="39"/>
      <c r="I210" s="33"/>
    </row>
    <row r="211" spans="1:9" x14ac:dyDescent="0.3">
      <c r="A211" s="44"/>
      <c r="F211" s="39"/>
      <c r="G211" s="39"/>
      <c r="H211" s="39"/>
      <c r="I211" s="33"/>
    </row>
    <row r="212" spans="1:9" x14ac:dyDescent="0.3">
      <c r="A212" s="44"/>
      <c r="F212" s="39"/>
      <c r="G212" s="39"/>
      <c r="H212" s="39"/>
      <c r="I212" s="33"/>
    </row>
    <row r="213" spans="1:9" x14ac:dyDescent="0.3">
      <c r="A213" s="44"/>
      <c r="F213" s="39"/>
      <c r="G213" s="39"/>
      <c r="H213" s="39"/>
      <c r="I213" s="33"/>
    </row>
    <row r="214" spans="1:9" x14ac:dyDescent="0.3">
      <c r="A214" s="44"/>
      <c r="F214" s="39"/>
      <c r="G214" s="39"/>
      <c r="H214" s="39"/>
      <c r="I214" s="33"/>
    </row>
    <row r="215" spans="1:9" x14ac:dyDescent="0.3">
      <c r="A215" s="44"/>
      <c r="F215" s="39"/>
      <c r="G215" s="39"/>
      <c r="H215" s="39"/>
      <c r="I215" s="33"/>
    </row>
    <row r="216" spans="1:9" x14ac:dyDescent="0.3">
      <c r="A216" s="44"/>
      <c r="F216" s="39"/>
      <c r="G216" s="39"/>
      <c r="H216" s="39"/>
      <c r="I216" s="33"/>
    </row>
    <row r="217" spans="1:9" x14ac:dyDescent="0.3">
      <c r="A217" s="44"/>
      <c r="F217" s="39"/>
      <c r="G217" s="39"/>
      <c r="H217" s="39"/>
      <c r="I217" s="33"/>
    </row>
    <row r="218" spans="1:9" x14ac:dyDescent="0.3">
      <c r="A218" s="44"/>
      <c r="F218" s="39"/>
      <c r="G218" s="39"/>
      <c r="H218" s="39"/>
      <c r="I218" s="33"/>
    </row>
    <row r="219" spans="1:9" x14ac:dyDescent="0.3">
      <c r="A219" s="44"/>
      <c r="F219" s="39"/>
      <c r="G219" s="39"/>
      <c r="H219" s="39"/>
      <c r="I219" s="33"/>
    </row>
    <row r="220" spans="1:9" x14ac:dyDescent="0.3">
      <c r="A220" s="44"/>
      <c r="F220" s="39"/>
      <c r="G220" s="39"/>
      <c r="H220" s="39"/>
      <c r="I220" s="33"/>
    </row>
    <row r="221" spans="1:9" x14ac:dyDescent="0.3">
      <c r="A221" s="44"/>
      <c r="F221" s="39"/>
      <c r="G221" s="39"/>
      <c r="H221" s="39"/>
      <c r="I221" s="33"/>
    </row>
    <row r="222" spans="1:9" x14ac:dyDescent="0.3">
      <c r="A222" s="44"/>
      <c r="F222" s="39"/>
      <c r="G222" s="39"/>
      <c r="H222" s="39"/>
      <c r="I222" s="33"/>
    </row>
    <row r="223" spans="1:9" x14ac:dyDescent="0.3">
      <c r="A223" s="44"/>
      <c r="F223" s="39"/>
      <c r="G223" s="39"/>
      <c r="H223" s="39"/>
      <c r="I223" s="33"/>
    </row>
    <row r="224" spans="1:9" x14ac:dyDescent="0.3">
      <c r="A224" s="44"/>
      <c r="F224" s="39"/>
      <c r="G224" s="39"/>
      <c r="H224" s="39"/>
      <c r="I224" s="33"/>
    </row>
    <row r="225" spans="1:9" x14ac:dyDescent="0.3">
      <c r="A225" s="44"/>
      <c r="F225" s="39"/>
      <c r="G225" s="39"/>
      <c r="H225" s="39"/>
      <c r="I225" s="33"/>
    </row>
    <row r="226" spans="1:9" x14ac:dyDescent="0.3">
      <c r="A226" s="44"/>
      <c r="F226" s="39"/>
      <c r="G226" s="39"/>
      <c r="H226" s="39"/>
      <c r="I226" s="33"/>
    </row>
    <row r="227" spans="1:9" x14ac:dyDescent="0.3">
      <c r="A227" s="44"/>
      <c r="F227" s="39"/>
      <c r="G227" s="39"/>
      <c r="H227" s="39"/>
      <c r="I227" s="33"/>
    </row>
    <row r="228" spans="1:9" x14ac:dyDescent="0.3">
      <c r="A228" s="44"/>
      <c r="F228" s="39"/>
      <c r="G228" s="39"/>
      <c r="H228" s="39"/>
      <c r="I228" s="33"/>
    </row>
    <row r="229" spans="1:9" x14ac:dyDescent="0.3">
      <c r="A229" s="44"/>
      <c r="F229" s="39"/>
      <c r="G229" s="39"/>
      <c r="H229" s="39"/>
      <c r="I229" s="33"/>
    </row>
    <row r="230" spans="1:9" x14ac:dyDescent="0.3">
      <c r="A230" s="44"/>
      <c r="F230" s="39"/>
      <c r="G230" s="39"/>
      <c r="H230" s="39"/>
      <c r="I230" s="33"/>
    </row>
    <row r="231" spans="1:9" x14ac:dyDescent="0.3">
      <c r="A231" s="44"/>
      <c r="F231" s="39"/>
      <c r="G231" s="39"/>
      <c r="H231" s="39"/>
      <c r="I231" s="33"/>
    </row>
    <row r="232" spans="1:9" x14ac:dyDescent="0.3">
      <c r="A232" s="44"/>
      <c r="F232" s="39"/>
      <c r="G232" s="39"/>
      <c r="H232" s="39"/>
      <c r="I232" s="33"/>
    </row>
    <row r="233" spans="1:9" x14ac:dyDescent="0.3">
      <c r="A233" s="44"/>
      <c r="F233" s="39"/>
      <c r="G233" s="39"/>
      <c r="H233" s="39"/>
      <c r="I233" s="33"/>
    </row>
    <row r="234" spans="1:9" x14ac:dyDescent="0.3">
      <c r="A234" s="44"/>
      <c r="F234" s="39"/>
      <c r="G234" s="39"/>
      <c r="H234" s="39"/>
      <c r="I234" s="33"/>
    </row>
    <row r="235" spans="1:9" x14ac:dyDescent="0.3">
      <c r="A235" s="44"/>
      <c r="F235" s="39"/>
      <c r="G235" s="39"/>
      <c r="H235" s="39"/>
      <c r="I235" s="33"/>
    </row>
    <row r="236" spans="1:9" x14ac:dyDescent="0.3">
      <c r="A236" s="44"/>
      <c r="F236" s="39"/>
      <c r="G236" s="39"/>
      <c r="H236" s="39"/>
      <c r="I236" s="33"/>
    </row>
    <row r="237" spans="1:9" x14ac:dyDescent="0.3">
      <c r="A237" s="44"/>
      <c r="F237" s="39"/>
      <c r="G237" s="39"/>
      <c r="H237" s="39"/>
      <c r="I237" s="33"/>
    </row>
    <row r="238" spans="1:9" x14ac:dyDescent="0.3">
      <c r="A238" s="44"/>
      <c r="F238" s="39"/>
      <c r="G238" s="39"/>
      <c r="H238" s="39"/>
      <c r="I238" s="33"/>
    </row>
    <row r="239" spans="1:9" x14ac:dyDescent="0.3">
      <c r="A239" s="44"/>
      <c r="F239" s="39"/>
      <c r="G239" s="39"/>
      <c r="H239" s="39"/>
      <c r="I239" s="33"/>
    </row>
    <row r="240" spans="1:9" x14ac:dyDescent="0.3">
      <c r="A240" s="44"/>
      <c r="F240" s="39"/>
      <c r="G240" s="39"/>
      <c r="H240" s="39"/>
      <c r="I240" s="33"/>
    </row>
    <row r="241" spans="1:9" x14ac:dyDescent="0.3">
      <c r="A241" s="44"/>
      <c r="F241" s="39"/>
      <c r="G241" s="39"/>
      <c r="H241" s="39"/>
      <c r="I241" s="33"/>
    </row>
    <row r="242" spans="1:9" x14ac:dyDescent="0.3">
      <c r="A242" s="44"/>
      <c r="F242" s="39"/>
      <c r="G242" s="39"/>
      <c r="H242" s="39"/>
      <c r="I242" s="33"/>
    </row>
    <row r="243" spans="1:9" x14ac:dyDescent="0.3">
      <c r="A243" s="44"/>
      <c r="F243" s="39"/>
      <c r="G243" s="39"/>
      <c r="H243" s="39"/>
      <c r="I243" s="33"/>
    </row>
    <row r="244" spans="1:9" x14ac:dyDescent="0.3">
      <c r="A244" s="44"/>
      <c r="F244" s="39"/>
      <c r="G244" s="39"/>
      <c r="H244" s="39"/>
      <c r="I244" s="33"/>
    </row>
    <row r="245" spans="1:9" x14ac:dyDescent="0.3">
      <c r="A245" s="44"/>
      <c r="F245" s="39"/>
      <c r="G245" s="39"/>
      <c r="H245" s="39"/>
      <c r="I245" s="33"/>
    </row>
    <row r="246" spans="1:9" x14ac:dyDescent="0.3">
      <c r="A246" s="44"/>
      <c r="F246" s="39"/>
      <c r="G246" s="39"/>
      <c r="H246" s="39"/>
      <c r="I246" s="33"/>
    </row>
    <row r="247" spans="1:9" x14ac:dyDescent="0.3">
      <c r="A247" s="44"/>
      <c r="F247" s="39"/>
      <c r="G247" s="39"/>
      <c r="H247" s="39"/>
      <c r="I247" s="33"/>
    </row>
    <row r="248" spans="1:9" x14ac:dyDescent="0.3">
      <c r="A248" s="44"/>
      <c r="F248" s="39"/>
      <c r="G248" s="39"/>
      <c r="H248" s="39"/>
      <c r="I248" s="33"/>
    </row>
    <row r="249" spans="1:9" x14ac:dyDescent="0.3">
      <c r="A249" s="44"/>
      <c r="F249" s="39"/>
      <c r="G249" s="39"/>
      <c r="H249" s="39"/>
      <c r="I249" s="33"/>
    </row>
    <row r="250" spans="1:9" x14ac:dyDescent="0.3">
      <c r="A250" s="44"/>
      <c r="F250" s="39"/>
      <c r="G250" s="39"/>
      <c r="H250" s="39"/>
      <c r="I250" s="33"/>
    </row>
    <row r="251" spans="1:9" x14ac:dyDescent="0.3">
      <c r="A251" s="44"/>
      <c r="F251" s="39"/>
      <c r="G251" s="39"/>
      <c r="H251" s="39"/>
      <c r="I251" s="33"/>
    </row>
    <row r="252" spans="1:9" x14ac:dyDescent="0.3">
      <c r="A252" s="44"/>
      <c r="F252" s="39"/>
      <c r="G252" s="39"/>
      <c r="H252" s="39"/>
      <c r="I252" s="33"/>
    </row>
    <row r="253" spans="1:9" x14ac:dyDescent="0.3">
      <c r="A253" s="44"/>
      <c r="F253" s="39"/>
      <c r="G253" s="39"/>
      <c r="H253" s="39"/>
      <c r="I253" s="33"/>
    </row>
    <row r="254" spans="1:9" x14ac:dyDescent="0.3">
      <c r="A254" s="44"/>
      <c r="F254" s="39"/>
      <c r="G254" s="39"/>
      <c r="H254" s="39"/>
      <c r="I254" s="33"/>
    </row>
    <row r="255" spans="1:9" x14ac:dyDescent="0.3">
      <c r="A255" s="44"/>
      <c r="F255" s="39"/>
      <c r="G255" s="39"/>
      <c r="H255" s="39"/>
      <c r="I255" s="33"/>
    </row>
    <row r="256" spans="1:9" x14ac:dyDescent="0.3">
      <c r="A256" s="44"/>
      <c r="F256" s="39"/>
      <c r="G256" s="39"/>
      <c r="H256" s="39"/>
      <c r="I256" s="33"/>
    </row>
    <row r="257" spans="1:9" x14ac:dyDescent="0.3">
      <c r="A257" s="44"/>
      <c r="F257" s="39"/>
      <c r="G257" s="39"/>
      <c r="H257" s="39"/>
      <c r="I257" s="33"/>
    </row>
    <row r="258" spans="1:9" x14ac:dyDescent="0.3">
      <c r="A258" s="44"/>
      <c r="F258" s="39"/>
      <c r="G258" s="39"/>
      <c r="H258" s="39"/>
      <c r="I258" s="33"/>
    </row>
    <row r="259" spans="1:9" x14ac:dyDescent="0.3">
      <c r="A259" s="44"/>
      <c r="F259" s="39"/>
      <c r="G259" s="39"/>
      <c r="H259" s="39"/>
      <c r="I259" s="33"/>
    </row>
    <row r="260" spans="1:9" x14ac:dyDescent="0.3">
      <c r="A260" s="44"/>
      <c r="F260" s="39"/>
      <c r="G260" s="39"/>
      <c r="H260" s="39"/>
      <c r="I260" s="33"/>
    </row>
    <row r="261" spans="1:9" x14ac:dyDescent="0.3">
      <c r="A261" s="44"/>
      <c r="F261" s="39"/>
      <c r="G261" s="39"/>
      <c r="H261" s="39"/>
      <c r="I261" s="33"/>
    </row>
    <row r="262" spans="1:9" x14ac:dyDescent="0.3">
      <c r="A262" s="44"/>
      <c r="F262" s="39"/>
      <c r="G262" s="39"/>
      <c r="H262" s="39"/>
      <c r="I262" s="33"/>
    </row>
    <row r="263" spans="1:9" x14ac:dyDescent="0.3">
      <c r="A263" s="44"/>
      <c r="F263" s="39"/>
      <c r="G263" s="39"/>
      <c r="H263" s="39"/>
      <c r="I263" s="33"/>
    </row>
    <row r="264" spans="1:9" x14ac:dyDescent="0.3">
      <c r="A264" s="44"/>
      <c r="F264" s="39"/>
      <c r="G264" s="39"/>
      <c r="H264" s="39"/>
      <c r="I264" s="33"/>
    </row>
    <row r="265" spans="1:9" x14ac:dyDescent="0.3">
      <c r="A265" s="44"/>
      <c r="F265" s="39"/>
      <c r="G265" s="39"/>
      <c r="H265" s="39"/>
      <c r="I265" s="33"/>
    </row>
    <row r="266" spans="1:9" x14ac:dyDescent="0.3">
      <c r="A266" s="44"/>
      <c r="F266" s="39"/>
      <c r="G266" s="39"/>
      <c r="H266" s="39"/>
      <c r="I266" s="33"/>
    </row>
    <row r="267" spans="1:9" x14ac:dyDescent="0.3">
      <c r="A267" s="44"/>
      <c r="F267" s="39"/>
      <c r="G267" s="39"/>
      <c r="H267" s="39"/>
      <c r="I267" s="33"/>
    </row>
    <row r="268" spans="1:9" x14ac:dyDescent="0.3">
      <c r="A268" s="44"/>
      <c r="F268" s="39"/>
      <c r="G268" s="39"/>
      <c r="H268" s="39"/>
      <c r="I268" s="33"/>
    </row>
    <row r="269" spans="1:9" x14ac:dyDescent="0.3">
      <c r="A269" s="44"/>
      <c r="F269" s="39"/>
      <c r="G269" s="39"/>
      <c r="H269" s="39"/>
      <c r="I269" s="33"/>
    </row>
    <row r="270" spans="1:9" x14ac:dyDescent="0.3">
      <c r="A270" s="44"/>
      <c r="F270" s="39"/>
      <c r="G270" s="39"/>
      <c r="H270" s="39"/>
      <c r="I270" s="33"/>
    </row>
    <row r="271" spans="1:9" x14ac:dyDescent="0.3">
      <c r="A271" s="44"/>
      <c r="F271" s="39"/>
      <c r="G271" s="39"/>
      <c r="H271" s="39"/>
      <c r="I271" s="33"/>
    </row>
    <row r="272" spans="1:9" x14ac:dyDescent="0.3">
      <c r="A272" s="44"/>
      <c r="F272" s="39"/>
      <c r="G272" s="39"/>
      <c r="H272" s="39"/>
      <c r="I272" s="33"/>
    </row>
    <row r="273" spans="1:9" x14ac:dyDescent="0.3">
      <c r="A273" s="44"/>
      <c r="F273" s="39"/>
      <c r="G273" s="39"/>
      <c r="H273" s="39"/>
      <c r="I273" s="33"/>
    </row>
    <row r="274" spans="1:9" x14ac:dyDescent="0.3">
      <c r="A274" s="44"/>
      <c r="F274" s="39"/>
      <c r="G274" s="39"/>
      <c r="H274" s="39"/>
      <c r="I274" s="33"/>
    </row>
    <row r="275" spans="1:9" x14ac:dyDescent="0.3">
      <c r="A275" s="44"/>
      <c r="F275" s="39"/>
      <c r="G275" s="39"/>
      <c r="H275" s="39"/>
      <c r="I275" s="33"/>
    </row>
    <row r="276" spans="1:9" x14ac:dyDescent="0.3">
      <c r="A276" s="44"/>
      <c r="F276" s="39"/>
      <c r="G276" s="39"/>
      <c r="H276" s="39"/>
      <c r="I276" s="33"/>
    </row>
    <row r="277" spans="1:9" x14ac:dyDescent="0.3">
      <c r="A277" s="44"/>
      <c r="F277" s="39"/>
      <c r="G277" s="39"/>
      <c r="H277" s="39"/>
      <c r="I277" s="33"/>
    </row>
    <row r="278" spans="1:9" x14ac:dyDescent="0.3">
      <c r="A278" s="44"/>
      <c r="F278" s="39"/>
      <c r="G278" s="39"/>
      <c r="H278" s="39"/>
      <c r="I278" s="33"/>
    </row>
    <row r="279" spans="1:9" x14ac:dyDescent="0.3">
      <c r="A279" s="44"/>
      <c r="F279" s="39"/>
      <c r="G279" s="39"/>
      <c r="H279" s="39"/>
      <c r="I279" s="33"/>
    </row>
    <row r="280" spans="1:9" x14ac:dyDescent="0.3">
      <c r="A280" s="44"/>
      <c r="F280" s="39"/>
      <c r="G280" s="39"/>
      <c r="H280" s="39"/>
      <c r="I280" s="33"/>
    </row>
    <row r="281" spans="1:9" x14ac:dyDescent="0.3">
      <c r="A281" s="44"/>
      <c r="F281" s="39"/>
      <c r="G281" s="39"/>
      <c r="H281" s="39"/>
      <c r="I281" s="33"/>
    </row>
    <row r="282" spans="1:9" x14ac:dyDescent="0.3">
      <c r="A282" s="44"/>
      <c r="F282" s="39"/>
      <c r="G282" s="39"/>
      <c r="H282" s="39"/>
      <c r="I282" s="33"/>
    </row>
    <row r="283" spans="1:9" x14ac:dyDescent="0.3">
      <c r="A283" s="44"/>
      <c r="F283" s="39"/>
      <c r="G283" s="39"/>
      <c r="H283" s="39"/>
      <c r="I283" s="33"/>
    </row>
    <row r="284" spans="1:9" x14ac:dyDescent="0.3">
      <c r="A284" s="44"/>
      <c r="F284" s="39"/>
      <c r="G284" s="39"/>
      <c r="H284" s="39"/>
      <c r="I284" s="33"/>
    </row>
    <row r="285" spans="1:9" x14ac:dyDescent="0.3">
      <c r="A285" s="44"/>
      <c r="F285" s="39"/>
      <c r="G285" s="39"/>
      <c r="H285" s="39"/>
      <c r="I285" s="33"/>
    </row>
    <row r="286" spans="1:9" x14ac:dyDescent="0.3">
      <c r="A286" s="44"/>
      <c r="F286" s="39"/>
      <c r="G286" s="39"/>
      <c r="H286" s="39"/>
      <c r="I286" s="33"/>
    </row>
    <row r="287" spans="1:9" x14ac:dyDescent="0.3">
      <c r="A287" s="44"/>
      <c r="F287" s="39"/>
      <c r="G287" s="39"/>
      <c r="H287" s="39"/>
      <c r="I287" s="33"/>
    </row>
    <row r="288" spans="1:9" x14ac:dyDescent="0.3">
      <c r="A288" s="44"/>
      <c r="F288" s="39"/>
      <c r="G288" s="39"/>
      <c r="H288" s="39"/>
      <c r="I288" s="33"/>
    </row>
    <row r="289" spans="1:9" x14ac:dyDescent="0.3">
      <c r="A289" s="44"/>
      <c r="F289" s="39"/>
      <c r="G289" s="39"/>
      <c r="H289" s="39"/>
      <c r="I289" s="33"/>
    </row>
    <row r="290" spans="1:9" x14ac:dyDescent="0.3">
      <c r="A290" s="44"/>
      <c r="F290" s="39"/>
      <c r="G290" s="39"/>
      <c r="H290" s="39"/>
      <c r="I290" s="33"/>
    </row>
    <row r="291" spans="1:9" x14ac:dyDescent="0.3">
      <c r="A291" s="44"/>
      <c r="F291" s="39"/>
      <c r="G291" s="39"/>
      <c r="H291" s="39"/>
      <c r="I291" s="33"/>
    </row>
    <row r="292" spans="1:9" x14ac:dyDescent="0.3">
      <c r="A292" s="44"/>
      <c r="F292" s="39"/>
      <c r="G292" s="39"/>
      <c r="H292" s="39"/>
      <c r="I292" s="33"/>
    </row>
    <row r="293" spans="1:9" x14ac:dyDescent="0.3">
      <c r="A293" s="44"/>
      <c r="F293" s="39"/>
      <c r="G293" s="39"/>
      <c r="H293" s="39"/>
      <c r="I293" s="33"/>
    </row>
    <row r="294" spans="1:9" x14ac:dyDescent="0.3">
      <c r="A294" s="44"/>
      <c r="F294" s="39"/>
      <c r="G294" s="39"/>
      <c r="H294" s="39"/>
      <c r="I294" s="33"/>
    </row>
    <row r="295" spans="1:9" x14ac:dyDescent="0.3">
      <c r="A295" s="44"/>
      <c r="F295" s="39"/>
      <c r="G295" s="39"/>
      <c r="H295" s="39"/>
      <c r="I295" s="33"/>
    </row>
    <row r="296" spans="1:9" x14ac:dyDescent="0.3">
      <c r="A296" s="44"/>
      <c r="F296" s="39"/>
      <c r="G296" s="39"/>
      <c r="H296" s="39"/>
      <c r="I296" s="33"/>
    </row>
    <row r="297" spans="1:9" x14ac:dyDescent="0.3">
      <c r="A297" s="44"/>
      <c r="F297" s="39"/>
      <c r="G297" s="39"/>
      <c r="H297" s="39"/>
      <c r="I297" s="33"/>
    </row>
    <row r="298" spans="1:9" x14ac:dyDescent="0.3">
      <c r="A298" s="44"/>
      <c r="F298" s="39"/>
      <c r="G298" s="39"/>
      <c r="H298" s="39"/>
      <c r="I298" s="33"/>
    </row>
    <row r="299" spans="1:9" x14ac:dyDescent="0.3">
      <c r="A299" s="44"/>
      <c r="F299" s="39"/>
      <c r="G299" s="39"/>
      <c r="H299" s="39"/>
      <c r="I299" s="33"/>
    </row>
    <row r="300" spans="1:9" x14ac:dyDescent="0.3">
      <c r="A300" s="44"/>
      <c r="F300" s="39"/>
      <c r="G300" s="39"/>
      <c r="H300" s="39"/>
      <c r="I300" s="33"/>
    </row>
    <row r="301" spans="1:9" x14ac:dyDescent="0.3">
      <c r="A301" s="44"/>
      <c r="F301" s="39"/>
      <c r="G301" s="39"/>
      <c r="H301" s="39"/>
      <c r="I301" s="33"/>
    </row>
    <row r="302" spans="1:9" x14ac:dyDescent="0.3">
      <c r="A302" s="44"/>
      <c r="F302" s="39"/>
      <c r="G302" s="39"/>
      <c r="H302" s="39"/>
      <c r="I302" s="33"/>
    </row>
    <row r="303" spans="1:9" x14ac:dyDescent="0.3">
      <c r="A303" s="44"/>
      <c r="F303" s="39"/>
      <c r="G303" s="39"/>
      <c r="H303" s="39"/>
      <c r="I303" s="33"/>
    </row>
    <row r="304" spans="1:9" x14ac:dyDescent="0.3">
      <c r="A304" s="44"/>
      <c r="F304" s="39"/>
      <c r="G304" s="39"/>
      <c r="H304" s="39"/>
      <c r="I304" s="33"/>
    </row>
    <row r="305" spans="1:9" x14ac:dyDescent="0.3">
      <c r="A305" s="44"/>
      <c r="F305" s="39"/>
      <c r="G305" s="39"/>
      <c r="H305" s="39"/>
      <c r="I305" s="33"/>
    </row>
    <row r="306" spans="1:9" x14ac:dyDescent="0.3">
      <c r="A306" s="44"/>
      <c r="F306" s="39"/>
      <c r="G306" s="39"/>
      <c r="H306" s="39"/>
      <c r="I306" s="33"/>
    </row>
    <row r="307" spans="1:9" x14ac:dyDescent="0.3">
      <c r="A307" s="44"/>
      <c r="F307" s="39"/>
      <c r="G307" s="39"/>
      <c r="H307" s="39"/>
      <c r="I307" s="33"/>
    </row>
    <row r="308" spans="1:9" x14ac:dyDescent="0.3">
      <c r="A308" s="44"/>
      <c r="F308" s="39"/>
      <c r="G308" s="39"/>
      <c r="H308" s="39"/>
      <c r="I308" s="33"/>
    </row>
    <row r="309" spans="1:9" x14ac:dyDescent="0.3">
      <c r="A309" s="44"/>
      <c r="F309" s="39"/>
      <c r="G309" s="39"/>
      <c r="H309" s="39"/>
      <c r="I309" s="33"/>
    </row>
    <row r="310" spans="1:9" x14ac:dyDescent="0.3">
      <c r="A310" s="44"/>
      <c r="F310" s="39"/>
      <c r="G310" s="39"/>
      <c r="H310" s="39"/>
      <c r="I310" s="33"/>
    </row>
    <row r="311" spans="1:9" x14ac:dyDescent="0.3">
      <c r="A311" s="44"/>
      <c r="F311" s="39"/>
      <c r="G311" s="39"/>
      <c r="H311" s="39"/>
      <c r="I311" s="33"/>
    </row>
    <row r="312" spans="1:9" x14ac:dyDescent="0.3">
      <c r="A312" s="44"/>
      <c r="F312" s="39"/>
      <c r="G312" s="39"/>
      <c r="H312" s="39"/>
      <c r="I312" s="33"/>
    </row>
    <row r="313" spans="1:9" x14ac:dyDescent="0.3">
      <c r="A313" s="44"/>
      <c r="F313" s="39"/>
      <c r="G313" s="39"/>
      <c r="H313" s="39"/>
      <c r="I313" s="33"/>
    </row>
    <row r="314" spans="1:9" x14ac:dyDescent="0.3">
      <c r="A314" s="44"/>
      <c r="F314" s="39"/>
      <c r="G314" s="39"/>
      <c r="H314" s="39"/>
      <c r="I314" s="33"/>
    </row>
    <row r="315" spans="1:9" x14ac:dyDescent="0.3">
      <c r="A315" s="44"/>
      <c r="F315" s="39"/>
      <c r="G315" s="39"/>
      <c r="H315" s="39"/>
      <c r="I315" s="33"/>
    </row>
    <row r="316" spans="1:9" x14ac:dyDescent="0.3">
      <c r="A316" s="44"/>
      <c r="F316" s="39"/>
      <c r="G316" s="39"/>
      <c r="H316" s="39"/>
      <c r="I316" s="33"/>
    </row>
    <row r="317" spans="1:9" x14ac:dyDescent="0.3">
      <c r="A317" s="44"/>
      <c r="F317" s="39"/>
      <c r="G317" s="39"/>
      <c r="H317" s="39"/>
      <c r="I317" s="33"/>
    </row>
    <row r="318" spans="1:9" x14ac:dyDescent="0.3">
      <c r="A318" s="44"/>
      <c r="F318" s="39"/>
      <c r="G318" s="39"/>
      <c r="H318" s="39"/>
      <c r="I318" s="33"/>
    </row>
    <row r="319" spans="1:9" x14ac:dyDescent="0.3">
      <c r="A319" s="44"/>
      <c r="F319" s="39"/>
      <c r="G319" s="39"/>
      <c r="H319" s="39"/>
      <c r="I319" s="33"/>
    </row>
    <row r="320" spans="1:9" x14ac:dyDescent="0.3">
      <c r="A320" s="44"/>
      <c r="F320" s="39"/>
      <c r="G320" s="39"/>
      <c r="H320" s="39"/>
      <c r="I320" s="33"/>
    </row>
    <row r="321" spans="1:9" x14ac:dyDescent="0.3">
      <c r="A321" s="44"/>
      <c r="F321" s="39"/>
      <c r="G321" s="39"/>
      <c r="H321" s="39"/>
      <c r="I321" s="33"/>
    </row>
    <row r="322" spans="1:9" x14ac:dyDescent="0.3">
      <c r="A322" s="44"/>
      <c r="F322" s="39"/>
      <c r="G322" s="39"/>
      <c r="H322" s="39"/>
      <c r="I322" s="33"/>
    </row>
    <row r="323" spans="1:9" x14ac:dyDescent="0.3">
      <c r="A323" s="44"/>
      <c r="F323" s="39"/>
      <c r="G323" s="39"/>
      <c r="H323" s="39"/>
      <c r="I323" s="33"/>
    </row>
    <row r="324" spans="1:9" x14ac:dyDescent="0.3">
      <c r="A324" s="44"/>
      <c r="F324" s="39"/>
      <c r="G324" s="39"/>
      <c r="H324" s="39"/>
      <c r="I324" s="33"/>
    </row>
    <row r="325" spans="1:9" x14ac:dyDescent="0.3">
      <c r="A325" s="44"/>
      <c r="F325" s="39"/>
      <c r="G325" s="39"/>
      <c r="H325" s="39"/>
      <c r="I325" s="33"/>
    </row>
    <row r="326" spans="1:9" x14ac:dyDescent="0.3">
      <c r="A326" s="44"/>
      <c r="F326" s="39"/>
      <c r="G326" s="39"/>
      <c r="H326" s="39"/>
      <c r="I326" s="33"/>
    </row>
    <row r="327" spans="1:9" x14ac:dyDescent="0.3">
      <c r="A327" s="44"/>
      <c r="F327" s="39"/>
      <c r="G327" s="39"/>
      <c r="H327" s="39"/>
      <c r="I327" s="33"/>
    </row>
    <row r="328" spans="1:9" x14ac:dyDescent="0.3">
      <c r="A328" s="44"/>
      <c r="F328" s="39"/>
      <c r="G328" s="39"/>
      <c r="H328" s="39"/>
      <c r="I328" s="33"/>
    </row>
    <row r="329" spans="1:9" x14ac:dyDescent="0.3">
      <c r="A329" s="44"/>
      <c r="F329" s="39"/>
      <c r="G329" s="39"/>
      <c r="H329" s="39"/>
      <c r="I329" s="33"/>
    </row>
    <row r="330" spans="1:9" x14ac:dyDescent="0.3">
      <c r="A330" s="44"/>
      <c r="F330" s="39"/>
      <c r="G330" s="39"/>
      <c r="H330" s="39"/>
      <c r="I330" s="33"/>
    </row>
    <row r="331" spans="1:9" x14ac:dyDescent="0.3">
      <c r="A331" s="44"/>
      <c r="F331" s="39"/>
      <c r="G331" s="39"/>
      <c r="H331" s="39"/>
      <c r="I331" s="33"/>
    </row>
    <row r="332" spans="1:9" x14ac:dyDescent="0.3">
      <c r="A332" s="44"/>
      <c r="F332" s="39"/>
      <c r="G332" s="39"/>
      <c r="H332" s="39"/>
      <c r="I332" s="33"/>
    </row>
    <row r="333" spans="1:9" x14ac:dyDescent="0.3">
      <c r="A333" s="44"/>
      <c r="F333" s="39"/>
      <c r="G333" s="39"/>
      <c r="H333" s="39"/>
      <c r="I333" s="33"/>
    </row>
    <row r="334" spans="1:9" x14ac:dyDescent="0.3">
      <c r="A334" s="44"/>
      <c r="F334" s="39"/>
      <c r="G334" s="39"/>
      <c r="H334" s="39"/>
      <c r="I334" s="33"/>
    </row>
    <row r="335" spans="1:9" x14ac:dyDescent="0.3">
      <c r="A335" s="44"/>
      <c r="F335" s="39"/>
      <c r="G335" s="39"/>
      <c r="H335" s="39"/>
      <c r="I335" s="33"/>
    </row>
    <row r="336" spans="1:9" x14ac:dyDescent="0.3">
      <c r="A336" s="44"/>
      <c r="F336" s="39"/>
      <c r="G336" s="39"/>
      <c r="H336" s="39"/>
      <c r="I336" s="33"/>
    </row>
    <row r="337" spans="1:9" x14ac:dyDescent="0.3">
      <c r="A337" s="44"/>
      <c r="F337" s="39"/>
      <c r="G337" s="39"/>
      <c r="H337" s="39"/>
      <c r="I337" s="33"/>
    </row>
    <row r="338" spans="1:9" x14ac:dyDescent="0.3">
      <c r="A338" s="44"/>
      <c r="F338" s="39"/>
      <c r="G338" s="39"/>
      <c r="H338" s="39"/>
      <c r="I338" s="33"/>
    </row>
    <row r="339" spans="1:9" x14ac:dyDescent="0.3">
      <c r="A339" s="44"/>
      <c r="F339" s="39"/>
      <c r="G339" s="39"/>
      <c r="H339" s="39"/>
      <c r="I339" s="33"/>
    </row>
    <row r="340" spans="1:9" x14ac:dyDescent="0.3">
      <c r="A340" s="44"/>
      <c r="F340" s="39"/>
      <c r="G340" s="39"/>
      <c r="H340" s="39"/>
      <c r="I340" s="33"/>
    </row>
    <row r="341" spans="1:9" x14ac:dyDescent="0.3">
      <c r="A341" s="44"/>
      <c r="F341" s="39"/>
      <c r="G341" s="39"/>
      <c r="H341" s="39"/>
      <c r="I341" s="33"/>
    </row>
    <row r="342" spans="1:9" x14ac:dyDescent="0.3">
      <c r="A342" s="44"/>
      <c r="F342" s="39"/>
      <c r="G342" s="39"/>
      <c r="H342" s="39"/>
      <c r="I342" s="33"/>
    </row>
    <row r="343" spans="1:9" x14ac:dyDescent="0.3">
      <c r="A343" s="44"/>
      <c r="F343" s="39"/>
      <c r="G343" s="39"/>
      <c r="H343" s="39"/>
      <c r="I343" s="33"/>
    </row>
    <row r="344" spans="1:9" x14ac:dyDescent="0.3">
      <c r="A344" s="44"/>
      <c r="F344" s="39"/>
      <c r="G344" s="39"/>
      <c r="H344" s="39"/>
      <c r="I344" s="33"/>
    </row>
    <row r="345" spans="1:9" x14ac:dyDescent="0.3">
      <c r="A345" s="44"/>
      <c r="F345" s="39"/>
      <c r="G345" s="39"/>
      <c r="H345" s="39"/>
      <c r="I345" s="33"/>
    </row>
    <row r="346" spans="1:9" x14ac:dyDescent="0.3">
      <c r="A346" s="44"/>
      <c r="F346" s="39"/>
      <c r="G346" s="39"/>
      <c r="H346" s="39"/>
    </row>
    <row r="347" spans="1:9" x14ac:dyDescent="0.3">
      <c r="A347" s="44"/>
      <c r="F347" s="39"/>
      <c r="G347" s="39"/>
      <c r="H347" s="39"/>
    </row>
    <row r="348" spans="1:9" x14ac:dyDescent="0.3">
      <c r="A348" s="44"/>
      <c r="F348" s="39"/>
      <c r="G348" s="39"/>
      <c r="H348" s="39"/>
    </row>
    <row r="349" spans="1:9" x14ac:dyDescent="0.3">
      <c r="A349" s="44"/>
      <c r="F349" s="39"/>
      <c r="G349" s="39"/>
      <c r="H349" s="39"/>
    </row>
    <row r="350" spans="1:9" x14ac:dyDescent="0.3">
      <c r="A350" s="44"/>
      <c r="F350" s="39"/>
      <c r="G350" s="39"/>
      <c r="H350" s="39"/>
    </row>
    <row r="351" spans="1:9" x14ac:dyDescent="0.3">
      <c r="A351" s="44"/>
      <c r="F351" s="39"/>
      <c r="G351" s="39"/>
      <c r="H351" s="39"/>
    </row>
    <row r="352" spans="1:9" x14ac:dyDescent="0.3">
      <c r="A352" s="44"/>
      <c r="F352" s="39"/>
      <c r="G352" s="39"/>
      <c r="H352" s="39"/>
    </row>
    <row r="353" spans="1:8" x14ac:dyDescent="0.3">
      <c r="A353" s="44"/>
      <c r="F353" s="39"/>
      <c r="G353" s="39"/>
      <c r="H353" s="39"/>
    </row>
    <row r="354" spans="1:8" x14ac:dyDescent="0.3">
      <c r="A354" s="44"/>
      <c r="F354" s="39"/>
      <c r="G354" s="39"/>
      <c r="H354" s="39"/>
    </row>
    <row r="355" spans="1:8" x14ac:dyDescent="0.3">
      <c r="A355" s="44"/>
      <c r="F355" s="39"/>
      <c r="G355" s="39"/>
      <c r="H355" s="39"/>
    </row>
    <row r="356" spans="1:8" x14ac:dyDescent="0.3">
      <c r="A356" s="44"/>
      <c r="F356" s="39"/>
      <c r="G356" s="39"/>
      <c r="H356" s="39"/>
    </row>
    <row r="357" spans="1:8" x14ac:dyDescent="0.3">
      <c r="A357" s="44"/>
      <c r="F357" s="39"/>
      <c r="G357" s="39"/>
      <c r="H357" s="39"/>
    </row>
    <row r="358" spans="1:8" x14ac:dyDescent="0.3">
      <c r="A358" s="44"/>
      <c r="F358" s="39"/>
      <c r="G358" s="39"/>
      <c r="H358" s="39"/>
    </row>
    <row r="359" spans="1:8" x14ac:dyDescent="0.3">
      <c r="A359" s="44"/>
      <c r="F359" s="39"/>
      <c r="G359" s="39"/>
      <c r="H359" s="39"/>
    </row>
    <row r="360" spans="1:8" x14ac:dyDescent="0.3">
      <c r="A360" s="44"/>
      <c r="F360" s="39"/>
      <c r="G360" s="39"/>
      <c r="H360" s="39"/>
    </row>
    <row r="361" spans="1:8" x14ac:dyDescent="0.3">
      <c r="A361" s="44"/>
      <c r="F361" s="39"/>
      <c r="G361" s="39"/>
      <c r="H361" s="39"/>
    </row>
    <row r="362" spans="1:8" x14ac:dyDescent="0.3">
      <c r="A362" s="44"/>
      <c r="F362" s="39"/>
      <c r="G362" s="39"/>
      <c r="H362" s="39"/>
    </row>
    <row r="363" spans="1:8" x14ac:dyDescent="0.3">
      <c r="A363" s="44"/>
      <c r="F363" s="39"/>
      <c r="G363" s="39"/>
      <c r="H363" s="39"/>
    </row>
    <row r="364" spans="1:8" x14ac:dyDescent="0.3">
      <c r="A364" s="44"/>
      <c r="F364" s="39"/>
      <c r="G364" s="39"/>
      <c r="H364" s="39"/>
    </row>
    <row r="365" spans="1:8" x14ac:dyDescent="0.3">
      <c r="A365" s="44"/>
      <c r="F365" s="39"/>
      <c r="G365" s="39"/>
      <c r="H365" s="39"/>
    </row>
    <row r="366" spans="1:8" x14ac:dyDescent="0.3">
      <c r="A366" s="44"/>
      <c r="F366" s="39"/>
      <c r="G366" s="39"/>
      <c r="H366" s="39"/>
    </row>
    <row r="367" spans="1:8" x14ac:dyDescent="0.3">
      <c r="A367" s="44"/>
      <c r="F367" s="39"/>
      <c r="G367" s="39"/>
      <c r="H367" s="39"/>
    </row>
    <row r="368" spans="1:8" x14ac:dyDescent="0.3">
      <c r="A368" s="44"/>
      <c r="F368" s="39"/>
      <c r="G368" s="39"/>
      <c r="H368" s="39"/>
    </row>
    <row r="369" spans="1:8" x14ac:dyDescent="0.3">
      <c r="A369" s="44"/>
      <c r="F369" s="39"/>
      <c r="G369" s="39"/>
      <c r="H369" s="39"/>
    </row>
    <row r="370" spans="1:8" x14ac:dyDescent="0.3">
      <c r="A370" s="44"/>
      <c r="F370" s="39"/>
      <c r="G370" s="39"/>
      <c r="H370" s="39"/>
    </row>
    <row r="371" spans="1:8" x14ac:dyDescent="0.3">
      <c r="A371" s="44"/>
      <c r="F371" s="39"/>
      <c r="G371" s="39"/>
      <c r="H371" s="39"/>
    </row>
    <row r="372" spans="1:8" x14ac:dyDescent="0.3">
      <c r="A372" s="44"/>
      <c r="F372" s="39"/>
      <c r="G372" s="39"/>
      <c r="H372" s="39"/>
    </row>
    <row r="373" spans="1:8" x14ac:dyDescent="0.3">
      <c r="A373" s="44"/>
      <c r="F373" s="39"/>
      <c r="G373" s="39"/>
      <c r="H373" s="39"/>
    </row>
    <row r="374" spans="1:8" x14ac:dyDescent="0.3">
      <c r="A374" s="44"/>
      <c r="F374" s="39"/>
      <c r="G374" s="39"/>
      <c r="H374" s="39"/>
    </row>
    <row r="375" spans="1:8" x14ac:dyDescent="0.3">
      <c r="A375" s="44"/>
      <c r="F375" s="39"/>
      <c r="G375" s="39"/>
      <c r="H375" s="39"/>
    </row>
    <row r="376" spans="1:8" x14ac:dyDescent="0.3">
      <c r="A376" s="44"/>
      <c r="F376" s="39"/>
      <c r="G376" s="39"/>
      <c r="H376" s="39"/>
    </row>
    <row r="377" spans="1:8" x14ac:dyDescent="0.3">
      <c r="A377" s="44"/>
      <c r="F377" s="39"/>
      <c r="G377" s="39"/>
      <c r="H377" s="39"/>
    </row>
    <row r="378" spans="1:8" x14ac:dyDescent="0.3">
      <c r="A378" s="44"/>
      <c r="F378" s="39"/>
      <c r="G378" s="39"/>
      <c r="H378" s="39"/>
    </row>
    <row r="379" spans="1:8" x14ac:dyDescent="0.3">
      <c r="A379" s="44"/>
      <c r="F379" s="39"/>
      <c r="G379" s="39"/>
      <c r="H379" s="39"/>
    </row>
    <row r="380" spans="1:8" x14ac:dyDescent="0.3">
      <c r="A380" s="44"/>
      <c r="F380" s="39"/>
      <c r="G380" s="39"/>
      <c r="H380" s="39"/>
    </row>
    <row r="381" spans="1:8" x14ac:dyDescent="0.3">
      <c r="A381" s="44"/>
      <c r="F381" s="39"/>
      <c r="G381" s="39"/>
      <c r="H381" s="39"/>
    </row>
    <row r="382" spans="1:8" x14ac:dyDescent="0.3">
      <c r="A382" s="44"/>
      <c r="F382" s="39"/>
      <c r="G382" s="39"/>
      <c r="H382" s="39"/>
    </row>
    <row r="383" spans="1:8" x14ac:dyDescent="0.3">
      <c r="A383" s="44"/>
      <c r="F383" s="39"/>
      <c r="G383" s="39"/>
      <c r="H383" s="39"/>
    </row>
    <row r="384" spans="1:8" x14ac:dyDescent="0.3">
      <c r="A384" s="44"/>
      <c r="F384" s="39"/>
      <c r="G384" s="39"/>
      <c r="H384" s="39"/>
    </row>
    <row r="385" spans="1:8" x14ac:dyDescent="0.3">
      <c r="A385" s="44"/>
      <c r="F385" s="39"/>
      <c r="G385" s="39"/>
      <c r="H385" s="39"/>
    </row>
    <row r="386" spans="1:8" x14ac:dyDescent="0.3">
      <c r="A386" s="44"/>
      <c r="F386" s="39"/>
      <c r="G386" s="39"/>
      <c r="H386" s="39"/>
    </row>
    <row r="387" spans="1:8" x14ac:dyDescent="0.3">
      <c r="A387" s="44"/>
      <c r="F387" s="39"/>
      <c r="G387" s="39"/>
      <c r="H387" s="39"/>
    </row>
    <row r="388" spans="1:8" x14ac:dyDescent="0.3">
      <c r="A388" s="44"/>
      <c r="F388" s="39"/>
      <c r="G388" s="39"/>
      <c r="H388" s="39"/>
    </row>
    <row r="389" spans="1:8" x14ac:dyDescent="0.3">
      <c r="A389" s="44"/>
      <c r="F389" s="39"/>
      <c r="G389" s="39"/>
      <c r="H389" s="39"/>
    </row>
    <row r="390" spans="1:8" x14ac:dyDescent="0.3">
      <c r="A390" s="44"/>
      <c r="F390" s="39"/>
      <c r="G390" s="39"/>
      <c r="H390" s="39"/>
    </row>
    <row r="391" spans="1:8" x14ac:dyDescent="0.3">
      <c r="A391" s="44"/>
      <c r="F391" s="39"/>
      <c r="G391" s="39"/>
      <c r="H391" s="39"/>
    </row>
    <row r="392" spans="1:8" x14ac:dyDescent="0.3">
      <c r="A392" s="44"/>
      <c r="F392" s="39"/>
      <c r="G392" s="39"/>
      <c r="H392" s="39"/>
    </row>
    <row r="393" spans="1:8" x14ac:dyDescent="0.3">
      <c r="A393" s="44"/>
      <c r="F393" s="39"/>
      <c r="G393" s="39"/>
      <c r="H393" s="39"/>
    </row>
    <row r="394" spans="1:8" x14ac:dyDescent="0.3">
      <c r="A394" s="44"/>
      <c r="F394" s="39"/>
      <c r="G394" s="39"/>
      <c r="H394" s="39"/>
    </row>
    <row r="395" spans="1:8" x14ac:dyDescent="0.3">
      <c r="A395" s="44"/>
      <c r="F395" s="39"/>
      <c r="G395" s="39"/>
      <c r="H395" s="39"/>
    </row>
    <row r="396" spans="1:8" x14ac:dyDescent="0.3">
      <c r="A396" s="44"/>
      <c r="F396" s="39"/>
      <c r="G396" s="39"/>
      <c r="H396" s="39"/>
    </row>
    <row r="397" spans="1:8" x14ac:dyDescent="0.3">
      <c r="A397" s="44"/>
      <c r="F397" s="39"/>
      <c r="G397" s="39"/>
      <c r="H397" s="39"/>
    </row>
    <row r="398" spans="1:8" x14ac:dyDescent="0.3">
      <c r="A398" s="44"/>
      <c r="F398" s="39"/>
      <c r="G398" s="39"/>
      <c r="H398" s="39"/>
    </row>
    <row r="399" spans="1:8" x14ac:dyDescent="0.3">
      <c r="A399" s="44"/>
      <c r="F399" s="39"/>
      <c r="G399" s="39"/>
      <c r="H399" s="39"/>
    </row>
    <row r="400" spans="1:8" x14ac:dyDescent="0.3">
      <c r="A400" s="44"/>
      <c r="F400" s="39"/>
      <c r="G400" s="39"/>
      <c r="H400" s="39"/>
    </row>
    <row r="401" spans="1:8" x14ac:dyDescent="0.3">
      <c r="A401" s="44"/>
      <c r="F401" s="39"/>
      <c r="G401" s="39"/>
      <c r="H401" s="39"/>
    </row>
    <row r="402" spans="1:8" x14ac:dyDescent="0.3">
      <c r="A402" s="44"/>
      <c r="F402" s="39"/>
      <c r="G402" s="39"/>
      <c r="H402" s="39"/>
    </row>
    <row r="403" spans="1:8" x14ac:dyDescent="0.3">
      <c r="A403" s="44"/>
      <c r="F403" s="39"/>
      <c r="G403" s="39"/>
      <c r="H403" s="39"/>
    </row>
    <row r="404" spans="1:8" x14ac:dyDescent="0.3">
      <c r="A404" s="44"/>
      <c r="F404" s="39"/>
      <c r="G404" s="39"/>
      <c r="H404" s="39"/>
    </row>
    <row r="405" spans="1:8" x14ac:dyDescent="0.3">
      <c r="A405" s="44"/>
      <c r="F405" s="39"/>
      <c r="G405" s="39"/>
      <c r="H405" s="39"/>
    </row>
    <row r="406" spans="1:8" x14ac:dyDescent="0.3">
      <c r="A406" s="44"/>
      <c r="F406" s="39"/>
      <c r="G406" s="39"/>
      <c r="H406" s="39"/>
    </row>
    <row r="407" spans="1:8" x14ac:dyDescent="0.3">
      <c r="A407" s="44"/>
      <c r="F407" s="39"/>
      <c r="G407" s="39"/>
      <c r="H407" s="39"/>
    </row>
    <row r="408" spans="1:8" x14ac:dyDescent="0.3">
      <c r="A408" s="44"/>
      <c r="F408" s="39"/>
      <c r="G408" s="39"/>
      <c r="H408" s="39"/>
    </row>
    <row r="409" spans="1:8" x14ac:dyDescent="0.3">
      <c r="A409" s="44"/>
      <c r="F409" s="39"/>
      <c r="G409" s="39"/>
      <c r="H409" s="39"/>
    </row>
    <row r="410" spans="1:8" x14ac:dyDescent="0.3">
      <c r="A410" s="44"/>
      <c r="F410" s="39"/>
      <c r="G410" s="39"/>
      <c r="H410" s="39"/>
    </row>
    <row r="411" spans="1:8" x14ac:dyDescent="0.3">
      <c r="A411" s="44"/>
      <c r="F411" s="39"/>
      <c r="G411" s="39"/>
      <c r="H411" s="39"/>
    </row>
    <row r="412" spans="1:8" x14ac:dyDescent="0.3">
      <c r="A412" s="44"/>
      <c r="F412" s="39"/>
      <c r="G412" s="39"/>
      <c r="H412" s="39"/>
    </row>
    <row r="413" spans="1:8" x14ac:dyDescent="0.3">
      <c r="A413" s="44"/>
      <c r="F413" s="39"/>
      <c r="G413" s="39"/>
      <c r="H413" s="39"/>
    </row>
    <row r="414" spans="1:8" x14ac:dyDescent="0.3">
      <c r="A414" s="44"/>
      <c r="F414" s="39"/>
      <c r="G414" s="39"/>
      <c r="H414" s="39"/>
    </row>
    <row r="415" spans="1:8" x14ac:dyDescent="0.3">
      <c r="A415" s="44"/>
      <c r="F415" s="39"/>
      <c r="G415" s="39"/>
      <c r="H415" s="39"/>
    </row>
    <row r="416" spans="1:8" x14ac:dyDescent="0.3">
      <c r="A416" s="44"/>
      <c r="F416" s="39"/>
      <c r="G416" s="39"/>
      <c r="H416" s="39"/>
    </row>
    <row r="417" spans="1:8" x14ac:dyDescent="0.3">
      <c r="A417" s="44"/>
      <c r="F417" s="39"/>
      <c r="G417" s="39"/>
      <c r="H417" s="39"/>
    </row>
    <row r="418" spans="1:8" x14ac:dyDescent="0.3">
      <c r="A418" s="44"/>
      <c r="F418" s="39"/>
      <c r="G418" s="39"/>
      <c r="H418" s="39"/>
    </row>
    <row r="419" spans="1:8" x14ac:dyDescent="0.3">
      <c r="A419" s="44"/>
      <c r="F419" s="39"/>
      <c r="G419" s="39"/>
      <c r="H419" s="39"/>
    </row>
    <row r="420" spans="1:8" x14ac:dyDescent="0.3">
      <c r="A420" s="44"/>
      <c r="F420" s="39"/>
      <c r="G420" s="39"/>
      <c r="H420" s="39"/>
    </row>
    <row r="421" spans="1:8" x14ac:dyDescent="0.3">
      <c r="A421" s="44"/>
      <c r="F421" s="39"/>
      <c r="G421" s="39"/>
      <c r="H421" s="39"/>
    </row>
    <row r="422" spans="1:8" x14ac:dyDescent="0.3">
      <c r="A422" s="44"/>
      <c r="F422" s="39"/>
      <c r="G422" s="39"/>
      <c r="H422" s="39"/>
    </row>
    <row r="423" spans="1:8" x14ac:dyDescent="0.3">
      <c r="A423" s="44"/>
      <c r="F423" s="39"/>
      <c r="G423" s="39"/>
      <c r="H423" s="39"/>
    </row>
    <row r="424" spans="1:8" x14ac:dyDescent="0.3">
      <c r="A424" s="44"/>
      <c r="F424" s="39"/>
      <c r="G424" s="39"/>
      <c r="H424" s="39"/>
    </row>
    <row r="425" spans="1:8" x14ac:dyDescent="0.3">
      <c r="A425" s="44"/>
      <c r="F425" s="39"/>
      <c r="G425" s="39"/>
      <c r="H425" s="39"/>
    </row>
    <row r="426" spans="1:8" x14ac:dyDescent="0.3">
      <c r="A426" s="44"/>
      <c r="F426" s="39"/>
      <c r="G426" s="39"/>
      <c r="H426" s="39"/>
    </row>
    <row r="427" spans="1:8" x14ac:dyDescent="0.3">
      <c r="A427" s="44"/>
      <c r="F427" s="39"/>
      <c r="G427" s="39"/>
      <c r="H427" s="39"/>
    </row>
    <row r="428" spans="1:8" x14ac:dyDescent="0.3">
      <c r="A428" s="44"/>
      <c r="F428" s="39"/>
      <c r="G428" s="39"/>
      <c r="H428" s="39"/>
    </row>
    <row r="429" spans="1:8" x14ac:dyDescent="0.3">
      <c r="A429" s="44"/>
      <c r="F429" s="39"/>
      <c r="G429" s="39"/>
      <c r="H429" s="39"/>
    </row>
    <row r="430" spans="1:8" x14ac:dyDescent="0.3">
      <c r="A430" s="44"/>
      <c r="F430" s="39"/>
      <c r="G430" s="39"/>
      <c r="H430" s="39"/>
    </row>
    <row r="431" spans="1:8" x14ac:dyDescent="0.3">
      <c r="A431" s="44"/>
      <c r="F431" s="39"/>
      <c r="G431" s="39"/>
      <c r="H431" s="39"/>
    </row>
    <row r="432" spans="1:8" x14ac:dyDescent="0.3">
      <c r="A432" s="44"/>
      <c r="F432" s="39"/>
      <c r="G432" s="39"/>
      <c r="H432" s="39"/>
    </row>
    <row r="433" spans="1:8" x14ac:dyDescent="0.3">
      <c r="A433" s="44"/>
      <c r="F433" s="39"/>
      <c r="G433" s="39"/>
      <c r="H433" s="39"/>
    </row>
    <row r="434" spans="1:8" x14ac:dyDescent="0.3">
      <c r="A434" s="44"/>
      <c r="F434" s="39"/>
      <c r="G434" s="39"/>
      <c r="H434" s="39"/>
    </row>
    <row r="435" spans="1:8" x14ac:dyDescent="0.3">
      <c r="A435" s="44"/>
      <c r="F435" s="39"/>
      <c r="G435" s="39"/>
      <c r="H435" s="39"/>
    </row>
    <row r="436" spans="1:8" x14ac:dyDescent="0.3">
      <c r="A436" s="44"/>
      <c r="F436" s="39"/>
      <c r="G436" s="39"/>
      <c r="H436" s="39"/>
    </row>
    <row r="437" spans="1:8" x14ac:dyDescent="0.3">
      <c r="A437" s="44"/>
      <c r="F437" s="39"/>
      <c r="G437" s="39"/>
      <c r="H437" s="39"/>
    </row>
    <row r="438" spans="1:8" x14ac:dyDescent="0.3">
      <c r="A438" s="44"/>
      <c r="F438" s="39"/>
      <c r="G438" s="39"/>
      <c r="H438" s="39"/>
    </row>
    <row r="439" spans="1:8" x14ac:dyDescent="0.3">
      <c r="A439" s="44"/>
      <c r="F439" s="39"/>
      <c r="G439" s="39"/>
      <c r="H439" s="39"/>
    </row>
    <row r="440" spans="1:8" x14ac:dyDescent="0.3">
      <c r="A440" s="44"/>
      <c r="F440" s="39"/>
      <c r="G440" s="39"/>
      <c r="H440" s="39"/>
    </row>
    <row r="441" spans="1:8" x14ac:dyDescent="0.3">
      <c r="A441" s="44"/>
      <c r="F441" s="39"/>
      <c r="G441" s="39"/>
      <c r="H441" s="39"/>
    </row>
    <row r="442" spans="1:8" x14ac:dyDescent="0.3">
      <c r="A442" s="44"/>
      <c r="F442" s="39"/>
      <c r="G442" s="39"/>
      <c r="H442" s="39"/>
    </row>
    <row r="443" spans="1:8" x14ac:dyDescent="0.3">
      <c r="A443" s="44"/>
      <c r="F443" s="39"/>
      <c r="G443" s="39"/>
      <c r="H443" s="39"/>
    </row>
    <row r="444" spans="1:8" x14ac:dyDescent="0.3">
      <c r="A444" s="44"/>
      <c r="F444" s="39"/>
      <c r="G444" s="39"/>
      <c r="H444" s="39"/>
    </row>
    <row r="445" spans="1:8" x14ac:dyDescent="0.3">
      <c r="A445" s="44"/>
      <c r="F445" s="39"/>
      <c r="G445" s="39"/>
      <c r="H445" s="39"/>
    </row>
    <row r="446" spans="1:8" x14ac:dyDescent="0.3">
      <c r="A446" s="44"/>
      <c r="F446" s="39"/>
      <c r="G446" s="39"/>
      <c r="H446" s="39"/>
    </row>
    <row r="447" spans="1:8" x14ac:dyDescent="0.3">
      <c r="A447" s="44"/>
      <c r="F447" s="39"/>
      <c r="G447" s="39"/>
      <c r="H447" s="39"/>
    </row>
    <row r="448" spans="1:8" x14ac:dyDescent="0.3">
      <c r="A448" s="44"/>
      <c r="F448" s="39"/>
      <c r="G448" s="39"/>
      <c r="H448" s="39"/>
    </row>
    <row r="449" spans="1:8" x14ac:dyDescent="0.3">
      <c r="A449" s="44"/>
      <c r="F449" s="39"/>
      <c r="G449" s="39"/>
      <c r="H449" s="39"/>
    </row>
    <row r="450" spans="1:8" x14ac:dyDescent="0.3">
      <c r="A450" s="44"/>
      <c r="F450" s="39"/>
      <c r="G450" s="39"/>
      <c r="H450" s="39"/>
    </row>
    <row r="451" spans="1:8" x14ac:dyDescent="0.3">
      <c r="A451" s="44"/>
      <c r="F451" s="39"/>
      <c r="G451" s="39"/>
      <c r="H451" s="39"/>
    </row>
    <row r="452" spans="1:8" x14ac:dyDescent="0.3">
      <c r="A452" s="44"/>
      <c r="F452" s="39"/>
      <c r="G452" s="39"/>
      <c r="H452" s="39"/>
    </row>
    <row r="453" spans="1:8" x14ac:dyDescent="0.3">
      <c r="A453" s="44"/>
      <c r="F453" s="39"/>
      <c r="G453" s="39"/>
      <c r="H453" s="39"/>
    </row>
    <row r="454" spans="1:8" x14ac:dyDescent="0.3">
      <c r="A454" s="44"/>
      <c r="F454" s="39"/>
      <c r="G454" s="39"/>
      <c r="H454" s="39"/>
    </row>
    <row r="455" spans="1:8" x14ac:dyDescent="0.3">
      <c r="A455" s="44"/>
      <c r="F455" s="39"/>
      <c r="G455" s="39"/>
      <c r="H455" s="39"/>
    </row>
    <row r="456" spans="1:8" x14ac:dyDescent="0.3">
      <c r="A456" s="44"/>
      <c r="F456" s="39"/>
      <c r="G456" s="39"/>
      <c r="H456" s="39"/>
    </row>
    <row r="457" spans="1:8" x14ac:dyDescent="0.3">
      <c r="A457" s="44"/>
      <c r="F457" s="39"/>
      <c r="G457" s="39"/>
      <c r="H457" s="39"/>
    </row>
    <row r="458" spans="1:8" x14ac:dyDescent="0.3">
      <c r="A458" s="44"/>
      <c r="F458" s="39"/>
      <c r="G458" s="39"/>
      <c r="H458" s="39"/>
    </row>
    <row r="459" spans="1:8" x14ac:dyDescent="0.3">
      <c r="A459" s="44"/>
      <c r="F459" s="39"/>
      <c r="G459" s="39"/>
      <c r="H459" s="39"/>
    </row>
    <row r="460" spans="1:8" x14ac:dyDescent="0.3">
      <c r="A460" s="44"/>
      <c r="F460" s="39"/>
      <c r="G460" s="39"/>
      <c r="H460" s="39"/>
    </row>
    <row r="461" spans="1:8" x14ac:dyDescent="0.3">
      <c r="A461" s="44"/>
      <c r="F461" s="39"/>
      <c r="G461" s="39"/>
      <c r="H461" s="39"/>
    </row>
    <row r="462" spans="1:8" x14ac:dyDescent="0.3">
      <c r="A462" s="44"/>
      <c r="F462" s="39"/>
      <c r="G462" s="39"/>
      <c r="H462" s="39"/>
    </row>
    <row r="463" spans="1:8" x14ac:dyDescent="0.3">
      <c r="A463" s="44"/>
      <c r="F463" s="39"/>
      <c r="G463" s="39"/>
      <c r="H463" s="39"/>
    </row>
    <row r="464" spans="1:8" x14ac:dyDescent="0.3">
      <c r="A464" s="44"/>
      <c r="F464" s="39"/>
      <c r="G464" s="39"/>
      <c r="H464" s="39"/>
    </row>
    <row r="465" spans="1:8" x14ac:dyDescent="0.3">
      <c r="A465" s="44"/>
      <c r="F465" s="39"/>
      <c r="G465" s="39"/>
      <c r="H465" s="39"/>
    </row>
    <row r="466" spans="1:8" x14ac:dyDescent="0.3">
      <c r="A466" s="44"/>
      <c r="F466" s="39"/>
      <c r="G466" s="39"/>
      <c r="H466" s="39"/>
    </row>
    <row r="467" spans="1:8" x14ac:dyDescent="0.3">
      <c r="A467" s="44"/>
      <c r="F467" s="39"/>
      <c r="G467" s="39"/>
      <c r="H467" s="39"/>
    </row>
    <row r="468" spans="1:8" x14ac:dyDescent="0.3">
      <c r="A468" s="44"/>
      <c r="F468" s="39"/>
      <c r="G468" s="39"/>
      <c r="H468" s="39"/>
    </row>
    <row r="469" spans="1:8" x14ac:dyDescent="0.3">
      <c r="A469" s="44"/>
      <c r="F469" s="39"/>
      <c r="G469" s="39"/>
      <c r="H469" s="39"/>
    </row>
    <row r="470" spans="1:8" x14ac:dyDescent="0.3">
      <c r="A470" s="44"/>
      <c r="F470" s="39"/>
      <c r="G470" s="39"/>
      <c r="H470" s="39"/>
    </row>
    <row r="471" spans="1:8" x14ac:dyDescent="0.3">
      <c r="A471" s="44"/>
      <c r="F471" s="39"/>
      <c r="G471" s="39"/>
      <c r="H471" s="39"/>
    </row>
    <row r="472" spans="1:8" x14ac:dyDescent="0.3">
      <c r="A472" s="44"/>
      <c r="F472" s="39"/>
      <c r="G472" s="39"/>
      <c r="H472" s="39"/>
    </row>
    <row r="473" spans="1:8" x14ac:dyDescent="0.3">
      <c r="A473" s="44"/>
      <c r="F473" s="39"/>
      <c r="G473" s="39"/>
      <c r="H473" s="39"/>
    </row>
    <row r="474" spans="1:8" x14ac:dyDescent="0.3">
      <c r="A474" s="44"/>
      <c r="F474" s="39"/>
      <c r="G474" s="39"/>
      <c r="H474" s="39"/>
    </row>
    <row r="475" spans="1:8" x14ac:dyDescent="0.3">
      <c r="A475" s="44"/>
      <c r="F475" s="39"/>
      <c r="G475" s="39"/>
      <c r="H475" s="39"/>
    </row>
    <row r="476" spans="1:8" x14ac:dyDescent="0.3">
      <c r="A476" s="44"/>
      <c r="F476" s="39"/>
      <c r="G476" s="39"/>
      <c r="H476" s="39"/>
    </row>
    <row r="477" spans="1:8" x14ac:dyDescent="0.3">
      <c r="A477" s="44"/>
      <c r="F477" s="39"/>
      <c r="G477" s="39"/>
      <c r="H477" s="39"/>
    </row>
    <row r="478" spans="1:8" x14ac:dyDescent="0.3">
      <c r="A478" s="44"/>
      <c r="F478" s="39"/>
      <c r="G478" s="39"/>
      <c r="H478" s="39"/>
    </row>
    <row r="479" spans="1:8" x14ac:dyDescent="0.3">
      <c r="A479" s="44"/>
      <c r="F479" s="39"/>
      <c r="G479" s="39"/>
      <c r="H479" s="39"/>
    </row>
    <row r="480" spans="1:8" x14ac:dyDescent="0.3">
      <c r="A480" s="44"/>
      <c r="F480" s="39"/>
      <c r="G480" s="39"/>
      <c r="H480" s="39"/>
    </row>
    <row r="481" spans="1:8" x14ac:dyDescent="0.3">
      <c r="A481" s="44"/>
      <c r="F481" s="39"/>
      <c r="G481" s="39"/>
      <c r="H481" s="39"/>
    </row>
    <row r="482" spans="1:8" x14ac:dyDescent="0.3">
      <c r="A482" s="44"/>
      <c r="F482" s="39"/>
      <c r="G482" s="39"/>
      <c r="H482" s="39"/>
    </row>
    <row r="483" spans="1:8" x14ac:dyDescent="0.3">
      <c r="A483" s="44"/>
      <c r="F483" s="39"/>
      <c r="G483" s="39"/>
      <c r="H483" s="39"/>
    </row>
    <row r="484" spans="1:8" x14ac:dyDescent="0.3">
      <c r="A484" s="44"/>
      <c r="F484" s="39"/>
      <c r="G484" s="39"/>
      <c r="H484" s="39"/>
    </row>
    <row r="485" spans="1:8" x14ac:dyDescent="0.3">
      <c r="A485" s="44"/>
      <c r="F485" s="39"/>
      <c r="G485" s="39"/>
      <c r="H485" s="39"/>
    </row>
    <row r="486" spans="1:8" x14ac:dyDescent="0.3">
      <c r="A486" s="44"/>
      <c r="F486" s="39"/>
      <c r="G486" s="39"/>
      <c r="H486" s="39"/>
    </row>
    <row r="487" spans="1:8" x14ac:dyDescent="0.3">
      <c r="A487" s="44"/>
      <c r="F487" s="39"/>
      <c r="G487" s="39"/>
      <c r="H487" s="39"/>
    </row>
    <row r="488" spans="1:8" x14ac:dyDescent="0.3">
      <c r="A488" s="44"/>
      <c r="F488" s="39"/>
      <c r="G488" s="39"/>
      <c r="H488" s="39"/>
    </row>
    <row r="489" spans="1:8" x14ac:dyDescent="0.3">
      <c r="A489" s="44"/>
      <c r="F489" s="39"/>
      <c r="G489" s="39"/>
      <c r="H489" s="39"/>
    </row>
    <row r="490" spans="1:8" x14ac:dyDescent="0.3">
      <c r="A490" s="44"/>
      <c r="F490" s="39"/>
      <c r="G490" s="39"/>
      <c r="H490" s="39"/>
    </row>
    <row r="491" spans="1:8" x14ac:dyDescent="0.3">
      <c r="A491" s="44"/>
      <c r="F491" s="39"/>
      <c r="G491" s="39"/>
      <c r="H491" s="39"/>
    </row>
    <row r="492" spans="1:8" x14ac:dyDescent="0.3">
      <c r="A492" s="44"/>
      <c r="F492" s="39"/>
      <c r="G492" s="39"/>
      <c r="H492" s="39"/>
    </row>
    <row r="493" spans="1:8" x14ac:dyDescent="0.3">
      <c r="A493" s="44"/>
      <c r="F493" s="39"/>
      <c r="G493" s="39"/>
      <c r="H493" s="39"/>
    </row>
    <row r="494" spans="1:8" x14ac:dyDescent="0.3">
      <c r="A494" s="44"/>
      <c r="F494" s="39"/>
      <c r="G494" s="39"/>
      <c r="H494" s="39"/>
    </row>
    <row r="495" spans="1:8" x14ac:dyDescent="0.3">
      <c r="A495" s="44"/>
      <c r="F495" s="39"/>
      <c r="G495" s="39"/>
      <c r="H495" s="39"/>
    </row>
    <row r="496" spans="1:8" x14ac:dyDescent="0.3">
      <c r="A496" s="44"/>
      <c r="F496" s="39"/>
      <c r="G496" s="39"/>
      <c r="H496" s="39"/>
    </row>
    <row r="497" spans="1:8" x14ac:dyDescent="0.3">
      <c r="A497" s="44"/>
      <c r="F497" s="39"/>
      <c r="G497" s="39"/>
      <c r="H497" s="39"/>
    </row>
    <row r="498" spans="1:8" x14ac:dyDescent="0.3">
      <c r="A498" s="44"/>
      <c r="F498" s="39"/>
      <c r="G498" s="39"/>
      <c r="H498" s="39"/>
    </row>
    <row r="499" spans="1:8" x14ac:dyDescent="0.3">
      <c r="A499" s="44"/>
      <c r="F499" s="39"/>
      <c r="G499" s="39"/>
      <c r="H499" s="39"/>
    </row>
    <row r="500" spans="1:8" x14ac:dyDescent="0.3">
      <c r="A500" s="44"/>
      <c r="F500" s="39"/>
      <c r="G500" s="39"/>
      <c r="H500" s="39"/>
    </row>
    <row r="501" spans="1:8" x14ac:dyDescent="0.3">
      <c r="A501" s="44"/>
      <c r="F501" s="39"/>
      <c r="G501" s="39"/>
      <c r="H501" s="39"/>
    </row>
    <row r="502" spans="1:8" x14ac:dyDescent="0.3">
      <c r="A502" s="44"/>
      <c r="F502" s="39"/>
      <c r="G502" s="39"/>
      <c r="H502" s="39"/>
    </row>
    <row r="503" spans="1:8" x14ac:dyDescent="0.3">
      <c r="A503" s="44"/>
      <c r="F503" s="39"/>
      <c r="G503" s="39"/>
      <c r="H503" s="39"/>
    </row>
    <row r="504" spans="1:8" x14ac:dyDescent="0.3">
      <c r="A504" s="44"/>
      <c r="F504" s="39"/>
      <c r="G504" s="39"/>
      <c r="H504" s="39"/>
    </row>
    <row r="505" spans="1:8" x14ac:dyDescent="0.3">
      <c r="A505" s="44"/>
      <c r="F505" s="39"/>
      <c r="G505" s="39"/>
      <c r="H505" s="39"/>
    </row>
    <row r="506" spans="1:8" x14ac:dyDescent="0.3">
      <c r="A506" s="44"/>
      <c r="F506" s="39"/>
      <c r="G506" s="39"/>
      <c r="H506" s="39"/>
    </row>
    <row r="507" spans="1:8" x14ac:dyDescent="0.3">
      <c r="A507" s="44"/>
      <c r="F507" s="39"/>
      <c r="G507" s="39"/>
      <c r="H507" s="39"/>
    </row>
    <row r="508" spans="1:8" x14ac:dyDescent="0.3">
      <c r="A508" s="44"/>
      <c r="F508" s="39"/>
      <c r="G508" s="39"/>
      <c r="H508" s="39"/>
    </row>
    <row r="509" spans="1:8" x14ac:dyDescent="0.3">
      <c r="A509" s="44"/>
      <c r="F509" s="39"/>
      <c r="G509" s="39"/>
      <c r="H509" s="39"/>
    </row>
    <row r="510" spans="1:8" x14ac:dyDescent="0.3">
      <c r="A510" s="44"/>
      <c r="F510" s="39"/>
      <c r="G510" s="39"/>
      <c r="H510" s="39"/>
    </row>
    <row r="511" spans="1:8" x14ac:dyDescent="0.3">
      <c r="A511" s="44"/>
      <c r="F511" s="39"/>
      <c r="G511" s="39"/>
      <c r="H511" s="39"/>
    </row>
    <row r="512" spans="1:8" x14ac:dyDescent="0.3">
      <c r="A512" s="44"/>
      <c r="F512" s="39"/>
      <c r="G512" s="39"/>
      <c r="H512" s="39"/>
    </row>
    <row r="513" spans="1:8" x14ac:dyDescent="0.3">
      <c r="A513" s="44"/>
      <c r="F513" s="39"/>
      <c r="G513" s="39"/>
      <c r="H513" s="39"/>
    </row>
    <row r="514" spans="1:8" x14ac:dyDescent="0.3">
      <c r="A514" s="44"/>
      <c r="F514" s="39"/>
      <c r="G514" s="39"/>
      <c r="H514" s="39"/>
    </row>
    <row r="515" spans="1:8" x14ac:dyDescent="0.3">
      <c r="A515" s="44"/>
      <c r="F515" s="39"/>
      <c r="G515" s="39"/>
      <c r="H515" s="39"/>
    </row>
    <row r="516" spans="1:8" x14ac:dyDescent="0.3">
      <c r="A516" s="44"/>
      <c r="F516" s="39"/>
      <c r="G516" s="39"/>
      <c r="H516" s="39"/>
    </row>
    <row r="517" spans="1:8" x14ac:dyDescent="0.3">
      <c r="A517" s="44"/>
      <c r="F517" s="39"/>
      <c r="G517" s="39"/>
      <c r="H517" s="39"/>
    </row>
    <row r="518" spans="1:8" x14ac:dyDescent="0.3">
      <c r="A518" s="44"/>
      <c r="F518" s="39"/>
      <c r="G518" s="39"/>
      <c r="H518" s="39"/>
    </row>
    <row r="519" spans="1:8" x14ac:dyDescent="0.3">
      <c r="A519" s="44"/>
      <c r="F519" s="39"/>
      <c r="G519" s="39"/>
      <c r="H519" s="39"/>
    </row>
    <row r="520" spans="1:8" x14ac:dyDescent="0.3">
      <c r="A520" s="44"/>
      <c r="F520" s="39"/>
      <c r="G520" s="39"/>
      <c r="H520" s="39"/>
    </row>
    <row r="521" spans="1:8" x14ac:dyDescent="0.3">
      <c r="A521" s="44"/>
      <c r="F521" s="39"/>
      <c r="G521" s="39"/>
      <c r="H521" s="39"/>
    </row>
    <row r="522" spans="1:8" x14ac:dyDescent="0.3">
      <c r="A522" s="44"/>
      <c r="F522" s="39"/>
      <c r="G522" s="39"/>
      <c r="H522" s="39"/>
    </row>
    <row r="523" spans="1:8" x14ac:dyDescent="0.3">
      <c r="A523" s="44"/>
      <c r="F523" s="39"/>
      <c r="G523" s="39"/>
      <c r="H523" s="39"/>
    </row>
    <row r="524" spans="1:8" x14ac:dyDescent="0.3">
      <c r="A524" s="44"/>
      <c r="F524" s="39"/>
      <c r="G524" s="39"/>
      <c r="H524" s="39"/>
    </row>
    <row r="525" spans="1:8" x14ac:dyDescent="0.3">
      <c r="A525" s="44"/>
      <c r="F525" s="39"/>
      <c r="G525" s="39"/>
      <c r="H525" s="39"/>
    </row>
    <row r="526" spans="1:8" x14ac:dyDescent="0.3">
      <c r="A526" s="44"/>
      <c r="F526" s="39"/>
      <c r="G526" s="39"/>
      <c r="H526" s="39"/>
    </row>
    <row r="527" spans="1:8" x14ac:dyDescent="0.3">
      <c r="A527" s="44"/>
      <c r="F527" s="39"/>
      <c r="G527" s="39"/>
      <c r="H527" s="39"/>
    </row>
    <row r="528" spans="1:8" x14ac:dyDescent="0.3">
      <c r="A528" s="44"/>
      <c r="F528" s="39"/>
      <c r="G528" s="39"/>
      <c r="H528" s="39"/>
    </row>
    <row r="529" spans="1:8" x14ac:dyDescent="0.3">
      <c r="A529" s="44"/>
      <c r="F529" s="39"/>
      <c r="G529" s="39"/>
      <c r="H529" s="39"/>
    </row>
    <row r="530" spans="1:8" x14ac:dyDescent="0.3">
      <c r="A530" s="44"/>
      <c r="F530" s="39"/>
      <c r="G530" s="39"/>
      <c r="H530" s="39"/>
    </row>
    <row r="531" spans="1:8" x14ac:dyDescent="0.3">
      <c r="A531" s="44"/>
      <c r="F531" s="39"/>
      <c r="G531" s="39"/>
      <c r="H531" s="39"/>
    </row>
    <row r="532" spans="1:8" x14ac:dyDescent="0.3">
      <c r="A532" s="44"/>
      <c r="F532" s="39"/>
      <c r="G532" s="39"/>
      <c r="H532" s="39"/>
    </row>
    <row r="533" spans="1:8" x14ac:dyDescent="0.3">
      <c r="A533" s="44"/>
      <c r="F533" s="39"/>
      <c r="G533" s="39"/>
      <c r="H533" s="39"/>
    </row>
    <row r="534" spans="1:8" x14ac:dyDescent="0.3">
      <c r="A534" s="44"/>
      <c r="F534" s="39"/>
      <c r="G534" s="39"/>
      <c r="H534" s="39"/>
    </row>
    <row r="535" spans="1:8" x14ac:dyDescent="0.3">
      <c r="A535" s="44"/>
      <c r="F535" s="39"/>
      <c r="G535" s="39"/>
      <c r="H535" s="39"/>
    </row>
    <row r="536" spans="1:8" x14ac:dyDescent="0.3">
      <c r="A536" s="44"/>
      <c r="F536" s="39"/>
      <c r="G536" s="39"/>
      <c r="H536" s="39"/>
    </row>
    <row r="537" spans="1:8" x14ac:dyDescent="0.3">
      <c r="A537" s="44"/>
      <c r="F537" s="39"/>
      <c r="G537" s="39"/>
      <c r="H537" s="39"/>
    </row>
    <row r="538" spans="1:8" x14ac:dyDescent="0.3">
      <c r="A538" s="44"/>
      <c r="F538" s="39"/>
      <c r="G538" s="39"/>
      <c r="H538" s="39"/>
    </row>
    <row r="539" spans="1:8" x14ac:dyDescent="0.3">
      <c r="A539" s="44"/>
      <c r="F539" s="39"/>
      <c r="G539" s="39"/>
      <c r="H539" s="39"/>
    </row>
    <row r="540" spans="1:8" x14ac:dyDescent="0.3">
      <c r="A540" s="44"/>
      <c r="F540" s="39"/>
      <c r="G540" s="39"/>
      <c r="H540" s="39"/>
    </row>
    <row r="541" spans="1:8" x14ac:dyDescent="0.3">
      <c r="A541" s="44"/>
      <c r="F541" s="39"/>
      <c r="G541" s="39"/>
      <c r="H541" s="39"/>
    </row>
    <row r="542" spans="1:8" x14ac:dyDescent="0.3">
      <c r="A542" s="44"/>
      <c r="F542" s="39"/>
      <c r="G542" s="39"/>
      <c r="H542" s="39"/>
    </row>
    <row r="543" spans="1:8" x14ac:dyDescent="0.3">
      <c r="A543" s="44"/>
      <c r="F543" s="39"/>
      <c r="G543" s="39"/>
      <c r="H543" s="39"/>
    </row>
    <row r="544" spans="1:8" x14ac:dyDescent="0.3">
      <c r="A544" s="44"/>
      <c r="F544" s="39"/>
      <c r="G544" s="39"/>
      <c r="H544" s="39"/>
    </row>
    <row r="545" spans="1:8" x14ac:dyDescent="0.3">
      <c r="A545" s="44"/>
      <c r="F545" s="39"/>
      <c r="G545" s="39"/>
      <c r="H545" s="39"/>
    </row>
    <row r="546" spans="1:8" x14ac:dyDescent="0.3">
      <c r="A546" s="44"/>
      <c r="F546" s="39"/>
      <c r="G546" s="39"/>
      <c r="H546" s="39"/>
    </row>
    <row r="547" spans="1:8" x14ac:dyDescent="0.3">
      <c r="A547" s="44"/>
      <c r="F547" s="39"/>
      <c r="G547" s="39"/>
      <c r="H547" s="39"/>
    </row>
    <row r="548" spans="1:8" x14ac:dyDescent="0.3">
      <c r="A548" s="44"/>
      <c r="F548" s="39"/>
      <c r="G548" s="39"/>
      <c r="H548" s="39"/>
    </row>
    <row r="549" spans="1:8" x14ac:dyDescent="0.3">
      <c r="A549" s="44"/>
      <c r="F549" s="39"/>
      <c r="G549" s="39"/>
      <c r="H549" s="39"/>
    </row>
    <row r="550" spans="1:8" x14ac:dyDescent="0.3">
      <c r="A550" s="44"/>
      <c r="F550" s="39"/>
      <c r="G550" s="39"/>
      <c r="H550" s="39"/>
    </row>
    <row r="551" spans="1:8" x14ac:dyDescent="0.3">
      <c r="A551" s="44"/>
      <c r="F551" s="39"/>
      <c r="G551" s="39"/>
      <c r="H551" s="39"/>
    </row>
    <row r="552" spans="1:8" x14ac:dyDescent="0.3">
      <c r="A552" s="44"/>
      <c r="F552" s="39"/>
      <c r="G552" s="39"/>
      <c r="H552" s="39"/>
    </row>
    <row r="553" spans="1:8" x14ac:dyDescent="0.3">
      <c r="A553" s="44"/>
      <c r="F553" s="39"/>
      <c r="G553" s="39"/>
      <c r="H553" s="39"/>
    </row>
    <row r="554" spans="1:8" x14ac:dyDescent="0.3">
      <c r="A554" s="44"/>
      <c r="F554" s="39"/>
      <c r="G554" s="39"/>
      <c r="H554" s="39"/>
    </row>
    <row r="555" spans="1:8" x14ac:dyDescent="0.3">
      <c r="A555" s="44"/>
      <c r="F555" s="39"/>
      <c r="G555" s="39"/>
      <c r="H555" s="39"/>
    </row>
    <row r="556" spans="1:8" x14ac:dyDescent="0.3">
      <c r="A556" s="44"/>
      <c r="F556" s="39"/>
      <c r="G556" s="39"/>
      <c r="H556" s="39"/>
    </row>
    <row r="557" spans="1:8" x14ac:dyDescent="0.3">
      <c r="A557" s="44"/>
      <c r="F557" s="39"/>
      <c r="G557" s="39"/>
      <c r="H557" s="39"/>
    </row>
    <row r="558" spans="1:8" x14ac:dyDescent="0.3">
      <c r="A558" s="44"/>
      <c r="F558" s="39"/>
      <c r="G558" s="39"/>
      <c r="H558" s="39"/>
    </row>
    <row r="559" spans="1:8" x14ac:dyDescent="0.3">
      <c r="A559" s="44"/>
      <c r="F559" s="39"/>
      <c r="G559" s="39"/>
      <c r="H559" s="39"/>
    </row>
    <row r="560" spans="1:8" x14ac:dyDescent="0.3">
      <c r="A560" s="44"/>
      <c r="F560" s="39"/>
      <c r="G560" s="39"/>
      <c r="H560" s="39"/>
    </row>
    <row r="561" spans="1:8" x14ac:dyDescent="0.3">
      <c r="A561" s="44"/>
      <c r="F561" s="39"/>
      <c r="G561" s="39"/>
      <c r="H561" s="39"/>
    </row>
    <row r="562" spans="1:8" x14ac:dyDescent="0.3">
      <c r="A562" s="44"/>
      <c r="F562" s="39"/>
      <c r="G562" s="39"/>
      <c r="H562" s="39"/>
    </row>
    <row r="563" spans="1:8" x14ac:dyDescent="0.3">
      <c r="A563" s="44"/>
      <c r="F563" s="39"/>
      <c r="G563" s="39"/>
      <c r="H563" s="39"/>
    </row>
    <row r="564" spans="1:8" x14ac:dyDescent="0.3">
      <c r="A564" s="44"/>
      <c r="F564" s="39"/>
      <c r="G564" s="39"/>
      <c r="H564" s="39"/>
    </row>
    <row r="565" spans="1:8" x14ac:dyDescent="0.3">
      <c r="A565" s="44"/>
      <c r="F565" s="39"/>
      <c r="G565" s="39"/>
      <c r="H565" s="39"/>
    </row>
    <row r="566" spans="1:8" x14ac:dyDescent="0.3">
      <c r="A566" s="44"/>
      <c r="F566" s="39"/>
      <c r="G566" s="39"/>
      <c r="H566" s="39"/>
    </row>
    <row r="567" spans="1:8" x14ac:dyDescent="0.3">
      <c r="A567" s="44"/>
      <c r="F567" s="39"/>
      <c r="G567" s="39"/>
      <c r="H567" s="39"/>
    </row>
    <row r="568" spans="1:8" x14ac:dyDescent="0.3">
      <c r="A568" s="44"/>
      <c r="F568" s="39"/>
      <c r="G568" s="39"/>
      <c r="H568" s="39"/>
    </row>
    <row r="569" spans="1:8" x14ac:dyDescent="0.3">
      <c r="A569" s="44"/>
      <c r="F569" s="39"/>
      <c r="G569" s="39"/>
      <c r="H569" s="39"/>
    </row>
    <row r="570" spans="1:8" x14ac:dyDescent="0.3">
      <c r="A570" s="44"/>
      <c r="F570" s="39"/>
      <c r="G570" s="39"/>
      <c r="H570" s="39"/>
    </row>
    <row r="571" spans="1:8" x14ac:dyDescent="0.3">
      <c r="A571" s="44"/>
      <c r="F571" s="39"/>
      <c r="G571" s="39"/>
      <c r="H571" s="39"/>
    </row>
    <row r="572" spans="1:8" x14ac:dyDescent="0.3">
      <c r="A572" s="44"/>
      <c r="F572" s="39"/>
      <c r="G572" s="39"/>
      <c r="H572" s="39"/>
    </row>
    <row r="573" spans="1:8" x14ac:dyDescent="0.3">
      <c r="A573" s="44"/>
      <c r="F573" s="39"/>
      <c r="G573" s="39"/>
      <c r="H573" s="39"/>
    </row>
    <row r="574" spans="1:8" x14ac:dyDescent="0.3">
      <c r="A574" s="44"/>
      <c r="F574" s="39"/>
      <c r="G574" s="39"/>
      <c r="H574" s="39"/>
    </row>
    <row r="575" spans="1:8" x14ac:dyDescent="0.3">
      <c r="A575" s="44"/>
      <c r="F575" s="39"/>
      <c r="G575" s="39"/>
      <c r="H575" s="39"/>
    </row>
    <row r="576" spans="1:8" x14ac:dyDescent="0.3">
      <c r="A576" s="44"/>
      <c r="F576" s="39"/>
      <c r="G576" s="39"/>
      <c r="H576" s="39"/>
    </row>
    <row r="577" spans="1:8" x14ac:dyDescent="0.3">
      <c r="A577" s="44"/>
      <c r="F577" s="39"/>
      <c r="G577" s="39"/>
      <c r="H577" s="39"/>
    </row>
    <row r="578" spans="1:8" x14ac:dyDescent="0.3">
      <c r="A578" s="44"/>
      <c r="F578" s="39"/>
      <c r="G578" s="39"/>
      <c r="H578" s="39"/>
    </row>
    <row r="579" spans="1:8" x14ac:dyDescent="0.3">
      <c r="A579" s="44"/>
      <c r="F579" s="39"/>
      <c r="G579" s="39"/>
      <c r="H579" s="39"/>
    </row>
    <row r="580" spans="1:8" x14ac:dyDescent="0.3">
      <c r="A580" s="44"/>
      <c r="F580" s="39"/>
      <c r="G580" s="39"/>
      <c r="H580" s="39"/>
    </row>
    <row r="581" spans="1:8" x14ac:dyDescent="0.3">
      <c r="A581" s="44"/>
      <c r="F581" s="39"/>
      <c r="G581" s="39"/>
      <c r="H581" s="39"/>
    </row>
    <row r="582" spans="1:8" x14ac:dyDescent="0.3">
      <c r="A582" s="44"/>
      <c r="F582" s="39"/>
      <c r="G582" s="39"/>
      <c r="H582" s="39"/>
    </row>
    <row r="583" spans="1:8" x14ac:dyDescent="0.3">
      <c r="A583" s="44"/>
      <c r="F583" s="39"/>
      <c r="G583" s="39"/>
      <c r="H583" s="39"/>
    </row>
    <row r="584" spans="1:8" x14ac:dyDescent="0.3">
      <c r="A584" s="44"/>
      <c r="F584" s="39"/>
      <c r="G584" s="39"/>
      <c r="H584" s="39"/>
    </row>
    <row r="585" spans="1:8" x14ac:dyDescent="0.3">
      <c r="A585" s="44"/>
      <c r="F585" s="39"/>
      <c r="G585" s="39"/>
      <c r="H585" s="39"/>
    </row>
    <row r="586" spans="1:8" x14ac:dyDescent="0.3">
      <c r="A586" s="44"/>
      <c r="F586" s="39"/>
      <c r="G586" s="39"/>
      <c r="H586" s="39"/>
    </row>
    <row r="587" spans="1:8" x14ac:dyDescent="0.3">
      <c r="A587" s="44"/>
      <c r="F587" s="39"/>
      <c r="G587" s="39"/>
      <c r="H587" s="39"/>
    </row>
    <row r="588" spans="1:8" x14ac:dyDescent="0.3">
      <c r="A588" s="44"/>
      <c r="F588" s="39"/>
      <c r="G588" s="39"/>
      <c r="H588" s="39"/>
    </row>
    <row r="589" spans="1:8" x14ac:dyDescent="0.3">
      <c r="A589" s="44"/>
      <c r="F589" s="39"/>
      <c r="G589" s="39"/>
      <c r="H589" s="39"/>
    </row>
    <row r="590" spans="1:8" x14ac:dyDescent="0.3">
      <c r="A590" s="44"/>
      <c r="F590" s="39"/>
      <c r="G590" s="39"/>
      <c r="H590" s="39"/>
    </row>
    <row r="591" spans="1:8" x14ac:dyDescent="0.3">
      <c r="A591" s="44"/>
      <c r="F591" s="39"/>
      <c r="G591" s="39"/>
      <c r="H591" s="39"/>
    </row>
    <row r="592" spans="1:8" x14ac:dyDescent="0.3">
      <c r="A592" s="44"/>
      <c r="F592" s="39"/>
      <c r="G592" s="39"/>
      <c r="H592" s="39"/>
    </row>
    <row r="593" spans="1:8" x14ac:dyDescent="0.3">
      <c r="A593" s="44"/>
      <c r="F593" s="39"/>
      <c r="G593" s="39"/>
      <c r="H593" s="39"/>
    </row>
    <row r="594" spans="1:8" x14ac:dyDescent="0.3">
      <c r="A594" s="44"/>
      <c r="F594" s="39"/>
      <c r="G594" s="39"/>
      <c r="H594" s="39"/>
    </row>
    <row r="595" spans="1:8" x14ac:dyDescent="0.3">
      <c r="A595" s="44"/>
      <c r="F595" s="39"/>
      <c r="G595" s="39"/>
      <c r="H595" s="39"/>
    </row>
    <row r="596" spans="1:8" x14ac:dyDescent="0.3">
      <c r="A596" s="44"/>
      <c r="F596" s="39"/>
      <c r="G596" s="39"/>
      <c r="H596" s="39"/>
    </row>
    <row r="597" spans="1:8" x14ac:dyDescent="0.3">
      <c r="A597" s="44"/>
      <c r="F597" s="39"/>
      <c r="G597" s="39"/>
      <c r="H597" s="39"/>
    </row>
    <row r="598" spans="1:8" x14ac:dyDescent="0.3">
      <c r="A598" s="44"/>
      <c r="F598" s="39"/>
      <c r="G598" s="39"/>
      <c r="H598" s="39"/>
    </row>
    <row r="599" spans="1:8" x14ac:dyDescent="0.3">
      <c r="A599" s="44"/>
      <c r="F599" s="39"/>
      <c r="G599" s="39"/>
      <c r="H599" s="39"/>
    </row>
    <row r="600" spans="1:8" x14ac:dyDescent="0.3">
      <c r="A600" s="44"/>
      <c r="F600" s="39"/>
      <c r="G600" s="39"/>
      <c r="H600" s="39"/>
    </row>
    <row r="601" spans="1:8" x14ac:dyDescent="0.3">
      <c r="A601" s="44"/>
      <c r="F601" s="39"/>
      <c r="G601" s="39"/>
      <c r="H601" s="39"/>
    </row>
    <row r="602" spans="1:8" x14ac:dyDescent="0.3">
      <c r="A602" s="44"/>
      <c r="F602" s="39"/>
      <c r="G602" s="39"/>
      <c r="H602" s="39"/>
    </row>
    <row r="603" spans="1:8" x14ac:dyDescent="0.3">
      <c r="A603" s="44"/>
      <c r="F603" s="39"/>
      <c r="G603" s="39"/>
      <c r="H603" s="39"/>
    </row>
    <row r="604" spans="1:8" x14ac:dyDescent="0.3">
      <c r="A604" s="44"/>
      <c r="F604" s="39"/>
      <c r="G604" s="39"/>
      <c r="H604" s="39"/>
    </row>
    <row r="605" spans="1:8" x14ac:dyDescent="0.3">
      <c r="A605" s="44"/>
      <c r="F605" s="39"/>
      <c r="G605" s="39"/>
      <c r="H605" s="39"/>
    </row>
    <row r="606" spans="1:8" x14ac:dyDescent="0.3">
      <c r="A606" s="44"/>
      <c r="F606" s="39"/>
      <c r="G606" s="39"/>
      <c r="H606" s="39"/>
    </row>
    <row r="607" spans="1:8" x14ac:dyDescent="0.3">
      <c r="A607" s="44"/>
      <c r="F607" s="39"/>
      <c r="G607" s="39"/>
      <c r="H607" s="39"/>
    </row>
    <row r="608" spans="1:8" x14ac:dyDescent="0.3">
      <c r="A608" s="44"/>
      <c r="F608" s="39"/>
      <c r="G608" s="39"/>
      <c r="H608" s="39"/>
    </row>
    <row r="609" spans="1:8" x14ac:dyDescent="0.3">
      <c r="A609" s="44"/>
      <c r="F609" s="39"/>
      <c r="G609" s="39"/>
      <c r="H609" s="39"/>
    </row>
    <row r="610" spans="1:8" x14ac:dyDescent="0.3">
      <c r="A610" s="44"/>
      <c r="F610" s="39"/>
      <c r="G610" s="39"/>
      <c r="H610" s="39"/>
    </row>
    <row r="611" spans="1:8" x14ac:dyDescent="0.3">
      <c r="A611" s="44"/>
      <c r="F611" s="39"/>
      <c r="G611" s="39"/>
      <c r="H611" s="39"/>
    </row>
    <row r="612" spans="1:8" x14ac:dyDescent="0.3">
      <c r="A612" s="44"/>
      <c r="F612" s="39"/>
      <c r="G612" s="39"/>
      <c r="H612" s="39"/>
    </row>
    <row r="613" spans="1:8" x14ac:dyDescent="0.3">
      <c r="A613" s="44"/>
      <c r="F613" s="39"/>
      <c r="G613" s="39"/>
      <c r="H613" s="39"/>
    </row>
    <row r="614" spans="1:8" x14ac:dyDescent="0.3">
      <c r="A614" s="44"/>
      <c r="F614" s="39"/>
      <c r="G614" s="39"/>
      <c r="H614" s="39"/>
    </row>
    <row r="615" spans="1:8" x14ac:dyDescent="0.3">
      <c r="A615" s="44"/>
      <c r="F615" s="39"/>
      <c r="G615" s="39"/>
      <c r="H615" s="39"/>
    </row>
    <row r="616" spans="1:8" x14ac:dyDescent="0.3">
      <c r="A616" s="44"/>
      <c r="F616" s="39"/>
      <c r="G616" s="39"/>
      <c r="H616" s="39"/>
    </row>
    <row r="617" spans="1:8" x14ac:dyDescent="0.3">
      <c r="A617" s="44"/>
      <c r="F617" s="39"/>
      <c r="G617" s="39"/>
      <c r="H617" s="39"/>
    </row>
    <row r="618" spans="1:8" x14ac:dyDescent="0.3">
      <c r="A618" s="44"/>
      <c r="F618" s="39"/>
      <c r="G618" s="39"/>
      <c r="H618" s="39"/>
    </row>
    <row r="619" spans="1:8" x14ac:dyDescent="0.3">
      <c r="A619" s="44"/>
      <c r="F619" s="39"/>
      <c r="G619" s="39"/>
      <c r="H619" s="39"/>
    </row>
    <row r="620" spans="1:8" x14ac:dyDescent="0.3">
      <c r="A620" s="44"/>
      <c r="F620" s="39"/>
      <c r="G620" s="39"/>
      <c r="H620" s="39"/>
    </row>
    <row r="621" spans="1:8" x14ac:dyDescent="0.3">
      <c r="A621" s="44"/>
      <c r="F621" s="39"/>
      <c r="G621" s="39"/>
      <c r="H621" s="39"/>
    </row>
    <row r="622" spans="1:8" x14ac:dyDescent="0.3">
      <c r="A622" s="44"/>
      <c r="F622" s="39"/>
      <c r="G622" s="39"/>
      <c r="H622" s="39"/>
    </row>
    <row r="623" spans="1:8" x14ac:dyDescent="0.3">
      <c r="A623" s="44"/>
      <c r="F623" s="39"/>
      <c r="G623" s="39"/>
      <c r="H623" s="39"/>
    </row>
    <row r="624" spans="1:8" x14ac:dyDescent="0.3">
      <c r="A624" s="44"/>
      <c r="F624" s="39"/>
      <c r="G624" s="39"/>
      <c r="H624" s="39"/>
    </row>
    <row r="625" spans="1:8" x14ac:dyDescent="0.3">
      <c r="A625" s="44"/>
      <c r="F625" s="39"/>
      <c r="G625" s="39"/>
      <c r="H625" s="39"/>
    </row>
    <row r="626" spans="1:8" x14ac:dyDescent="0.3">
      <c r="A626" s="44"/>
      <c r="F626" s="39"/>
      <c r="G626" s="39"/>
      <c r="H626" s="39"/>
    </row>
    <row r="627" spans="1:8" x14ac:dyDescent="0.3">
      <c r="A627" s="44"/>
      <c r="F627" s="39"/>
      <c r="G627" s="39"/>
      <c r="H627" s="39"/>
    </row>
    <row r="628" spans="1:8" x14ac:dyDescent="0.3">
      <c r="A628" s="44"/>
      <c r="F628" s="39"/>
      <c r="G628" s="39"/>
      <c r="H628" s="39"/>
    </row>
    <row r="629" spans="1:8" x14ac:dyDescent="0.3">
      <c r="A629" s="44"/>
      <c r="F629" s="39"/>
      <c r="G629" s="39"/>
      <c r="H629" s="39"/>
    </row>
    <row r="630" spans="1:8" x14ac:dyDescent="0.3">
      <c r="A630" s="44"/>
      <c r="F630" s="39"/>
      <c r="G630" s="39"/>
      <c r="H630" s="39"/>
    </row>
    <row r="631" spans="1:8" x14ac:dyDescent="0.3">
      <c r="A631" s="44"/>
      <c r="F631" s="39"/>
      <c r="G631" s="39"/>
      <c r="H631" s="39"/>
    </row>
    <row r="632" spans="1:8" x14ac:dyDescent="0.3">
      <c r="A632" s="44"/>
      <c r="F632" s="39"/>
      <c r="G632" s="39"/>
      <c r="H632" s="39"/>
    </row>
    <row r="633" spans="1:8" x14ac:dyDescent="0.3">
      <c r="A633" s="44"/>
      <c r="F633" s="39"/>
      <c r="G633" s="39"/>
      <c r="H633" s="39"/>
    </row>
    <row r="634" spans="1:8" x14ac:dyDescent="0.3">
      <c r="A634" s="44"/>
      <c r="F634" s="39"/>
      <c r="G634" s="39"/>
      <c r="H634" s="39"/>
    </row>
    <row r="635" spans="1:8" x14ac:dyDescent="0.3">
      <c r="A635" s="44"/>
      <c r="F635" s="39"/>
      <c r="G635" s="39"/>
      <c r="H635" s="39"/>
    </row>
    <row r="636" spans="1:8" x14ac:dyDescent="0.3">
      <c r="A636" s="44"/>
      <c r="F636" s="39"/>
      <c r="G636" s="39"/>
      <c r="H636" s="39"/>
    </row>
    <row r="637" spans="1:8" x14ac:dyDescent="0.3">
      <c r="A637" s="44"/>
      <c r="F637" s="39"/>
      <c r="G637" s="39"/>
      <c r="H637" s="39"/>
    </row>
    <row r="638" spans="1:8" x14ac:dyDescent="0.3">
      <c r="A638" s="44"/>
      <c r="F638" s="39"/>
      <c r="G638" s="39"/>
      <c r="H638" s="39"/>
    </row>
    <row r="639" spans="1:8" x14ac:dyDescent="0.3">
      <c r="A639" s="44"/>
      <c r="F639" s="39"/>
      <c r="G639" s="39"/>
      <c r="H639" s="39"/>
    </row>
    <row r="640" spans="1:8" x14ac:dyDescent="0.3">
      <c r="A640" s="44"/>
      <c r="F640" s="39"/>
      <c r="G640" s="39"/>
      <c r="H640" s="39"/>
    </row>
    <row r="641" spans="1:8" x14ac:dyDescent="0.3">
      <c r="A641" s="44"/>
      <c r="F641" s="39"/>
      <c r="G641" s="39"/>
      <c r="H641" s="39"/>
    </row>
    <row r="642" spans="1:8" x14ac:dyDescent="0.3">
      <c r="A642" s="44"/>
      <c r="F642" s="39"/>
      <c r="G642" s="39"/>
      <c r="H642" s="39"/>
    </row>
    <row r="643" spans="1:8" x14ac:dyDescent="0.3">
      <c r="A643" s="44"/>
      <c r="F643" s="39"/>
      <c r="G643" s="39"/>
      <c r="H643" s="39"/>
    </row>
    <row r="644" spans="1:8" x14ac:dyDescent="0.3">
      <c r="A644" s="44"/>
      <c r="F644" s="39"/>
      <c r="G644" s="39"/>
      <c r="H644" s="39"/>
    </row>
    <row r="645" spans="1:8" x14ac:dyDescent="0.3">
      <c r="A645" s="44"/>
      <c r="F645" s="39"/>
      <c r="G645" s="39"/>
      <c r="H645" s="39"/>
    </row>
    <row r="646" spans="1:8" x14ac:dyDescent="0.3">
      <c r="A646" s="44"/>
      <c r="F646" s="39"/>
      <c r="G646" s="39"/>
      <c r="H646" s="39"/>
    </row>
    <row r="647" spans="1:8" x14ac:dyDescent="0.3">
      <c r="A647" s="44"/>
      <c r="F647" s="39"/>
      <c r="G647" s="39"/>
      <c r="H647" s="39"/>
    </row>
    <row r="648" spans="1:8" x14ac:dyDescent="0.3">
      <c r="A648" s="44"/>
      <c r="F648" s="39"/>
      <c r="G648" s="39"/>
      <c r="H648" s="39"/>
    </row>
    <row r="649" spans="1:8" x14ac:dyDescent="0.3">
      <c r="A649" s="44"/>
      <c r="F649" s="39"/>
      <c r="G649" s="39"/>
      <c r="H649" s="39"/>
    </row>
    <row r="650" spans="1:8" x14ac:dyDescent="0.3">
      <c r="A650" s="44"/>
      <c r="F650" s="39"/>
      <c r="G650" s="39"/>
      <c r="H650" s="39"/>
    </row>
    <row r="651" spans="1:8" x14ac:dyDescent="0.3">
      <c r="A651" s="44"/>
      <c r="F651" s="39"/>
      <c r="G651" s="39"/>
      <c r="H651" s="39"/>
    </row>
    <row r="652" spans="1:8" x14ac:dyDescent="0.3">
      <c r="A652" s="44"/>
      <c r="F652" s="39"/>
      <c r="G652" s="39"/>
      <c r="H652" s="39"/>
    </row>
    <row r="653" spans="1:8" x14ac:dyDescent="0.3">
      <c r="A653" s="44"/>
      <c r="F653" s="39"/>
      <c r="G653" s="39"/>
      <c r="H653" s="39"/>
    </row>
    <row r="654" spans="1:8" x14ac:dyDescent="0.3">
      <c r="A654" s="44"/>
      <c r="F654" s="39"/>
      <c r="G654" s="39"/>
      <c r="H654" s="39"/>
    </row>
    <row r="655" spans="1:8" x14ac:dyDescent="0.3">
      <c r="A655" s="44"/>
      <c r="F655" s="39"/>
      <c r="G655" s="39"/>
      <c r="H655" s="39"/>
    </row>
    <row r="656" spans="1:8" x14ac:dyDescent="0.3">
      <c r="A656" s="44"/>
      <c r="F656" s="39"/>
      <c r="G656" s="39"/>
      <c r="H656" s="39"/>
    </row>
    <row r="657" spans="1:8" x14ac:dyDescent="0.3">
      <c r="A657" s="44"/>
      <c r="F657" s="39"/>
      <c r="G657" s="39"/>
      <c r="H657" s="39"/>
    </row>
    <row r="658" spans="1:8" x14ac:dyDescent="0.3">
      <c r="A658" s="44"/>
      <c r="F658" s="39"/>
      <c r="G658" s="39"/>
      <c r="H658" s="39"/>
    </row>
    <row r="659" spans="1:8" x14ac:dyDescent="0.3">
      <c r="A659" s="44"/>
      <c r="F659" s="39"/>
      <c r="G659" s="39"/>
      <c r="H659" s="39"/>
    </row>
    <row r="660" spans="1:8" x14ac:dyDescent="0.3">
      <c r="A660" s="44"/>
      <c r="F660" s="39"/>
      <c r="G660" s="39"/>
      <c r="H660" s="39"/>
    </row>
    <row r="661" spans="1:8" x14ac:dyDescent="0.3">
      <c r="A661" s="44"/>
      <c r="F661" s="39"/>
      <c r="G661" s="39"/>
      <c r="H661" s="39"/>
    </row>
    <row r="662" spans="1:8" x14ac:dyDescent="0.3">
      <c r="A662" s="44"/>
      <c r="F662" s="39"/>
      <c r="G662" s="39"/>
      <c r="H662" s="39"/>
    </row>
    <row r="663" spans="1:8" x14ac:dyDescent="0.3">
      <c r="A663" s="44"/>
      <c r="F663" s="39"/>
      <c r="G663" s="39"/>
      <c r="H663" s="39"/>
    </row>
    <row r="664" spans="1:8" x14ac:dyDescent="0.3">
      <c r="A664" s="44"/>
      <c r="F664" s="39"/>
      <c r="G664" s="39"/>
      <c r="H664" s="39"/>
    </row>
    <row r="665" spans="1:8" x14ac:dyDescent="0.3">
      <c r="A665" s="44"/>
      <c r="F665" s="39"/>
      <c r="G665" s="39"/>
      <c r="H665" s="39"/>
    </row>
    <row r="666" spans="1:8" x14ac:dyDescent="0.3">
      <c r="A666" s="44"/>
      <c r="F666" s="39"/>
      <c r="G666" s="39"/>
      <c r="H666" s="39"/>
    </row>
    <row r="667" spans="1:8" x14ac:dyDescent="0.3">
      <c r="A667" s="44"/>
      <c r="F667" s="39"/>
      <c r="G667" s="39"/>
      <c r="H667" s="39"/>
    </row>
    <row r="668" spans="1:8" x14ac:dyDescent="0.3">
      <c r="A668" s="44"/>
      <c r="F668" s="39"/>
      <c r="G668" s="39"/>
      <c r="H668" s="39"/>
    </row>
    <row r="669" spans="1:8" x14ac:dyDescent="0.3">
      <c r="A669" s="44"/>
      <c r="F669" s="39"/>
      <c r="G669" s="39"/>
      <c r="H669" s="39"/>
    </row>
    <row r="670" spans="1:8" x14ac:dyDescent="0.3">
      <c r="A670" s="44"/>
      <c r="F670" s="39"/>
      <c r="G670" s="39"/>
      <c r="H670" s="39"/>
    </row>
    <row r="671" spans="1:8" x14ac:dyDescent="0.3">
      <c r="A671" s="44"/>
      <c r="F671" s="39"/>
      <c r="G671" s="39"/>
      <c r="H671" s="39"/>
    </row>
    <row r="672" spans="1:8" x14ac:dyDescent="0.3">
      <c r="A672" s="44"/>
      <c r="F672" s="39"/>
      <c r="G672" s="39"/>
      <c r="H672" s="39"/>
    </row>
    <row r="673" spans="1:8" x14ac:dyDescent="0.3">
      <c r="A673" s="44"/>
      <c r="F673" s="39"/>
      <c r="G673" s="39"/>
      <c r="H673" s="39"/>
    </row>
    <row r="674" spans="1:8" x14ac:dyDescent="0.3">
      <c r="A674" s="44"/>
      <c r="F674" s="39"/>
      <c r="G674" s="39"/>
      <c r="H674" s="39"/>
    </row>
    <row r="675" spans="1:8" x14ac:dyDescent="0.3">
      <c r="A675" s="44"/>
      <c r="F675" s="39"/>
      <c r="G675" s="39"/>
      <c r="H675" s="39"/>
    </row>
    <row r="676" spans="1:8" x14ac:dyDescent="0.3">
      <c r="A676" s="44"/>
      <c r="F676" s="39"/>
      <c r="G676" s="39"/>
      <c r="H676" s="39"/>
    </row>
    <row r="677" spans="1:8" x14ac:dyDescent="0.3">
      <c r="A677" s="44"/>
      <c r="F677" s="39"/>
      <c r="G677" s="39"/>
      <c r="H677" s="39"/>
    </row>
    <row r="678" spans="1:8" x14ac:dyDescent="0.3">
      <c r="A678" s="44"/>
      <c r="F678" s="39"/>
      <c r="G678" s="39"/>
      <c r="H678" s="39"/>
    </row>
    <row r="679" spans="1:8" x14ac:dyDescent="0.3">
      <c r="A679" s="44"/>
      <c r="F679" s="39"/>
      <c r="G679" s="39"/>
      <c r="H679" s="39"/>
    </row>
    <row r="680" spans="1:8" x14ac:dyDescent="0.3">
      <c r="A680" s="44"/>
      <c r="F680" s="39"/>
      <c r="G680" s="39"/>
      <c r="H680" s="39"/>
    </row>
    <row r="681" spans="1:8" x14ac:dyDescent="0.3">
      <c r="A681" s="44"/>
      <c r="F681" s="39"/>
      <c r="G681" s="39"/>
      <c r="H681" s="39"/>
    </row>
    <row r="682" spans="1:8" x14ac:dyDescent="0.3">
      <c r="A682" s="44"/>
      <c r="F682" s="39"/>
      <c r="G682" s="39"/>
      <c r="H682" s="39"/>
    </row>
    <row r="683" spans="1:8" x14ac:dyDescent="0.3">
      <c r="A683" s="44"/>
      <c r="F683" s="39"/>
      <c r="G683" s="39"/>
      <c r="H683" s="39"/>
    </row>
    <row r="684" spans="1:8" x14ac:dyDescent="0.3">
      <c r="A684" s="44"/>
      <c r="F684" s="39"/>
      <c r="G684" s="39"/>
      <c r="H684" s="39"/>
    </row>
    <row r="685" spans="1:8" x14ac:dyDescent="0.3">
      <c r="A685" s="44"/>
      <c r="F685" s="39"/>
      <c r="G685" s="39"/>
      <c r="H685" s="39"/>
    </row>
    <row r="686" spans="1:8" x14ac:dyDescent="0.3">
      <c r="A686" s="44"/>
      <c r="F686" s="39"/>
      <c r="G686" s="39"/>
      <c r="H686" s="39"/>
    </row>
    <row r="687" spans="1:8" x14ac:dyDescent="0.3">
      <c r="A687" s="44"/>
      <c r="F687" s="39"/>
      <c r="G687" s="39"/>
      <c r="H687" s="39"/>
    </row>
    <row r="688" spans="1:8" x14ac:dyDescent="0.3">
      <c r="A688" s="44"/>
      <c r="F688" s="39"/>
      <c r="G688" s="39"/>
      <c r="H688" s="39"/>
    </row>
    <row r="689" spans="1:8" x14ac:dyDescent="0.3">
      <c r="A689" s="44"/>
      <c r="F689" s="39"/>
      <c r="G689" s="39"/>
      <c r="H689" s="39"/>
    </row>
    <row r="690" spans="1:8" x14ac:dyDescent="0.3">
      <c r="A690" s="44"/>
      <c r="F690" s="39"/>
      <c r="G690" s="39"/>
      <c r="H690" s="39"/>
    </row>
    <row r="691" spans="1:8" x14ac:dyDescent="0.3">
      <c r="A691" s="44"/>
      <c r="F691" s="39"/>
      <c r="G691" s="39"/>
      <c r="H691" s="39"/>
    </row>
    <row r="692" spans="1:8" x14ac:dyDescent="0.3">
      <c r="A692" s="44"/>
      <c r="F692" s="39"/>
      <c r="G692" s="39"/>
      <c r="H692" s="39"/>
    </row>
    <row r="693" spans="1:8" x14ac:dyDescent="0.3">
      <c r="A693" s="44"/>
      <c r="F693" s="39"/>
      <c r="G693" s="39"/>
      <c r="H693" s="39"/>
    </row>
    <row r="694" spans="1:8" x14ac:dyDescent="0.3">
      <c r="A694" s="44"/>
      <c r="F694" s="39"/>
      <c r="G694" s="39"/>
      <c r="H694" s="39"/>
    </row>
    <row r="695" spans="1:8" x14ac:dyDescent="0.3">
      <c r="A695" s="44"/>
      <c r="F695" s="39"/>
      <c r="G695" s="39"/>
      <c r="H695" s="39"/>
    </row>
    <row r="696" spans="1:8" x14ac:dyDescent="0.3">
      <c r="A696" s="44"/>
      <c r="F696" s="39"/>
      <c r="G696" s="39"/>
      <c r="H696" s="39"/>
    </row>
    <row r="697" spans="1:8" x14ac:dyDescent="0.3">
      <c r="A697" s="44"/>
      <c r="F697" s="39"/>
      <c r="G697" s="39"/>
      <c r="H697" s="39"/>
    </row>
    <row r="698" spans="1:8" x14ac:dyDescent="0.3">
      <c r="A698" s="44"/>
      <c r="F698" s="39"/>
      <c r="G698" s="39"/>
      <c r="H698" s="39"/>
    </row>
    <row r="699" spans="1:8" x14ac:dyDescent="0.3">
      <c r="A699" s="44"/>
      <c r="F699" s="39"/>
      <c r="G699" s="39"/>
      <c r="H699" s="39"/>
    </row>
    <row r="700" spans="1:8" x14ac:dyDescent="0.3">
      <c r="A700" s="44"/>
      <c r="F700" s="39"/>
      <c r="G700" s="39"/>
      <c r="H700" s="39"/>
    </row>
    <row r="701" spans="1:8" x14ac:dyDescent="0.3">
      <c r="A701" s="44"/>
      <c r="F701" s="39"/>
      <c r="G701" s="39"/>
      <c r="H701" s="39"/>
    </row>
    <row r="702" spans="1:8" x14ac:dyDescent="0.3">
      <c r="A702" s="44"/>
      <c r="F702" s="39"/>
      <c r="G702" s="39"/>
      <c r="H702" s="39"/>
    </row>
    <row r="703" spans="1:8" x14ac:dyDescent="0.3">
      <c r="A703" s="44"/>
      <c r="F703" s="39"/>
      <c r="G703" s="39"/>
      <c r="H703" s="39"/>
    </row>
    <row r="704" spans="1:8" x14ac:dyDescent="0.3">
      <c r="A704" s="44"/>
      <c r="F704" s="39"/>
      <c r="G704" s="39"/>
      <c r="H704" s="39"/>
    </row>
    <row r="705" spans="1:8" x14ac:dyDescent="0.3">
      <c r="A705" s="44"/>
      <c r="F705" s="39"/>
      <c r="G705" s="39"/>
      <c r="H705" s="39"/>
    </row>
    <row r="706" spans="1:8" x14ac:dyDescent="0.3">
      <c r="A706" s="44"/>
      <c r="F706" s="39"/>
      <c r="G706" s="39"/>
      <c r="H706" s="39"/>
    </row>
    <row r="707" spans="1:8" x14ac:dyDescent="0.3">
      <c r="A707" s="44"/>
      <c r="F707" s="39"/>
      <c r="G707" s="39"/>
      <c r="H707" s="39"/>
    </row>
    <row r="708" spans="1:8" x14ac:dyDescent="0.3">
      <c r="A708" s="44"/>
      <c r="F708" s="39"/>
      <c r="G708" s="39"/>
      <c r="H708" s="39"/>
    </row>
    <row r="709" spans="1:8" x14ac:dyDescent="0.3">
      <c r="A709" s="44"/>
      <c r="F709" s="39"/>
      <c r="G709" s="39"/>
      <c r="H709" s="39"/>
    </row>
    <row r="710" spans="1:8" x14ac:dyDescent="0.3">
      <c r="A710" s="44"/>
      <c r="F710" s="39"/>
      <c r="G710" s="39"/>
      <c r="H710" s="39"/>
    </row>
    <row r="711" spans="1:8" x14ac:dyDescent="0.3">
      <c r="A711" s="44"/>
      <c r="F711" s="39"/>
      <c r="G711" s="39"/>
      <c r="H711" s="39"/>
    </row>
    <row r="712" spans="1:8" x14ac:dyDescent="0.3">
      <c r="A712" s="44"/>
      <c r="F712" s="39"/>
      <c r="G712" s="39"/>
      <c r="H712" s="39"/>
    </row>
    <row r="713" spans="1:8" x14ac:dyDescent="0.3">
      <c r="A713" s="44"/>
      <c r="F713" s="39"/>
      <c r="G713" s="39"/>
      <c r="H713" s="39"/>
    </row>
    <row r="714" spans="1:8" x14ac:dyDescent="0.3">
      <c r="A714" s="44"/>
      <c r="F714" s="39"/>
      <c r="G714" s="39"/>
      <c r="H714" s="39"/>
    </row>
    <row r="715" spans="1:8" x14ac:dyDescent="0.3">
      <c r="A715" s="44"/>
      <c r="F715" s="39"/>
      <c r="G715" s="39"/>
      <c r="H715" s="39"/>
    </row>
    <row r="716" spans="1:8" x14ac:dyDescent="0.3">
      <c r="A716" s="44"/>
      <c r="F716" s="39"/>
      <c r="G716" s="39"/>
      <c r="H716" s="39"/>
    </row>
    <row r="717" spans="1:8" x14ac:dyDescent="0.3">
      <c r="A717" s="44"/>
      <c r="F717" s="39"/>
      <c r="G717" s="39"/>
      <c r="H717" s="39"/>
    </row>
    <row r="718" spans="1:8" x14ac:dyDescent="0.3">
      <c r="A718" s="44"/>
      <c r="F718" s="39"/>
      <c r="G718" s="39"/>
      <c r="H718" s="39"/>
    </row>
    <row r="719" spans="1:8" x14ac:dyDescent="0.3">
      <c r="A719" s="44"/>
      <c r="F719" s="39"/>
      <c r="G719" s="39"/>
      <c r="H719" s="39"/>
    </row>
    <row r="720" spans="1:8" x14ac:dyDescent="0.3">
      <c r="A720" s="44"/>
      <c r="F720" s="39"/>
      <c r="G720" s="39"/>
      <c r="H720" s="39"/>
    </row>
    <row r="721" spans="1:8" x14ac:dyDescent="0.3">
      <c r="A721" s="44"/>
      <c r="F721" s="39"/>
      <c r="G721" s="39"/>
      <c r="H721" s="39"/>
    </row>
    <row r="722" spans="1:8" x14ac:dyDescent="0.3">
      <c r="A722" s="44"/>
      <c r="F722" s="39"/>
      <c r="G722" s="39"/>
      <c r="H722" s="39"/>
    </row>
    <row r="723" spans="1:8" x14ac:dyDescent="0.3">
      <c r="A723" s="44"/>
      <c r="F723" s="39"/>
      <c r="G723" s="39"/>
      <c r="H723" s="39"/>
    </row>
    <row r="724" spans="1:8" x14ac:dyDescent="0.3">
      <c r="A724" s="44"/>
      <c r="F724" s="39"/>
      <c r="G724" s="39"/>
      <c r="H724" s="39"/>
    </row>
    <row r="725" spans="1:8" x14ac:dyDescent="0.3">
      <c r="A725" s="44"/>
      <c r="F725" s="39"/>
      <c r="G725" s="39"/>
      <c r="H725" s="39"/>
    </row>
    <row r="726" spans="1:8" x14ac:dyDescent="0.3">
      <c r="A726" s="44"/>
      <c r="F726" s="39"/>
      <c r="G726" s="39"/>
      <c r="H726" s="39"/>
    </row>
    <row r="727" spans="1:8" x14ac:dyDescent="0.3">
      <c r="A727" s="44"/>
      <c r="F727" s="39"/>
      <c r="G727" s="39"/>
      <c r="H727" s="39"/>
    </row>
    <row r="728" spans="1:8" x14ac:dyDescent="0.3">
      <c r="A728" s="44"/>
      <c r="F728" s="39"/>
      <c r="G728" s="39"/>
      <c r="H728" s="39"/>
    </row>
    <row r="729" spans="1:8" x14ac:dyDescent="0.3">
      <c r="A729" s="44"/>
      <c r="F729" s="39"/>
      <c r="G729" s="39"/>
      <c r="H729" s="39"/>
    </row>
    <row r="730" spans="1:8" x14ac:dyDescent="0.3">
      <c r="A730" s="44"/>
      <c r="F730" s="39"/>
      <c r="G730" s="39"/>
      <c r="H730" s="39"/>
    </row>
    <row r="731" spans="1:8" x14ac:dyDescent="0.3">
      <c r="A731" s="44"/>
      <c r="F731" s="39"/>
      <c r="G731" s="39"/>
      <c r="H731" s="39"/>
    </row>
    <row r="732" spans="1:8" x14ac:dyDescent="0.3">
      <c r="A732" s="44"/>
      <c r="F732" s="39"/>
      <c r="G732" s="39"/>
      <c r="H732" s="39"/>
    </row>
    <row r="733" spans="1:8" x14ac:dyDescent="0.3">
      <c r="A733" s="44"/>
      <c r="F733" s="39"/>
      <c r="G733" s="39"/>
      <c r="H733" s="39"/>
    </row>
    <row r="734" spans="1:8" x14ac:dyDescent="0.3">
      <c r="A734" s="44"/>
      <c r="F734" s="39"/>
      <c r="G734" s="39"/>
      <c r="H734" s="39"/>
    </row>
    <row r="735" spans="1:8" x14ac:dyDescent="0.3">
      <c r="A735" s="44"/>
      <c r="F735" s="39"/>
      <c r="G735" s="39"/>
      <c r="H735" s="39"/>
    </row>
    <row r="736" spans="1:8" x14ac:dyDescent="0.3">
      <c r="A736" s="44"/>
      <c r="F736" s="39"/>
      <c r="G736" s="39"/>
      <c r="H736" s="39"/>
    </row>
    <row r="737" spans="1:8" x14ac:dyDescent="0.3">
      <c r="A737" s="44"/>
      <c r="F737" s="39"/>
      <c r="G737" s="39"/>
      <c r="H737" s="39"/>
    </row>
    <row r="738" spans="1:8" x14ac:dyDescent="0.3">
      <c r="A738" s="44"/>
      <c r="F738" s="39"/>
      <c r="G738" s="39"/>
      <c r="H738" s="39"/>
    </row>
    <row r="739" spans="1:8" x14ac:dyDescent="0.3">
      <c r="A739" s="44"/>
      <c r="F739" s="39"/>
      <c r="G739" s="39"/>
      <c r="H739" s="39"/>
    </row>
    <row r="740" spans="1:8" x14ac:dyDescent="0.3">
      <c r="A740" s="44"/>
      <c r="F740" s="39"/>
      <c r="G740" s="39"/>
      <c r="H740" s="39"/>
    </row>
    <row r="741" spans="1:8" x14ac:dyDescent="0.3">
      <c r="A741" s="44"/>
      <c r="F741" s="39"/>
      <c r="G741" s="39"/>
      <c r="H741" s="39"/>
    </row>
    <row r="742" spans="1:8" x14ac:dyDescent="0.3">
      <c r="A742" s="44"/>
      <c r="F742" s="39"/>
      <c r="G742" s="39"/>
      <c r="H742" s="39"/>
    </row>
    <row r="743" spans="1:8" x14ac:dyDescent="0.3">
      <c r="A743" s="44"/>
      <c r="F743" s="39"/>
      <c r="G743" s="39"/>
      <c r="H743" s="39"/>
    </row>
    <row r="744" spans="1:8" x14ac:dyDescent="0.3">
      <c r="A744" s="44"/>
      <c r="F744" s="39"/>
      <c r="G744" s="39"/>
      <c r="H744" s="39"/>
    </row>
    <row r="745" spans="1:8" x14ac:dyDescent="0.3">
      <c r="A745" s="44"/>
      <c r="F745" s="39"/>
      <c r="G745" s="39"/>
      <c r="H745" s="39"/>
    </row>
    <row r="746" spans="1:8" x14ac:dyDescent="0.3">
      <c r="A746" s="44"/>
      <c r="F746" s="39"/>
      <c r="G746" s="39"/>
      <c r="H746" s="39"/>
    </row>
    <row r="747" spans="1:8" x14ac:dyDescent="0.3">
      <c r="A747" s="44"/>
      <c r="F747" s="39"/>
      <c r="G747" s="39"/>
      <c r="H747" s="39"/>
    </row>
    <row r="748" spans="1:8" x14ac:dyDescent="0.3">
      <c r="A748" s="44"/>
      <c r="F748" s="39"/>
      <c r="G748" s="39"/>
      <c r="H748" s="39"/>
    </row>
    <row r="749" spans="1:8" x14ac:dyDescent="0.3">
      <c r="A749" s="44"/>
      <c r="F749" s="39"/>
      <c r="G749" s="39"/>
      <c r="H749" s="39"/>
    </row>
    <row r="750" spans="1:8" x14ac:dyDescent="0.3">
      <c r="A750" s="44"/>
      <c r="F750" s="39"/>
      <c r="G750" s="39"/>
      <c r="H750" s="39"/>
    </row>
    <row r="751" spans="1:8" x14ac:dyDescent="0.3">
      <c r="A751" s="44"/>
      <c r="F751" s="39"/>
      <c r="G751" s="39"/>
      <c r="H751" s="39"/>
    </row>
    <row r="752" spans="1:8" x14ac:dyDescent="0.3">
      <c r="A752" s="44"/>
      <c r="F752" s="39"/>
      <c r="G752" s="39"/>
      <c r="H752" s="39"/>
    </row>
    <row r="753" spans="1:8" x14ac:dyDescent="0.3">
      <c r="A753" s="44"/>
      <c r="F753" s="39"/>
      <c r="G753" s="39"/>
      <c r="H753" s="39"/>
    </row>
    <row r="754" spans="1:8" x14ac:dyDescent="0.3">
      <c r="A754" s="44"/>
      <c r="F754" s="39"/>
      <c r="G754" s="39"/>
      <c r="H754" s="39"/>
    </row>
    <row r="755" spans="1:8" x14ac:dyDescent="0.3">
      <c r="A755" s="44"/>
      <c r="F755" s="39"/>
      <c r="G755" s="39"/>
      <c r="H755" s="39"/>
    </row>
    <row r="756" spans="1:8" x14ac:dyDescent="0.3">
      <c r="A756" s="44"/>
      <c r="F756" s="39"/>
      <c r="G756" s="39"/>
      <c r="H756" s="39"/>
    </row>
    <row r="757" spans="1:8" x14ac:dyDescent="0.3">
      <c r="A757" s="44"/>
      <c r="F757" s="39"/>
      <c r="G757" s="39"/>
      <c r="H757" s="39"/>
    </row>
    <row r="758" spans="1:8" x14ac:dyDescent="0.3">
      <c r="A758" s="44"/>
      <c r="F758" s="39"/>
      <c r="G758" s="39"/>
      <c r="H758" s="39"/>
    </row>
    <row r="759" spans="1:8" x14ac:dyDescent="0.3">
      <c r="A759" s="44"/>
      <c r="F759" s="39"/>
      <c r="G759" s="39"/>
      <c r="H759" s="39"/>
    </row>
    <row r="760" spans="1:8" x14ac:dyDescent="0.3">
      <c r="A760" s="44"/>
      <c r="F760" s="39"/>
      <c r="G760" s="39"/>
      <c r="H760" s="39"/>
    </row>
    <row r="761" spans="1:8" x14ac:dyDescent="0.3">
      <c r="A761" s="44"/>
      <c r="F761" s="39"/>
      <c r="G761" s="39"/>
      <c r="H761" s="39"/>
    </row>
    <row r="762" spans="1:8" x14ac:dyDescent="0.3">
      <c r="A762" s="44"/>
      <c r="F762" s="39"/>
      <c r="G762" s="39"/>
      <c r="H762" s="39"/>
    </row>
    <row r="763" spans="1:8" x14ac:dyDescent="0.3">
      <c r="A763" s="44"/>
      <c r="F763" s="39"/>
      <c r="G763" s="39"/>
      <c r="H763" s="39"/>
    </row>
    <row r="764" spans="1:8" x14ac:dyDescent="0.3">
      <c r="A764" s="44"/>
      <c r="F764" s="39"/>
      <c r="G764" s="39"/>
      <c r="H764" s="39"/>
    </row>
    <row r="765" spans="1:8" x14ac:dyDescent="0.3">
      <c r="A765" s="44"/>
      <c r="F765" s="39"/>
      <c r="G765" s="39"/>
      <c r="H765" s="39"/>
    </row>
    <row r="766" spans="1:8" x14ac:dyDescent="0.3">
      <c r="A766" s="44"/>
      <c r="F766" s="39"/>
      <c r="G766" s="39"/>
      <c r="H766" s="39"/>
    </row>
    <row r="767" spans="1:8" x14ac:dyDescent="0.3">
      <c r="A767" s="44"/>
      <c r="F767" s="39"/>
      <c r="G767" s="39"/>
      <c r="H767" s="39"/>
    </row>
    <row r="768" spans="1:8" x14ac:dyDescent="0.3">
      <c r="A768" s="44"/>
      <c r="F768" s="39"/>
      <c r="G768" s="39"/>
      <c r="H768" s="39"/>
    </row>
    <row r="769" spans="1:8" x14ac:dyDescent="0.3">
      <c r="A769" s="44"/>
      <c r="F769" s="39"/>
      <c r="G769" s="39"/>
      <c r="H769" s="39"/>
    </row>
    <row r="770" spans="1:8" x14ac:dyDescent="0.3">
      <c r="A770" s="44"/>
      <c r="F770" s="39"/>
      <c r="G770" s="39"/>
      <c r="H770" s="39"/>
    </row>
    <row r="771" spans="1:8" x14ac:dyDescent="0.3">
      <c r="A771" s="44"/>
      <c r="F771" s="39"/>
      <c r="G771" s="39"/>
      <c r="H771" s="39"/>
    </row>
    <row r="772" spans="1:8" x14ac:dyDescent="0.3">
      <c r="A772" s="44"/>
      <c r="F772" s="39"/>
      <c r="G772" s="39"/>
      <c r="H772" s="39"/>
    </row>
    <row r="773" spans="1:8" x14ac:dyDescent="0.3">
      <c r="A773" s="44"/>
      <c r="F773" s="39"/>
      <c r="G773" s="39"/>
      <c r="H773" s="39"/>
    </row>
    <row r="774" spans="1:8" x14ac:dyDescent="0.3">
      <c r="A774" s="44"/>
      <c r="F774" s="39"/>
      <c r="G774" s="39"/>
      <c r="H774" s="39"/>
    </row>
    <row r="775" spans="1:8" x14ac:dyDescent="0.3">
      <c r="A775" s="44"/>
      <c r="F775" s="39"/>
      <c r="G775" s="39"/>
      <c r="H775" s="39"/>
    </row>
    <row r="776" spans="1:8" x14ac:dyDescent="0.3">
      <c r="A776" s="44"/>
      <c r="F776" s="39"/>
      <c r="G776" s="39"/>
      <c r="H776" s="39"/>
    </row>
    <row r="777" spans="1:8" x14ac:dyDescent="0.3">
      <c r="A777" s="44"/>
      <c r="F777" s="39"/>
      <c r="G777" s="39"/>
      <c r="H777" s="39"/>
    </row>
    <row r="778" spans="1:8" x14ac:dyDescent="0.3">
      <c r="A778" s="44"/>
      <c r="F778" s="39"/>
      <c r="G778" s="39"/>
      <c r="H778" s="39"/>
    </row>
    <row r="779" spans="1:8" x14ac:dyDescent="0.3">
      <c r="A779" s="44"/>
      <c r="F779" s="39"/>
      <c r="G779" s="39"/>
      <c r="H779" s="39"/>
    </row>
    <row r="780" spans="1:8" x14ac:dyDescent="0.3">
      <c r="A780" s="44"/>
      <c r="F780" s="39"/>
      <c r="G780" s="39"/>
      <c r="H780" s="39"/>
    </row>
    <row r="781" spans="1:8" x14ac:dyDescent="0.3">
      <c r="A781" s="44"/>
      <c r="F781" s="39"/>
      <c r="G781" s="39"/>
      <c r="H781" s="39"/>
    </row>
    <row r="782" spans="1:8" x14ac:dyDescent="0.3">
      <c r="A782" s="44"/>
      <c r="F782" s="39"/>
      <c r="G782" s="39"/>
      <c r="H782" s="39"/>
    </row>
    <row r="783" spans="1:8" x14ac:dyDescent="0.3">
      <c r="A783" s="44"/>
      <c r="F783" s="39"/>
      <c r="G783" s="39"/>
      <c r="H783" s="39"/>
    </row>
    <row r="784" spans="1:8" x14ac:dyDescent="0.3">
      <c r="A784" s="44"/>
      <c r="F784" s="39"/>
      <c r="G784" s="39"/>
      <c r="H784" s="39"/>
    </row>
    <row r="785" spans="1:8" x14ac:dyDescent="0.3">
      <c r="A785" s="44"/>
      <c r="F785" s="39"/>
      <c r="G785" s="39"/>
      <c r="H785" s="39"/>
    </row>
    <row r="786" spans="1:8" x14ac:dyDescent="0.3">
      <c r="A786" s="44"/>
      <c r="F786" s="39"/>
      <c r="G786" s="39"/>
      <c r="H786" s="39"/>
    </row>
    <row r="787" spans="1:8" x14ac:dyDescent="0.3">
      <c r="A787" s="44"/>
      <c r="F787" s="39"/>
      <c r="G787" s="39"/>
      <c r="H787" s="39"/>
    </row>
    <row r="788" spans="1:8" x14ac:dyDescent="0.3">
      <c r="A788" s="44"/>
      <c r="F788" s="39"/>
      <c r="G788" s="39"/>
      <c r="H788" s="39"/>
    </row>
    <row r="789" spans="1:8" x14ac:dyDescent="0.3">
      <c r="A789" s="44"/>
      <c r="F789" s="39"/>
      <c r="G789" s="39"/>
      <c r="H789" s="39"/>
    </row>
    <row r="790" spans="1:8" x14ac:dyDescent="0.3">
      <c r="A790" s="44"/>
      <c r="F790" s="39"/>
      <c r="G790" s="39"/>
      <c r="H790" s="39"/>
    </row>
    <row r="791" spans="1:8" x14ac:dyDescent="0.3">
      <c r="A791" s="44"/>
      <c r="F791" s="39"/>
      <c r="G791" s="39"/>
      <c r="H791" s="39"/>
    </row>
    <row r="792" spans="1:8" x14ac:dyDescent="0.3">
      <c r="A792" s="44"/>
      <c r="F792" s="39"/>
      <c r="G792" s="39"/>
      <c r="H792" s="39"/>
    </row>
    <row r="793" spans="1:8" x14ac:dyDescent="0.3">
      <c r="A793" s="44"/>
      <c r="F793" s="39"/>
      <c r="G793" s="39"/>
      <c r="H793" s="39"/>
    </row>
    <row r="794" spans="1:8" x14ac:dyDescent="0.3">
      <c r="A794" s="44"/>
      <c r="F794" s="39"/>
      <c r="G794" s="39"/>
      <c r="H794" s="39"/>
    </row>
    <row r="795" spans="1:8" x14ac:dyDescent="0.3">
      <c r="A795" s="44"/>
      <c r="F795" s="39"/>
      <c r="G795" s="39"/>
      <c r="H795" s="39"/>
    </row>
    <row r="796" spans="1:8" x14ac:dyDescent="0.3">
      <c r="A796" s="44"/>
      <c r="F796" s="39"/>
      <c r="G796" s="39"/>
      <c r="H796" s="39"/>
    </row>
    <row r="797" spans="1:8" x14ac:dyDescent="0.3">
      <c r="A797" s="44"/>
      <c r="F797" s="39"/>
      <c r="G797" s="39"/>
      <c r="H797" s="39"/>
    </row>
    <row r="798" spans="1:8" x14ac:dyDescent="0.3">
      <c r="A798" s="44"/>
      <c r="F798" s="39"/>
      <c r="G798" s="39"/>
      <c r="H798" s="39"/>
    </row>
    <row r="799" spans="1:8" x14ac:dyDescent="0.3">
      <c r="A799" s="44"/>
      <c r="F799" s="39"/>
      <c r="G799" s="39"/>
      <c r="H799" s="39"/>
    </row>
    <row r="800" spans="1:8" x14ac:dyDescent="0.3">
      <c r="A800" s="44"/>
      <c r="F800" s="39"/>
      <c r="G800" s="39"/>
      <c r="H800" s="39"/>
    </row>
    <row r="801" spans="1:8" x14ac:dyDescent="0.3">
      <c r="A801" s="44"/>
      <c r="F801" s="39"/>
      <c r="G801" s="39"/>
      <c r="H801" s="39"/>
    </row>
    <row r="802" spans="1:8" x14ac:dyDescent="0.3">
      <c r="A802" s="44"/>
      <c r="F802" s="39"/>
      <c r="G802" s="39"/>
      <c r="H802" s="39"/>
    </row>
    <row r="803" spans="1:8" x14ac:dyDescent="0.3">
      <c r="A803" s="44"/>
      <c r="F803" s="39"/>
      <c r="G803" s="39"/>
      <c r="H803" s="39"/>
    </row>
    <row r="804" spans="1:8" x14ac:dyDescent="0.3">
      <c r="A804" s="44"/>
      <c r="F804" s="39"/>
      <c r="G804" s="39"/>
      <c r="H804" s="39"/>
    </row>
    <row r="805" spans="1:8" x14ac:dyDescent="0.3">
      <c r="A805" s="44"/>
      <c r="F805" s="39"/>
      <c r="G805" s="39"/>
      <c r="H805" s="39"/>
    </row>
    <row r="806" spans="1:8" x14ac:dyDescent="0.3">
      <c r="A806" s="44"/>
      <c r="F806" s="39"/>
      <c r="G806" s="39"/>
      <c r="H806" s="39"/>
    </row>
    <row r="807" spans="1:8" x14ac:dyDescent="0.3">
      <c r="A807" s="44"/>
      <c r="F807" s="39"/>
      <c r="G807" s="39"/>
      <c r="H807" s="39"/>
    </row>
    <row r="808" spans="1:8" x14ac:dyDescent="0.3">
      <c r="A808" s="44"/>
      <c r="F808" s="39"/>
      <c r="G808" s="39"/>
      <c r="H808" s="39"/>
    </row>
    <row r="809" spans="1:8" x14ac:dyDescent="0.3">
      <c r="A809" s="44"/>
      <c r="F809" s="39"/>
      <c r="G809" s="39"/>
      <c r="H809" s="39"/>
    </row>
    <row r="810" spans="1:8" x14ac:dyDescent="0.3">
      <c r="A810" s="44"/>
      <c r="F810" s="39"/>
      <c r="G810" s="39"/>
      <c r="H810" s="39"/>
    </row>
    <row r="811" spans="1:8" x14ac:dyDescent="0.3">
      <c r="A811" s="44"/>
      <c r="F811" s="39"/>
      <c r="G811" s="39"/>
      <c r="H811" s="39"/>
    </row>
    <row r="812" spans="1:8" x14ac:dyDescent="0.3">
      <c r="A812" s="44"/>
      <c r="F812" s="39"/>
      <c r="G812" s="39"/>
      <c r="H812" s="39"/>
    </row>
    <row r="813" spans="1:8" x14ac:dyDescent="0.3">
      <c r="A813" s="44"/>
      <c r="F813" s="39"/>
      <c r="G813" s="39"/>
      <c r="H813" s="39"/>
    </row>
    <row r="814" spans="1:8" x14ac:dyDescent="0.3">
      <c r="A814" s="44"/>
      <c r="F814" s="39"/>
      <c r="G814" s="39"/>
      <c r="H814" s="39"/>
    </row>
    <row r="815" spans="1:8" x14ac:dyDescent="0.3">
      <c r="A815" s="44"/>
      <c r="F815" s="39"/>
      <c r="G815" s="39"/>
      <c r="H815" s="39"/>
    </row>
    <row r="816" spans="1:8" x14ac:dyDescent="0.3">
      <c r="A816" s="44"/>
      <c r="F816" s="39"/>
      <c r="G816" s="39"/>
      <c r="H816" s="39"/>
    </row>
    <row r="817" spans="1:8" x14ac:dyDescent="0.3">
      <c r="A817" s="44"/>
      <c r="F817" s="39"/>
      <c r="G817" s="39"/>
      <c r="H817" s="39"/>
    </row>
    <row r="818" spans="1:8" x14ac:dyDescent="0.3">
      <c r="A818" s="44"/>
      <c r="F818" s="39"/>
      <c r="G818" s="39"/>
      <c r="H818" s="39"/>
    </row>
    <row r="819" spans="1:8" x14ac:dyDescent="0.3">
      <c r="A819" s="44"/>
      <c r="F819" s="39"/>
      <c r="G819" s="39"/>
      <c r="H819" s="39"/>
    </row>
    <row r="820" spans="1:8" x14ac:dyDescent="0.3">
      <c r="A820" s="44"/>
      <c r="F820" s="39"/>
      <c r="G820" s="39"/>
      <c r="H820" s="39"/>
    </row>
    <row r="821" spans="1:8" x14ac:dyDescent="0.3">
      <c r="A821" s="44"/>
      <c r="F821" s="39"/>
      <c r="G821" s="39"/>
      <c r="H821" s="39"/>
    </row>
    <row r="822" spans="1:8" x14ac:dyDescent="0.3">
      <c r="A822" s="44"/>
      <c r="F822" s="39"/>
      <c r="G822" s="39"/>
      <c r="H822" s="39"/>
    </row>
    <row r="823" spans="1:8" x14ac:dyDescent="0.3">
      <c r="A823" s="44"/>
      <c r="F823" s="39"/>
      <c r="G823" s="39"/>
      <c r="H823" s="39"/>
    </row>
    <row r="824" spans="1:8" x14ac:dyDescent="0.3">
      <c r="A824" s="44"/>
      <c r="F824" s="39"/>
      <c r="G824" s="39"/>
      <c r="H824" s="39"/>
    </row>
    <row r="825" spans="1:8" x14ac:dyDescent="0.3">
      <c r="A825" s="44"/>
      <c r="F825" s="39"/>
      <c r="G825" s="39"/>
      <c r="H825" s="39"/>
    </row>
    <row r="826" spans="1:8" x14ac:dyDescent="0.3">
      <c r="A826" s="44"/>
      <c r="F826" s="39"/>
      <c r="G826" s="39"/>
      <c r="H826" s="39"/>
    </row>
    <row r="827" spans="1:8" x14ac:dyDescent="0.3">
      <c r="A827" s="44"/>
      <c r="F827" s="39"/>
      <c r="G827" s="39"/>
      <c r="H827" s="39"/>
    </row>
    <row r="828" spans="1:8" x14ac:dyDescent="0.3">
      <c r="A828" s="44"/>
      <c r="F828" s="39"/>
      <c r="G828" s="39"/>
      <c r="H828" s="39"/>
    </row>
    <row r="829" spans="1:8" x14ac:dyDescent="0.3">
      <c r="A829" s="44"/>
      <c r="F829" s="39"/>
      <c r="G829" s="39"/>
      <c r="H829" s="39"/>
    </row>
    <row r="830" spans="1:8" x14ac:dyDescent="0.3">
      <c r="A830" s="44"/>
      <c r="F830" s="39"/>
      <c r="G830" s="39"/>
      <c r="H830" s="39"/>
    </row>
    <row r="831" spans="1:8" x14ac:dyDescent="0.3">
      <c r="A831" s="44"/>
      <c r="F831" s="39"/>
      <c r="G831" s="39"/>
      <c r="H831" s="39"/>
    </row>
    <row r="832" spans="1:8" x14ac:dyDescent="0.3">
      <c r="A832" s="44"/>
      <c r="F832" s="39"/>
      <c r="G832" s="39"/>
      <c r="H832" s="39"/>
    </row>
    <row r="833" spans="1:8" x14ac:dyDescent="0.3">
      <c r="A833" s="44"/>
      <c r="F833" s="39"/>
      <c r="G833" s="39"/>
      <c r="H833" s="39"/>
    </row>
    <row r="834" spans="1:8" x14ac:dyDescent="0.3">
      <c r="A834" s="44"/>
      <c r="F834" s="39"/>
      <c r="G834" s="39"/>
      <c r="H834" s="39"/>
    </row>
    <row r="835" spans="1:8" x14ac:dyDescent="0.3">
      <c r="A835" s="44"/>
      <c r="F835" s="39"/>
      <c r="G835" s="39"/>
      <c r="H835" s="39"/>
    </row>
    <row r="836" spans="1:8" x14ac:dyDescent="0.3">
      <c r="A836" s="44"/>
      <c r="F836" s="39"/>
      <c r="G836" s="39"/>
      <c r="H836" s="39"/>
    </row>
    <row r="837" spans="1:8" x14ac:dyDescent="0.3">
      <c r="A837" s="44"/>
      <c r="F837" s="39"/>
      <c r="G837" s="39"/>
      <c r="H837" s="39"/>
    </row>
    <row r="838" spans="1:8" x14ac:dyDescent="0.3">
      <c r="A838" s="44"/>
      <c r="F838" s="39"/>
      <c r="G838" s="39"/>
      <c r="H838" s="39"/>
    </row>
    <row r="839" spans="1:8" x14ac:dyDescent="0.3">
      <c r="A839" s="44"/>
      <c r="F839" s="39"/>
      <c r="G839" s="39"/>
      <c r="H839" s="39"/>
    </row>
    <row r="840" spans="1:8" x14ac:dyDescent="0.3">
      <c r="A840" s="44"/>
      <c r="F840" s="39"/>
      <c r="G840" s="39"/>
      <c r="H840" s="39"/>
    </row>
    <row r="841" spans="1:8" x14ac:dyDescent="0.3">
      <c r="A841" s="44"/>
      <c r="F841" s="39"/>
      <c r="G841" s="39"/>
      <c r="H841" s="39"/>
    </row>
    <row r="842" spans="1:8" x14ac:dyDescent="0.3">
      <c r="A842" s="44"/>
      <c r="F842" s="39"/>
      <c r="G842" s="39"/>
      <c r="H842" s="39"/>
    </row>
    <row r="843" spans="1:8" x14ac:dyDescent="0.3">
      <c r="A843" s="44"/>
      <c r="F843" s="39"/>
      <c r="G843" s="39"/>
      <c r="H843" s="39"/>
    </row>
    <row r="844" spans="1:8" x14ac:dyDescent="0.3">
      <c r="A844" s="44"/>
      <c r="F844" s="39"/>
      <c r="G844" s="39"/>
      <c r="H844" s="39"/>
    </row>
    <row r="845" spans="1:8" x14ac:dyDescent="0.3">
      <c r="A845" s="44"/>
      <c r="F845" s="39"/>
      <c r="G845" s="39"/>
      <c r="H845" s="39"/>
    </row>
    <row r="846" spans="1:8" x14ac:dyDescent="0.3">
      <c r="A846" s="44"/>
      <c r="F846" s="39"/>
      <c r="G846" s="39"/>
      <c r="H846" s="39"/>
    </row>
    <row r="847" spans="1:8" x14ac:dyDescent="0.3">
      <c r="A847" s="44"/>
      <c r="F847" s="39"/>
      <c r="G847" s="39"/>
      <c r="H847" s="39"/>
    </row>
    <row r="848" spans="1:8" x14ac:dyDescent="0.3">
      <c r="A848" s="44"/>
      <c r="F848" s="39"/>
      <c r="G848" s="39"/>
      <c r="H848" s="39"/>
    </row>
    <row r="849" spans="1:8" x14ac:dyDescent="0.3">
      <c r="A849" s="44"/>
      <c r="F849" s="39"/>
      <c r="G849" s="39"/>
      <c r="H849" s="39"/>
    </row>
    <row r="850" spans="1:8" x14ac:dyDescent="0.3">
      <c r="A850" s="44"/>
      <c r="F850" s="39"/>
      <c r="G850" s="39"/>
      <c r="H850" s="39"/>
    </row>
    <row r="851" spans="1:8" x14ac:dyDescent="0.3">
      <c r="A851" s="44"/>
      <c r="F851" s="39"/>
      <c r="G851" s="39"/>
      <c r="H851" s="39"/>
    </row>
    <row r="852" spans="1:8" x14ac:dyDescent="0.3">
      <c r="A852" s="44"/>
      <c r="F852" s="39"/>
      <c r="G852" s="39"/>
      <c r="H852" s="39"/>
    </row>
    <row r="853" spans="1:8" x14ac:dyDescent="0.3">
      <c r="A853" s="44"/>
      <c r="F853" s="39"/>
      <c r="G853" s="39"/>
      <c r="H853" s="39"/>
    </row>
    <row r="854" spans="1:8" x14ac:dyDescent="0.3">
      <c r="A854" s="44"/>
      <c r="F854" s="39"/>
      <c r="G854" s="39"/>
      <c r="H854" s="39"/>
    </row>
    <row r="855" spans="1:8" x14ac:dyDescent="0.3">
      <c r="A855" s="44"/>
      <c r="F855" s="39"/>
      <c r="G855" s="39"/>
      <c r="H855" s="39"/>
    </row>
    <row r="856" spans="1:8" x14ac:dyDescent="0.3">
      <c r="A856" s="44"/>
      <c r="F856" s="39"/>
      <c r="G856" s="39"/>
      <c r="H856" s="39"/>
    </row>
    <row r="857" spans="1:8" x14ac:dyDescent="0.3">
      <c r="A857" s="44"/>
      <c r="F857" s="39"/>
      <c r="G857" s="39"/>
      <c r="H857" s="39"/>
    </row>
    <row r="858" spans="1:8" x14ac:dyDescent="0.3">
      <c r="A858" s="44"/>
      <c r="F858" s="39"/>
      <c r="G858" s="39"/>
      <c r="H858" s="39"/>
    </row>
    <row r="859" spans="1:8" x14ac:dyDescent="0.3">
      <c r="A859" s="44"/>
      <c r="F859" s="39"/>
      <c r="G859" s="39"/>
      <c r="H859" s="39"/>
    </row>
    <row r="860" spans="1:8" x14ac:dyDescent="0.3">
      <c r="A860" s="44"/>
      <c r="F860" s="39"/>
      <c r="G860" s="39"/>
      <c r="H860" s="39"/>
    </row>
    <row r="861" spans="1:8" x14ac:dyDescent="0.3">
      <c r="A861" s="44"/>
      <c r="F861" s="39"/>
      <c r="G861" s="39"/>
      <c r="H861" s="39"/>
    </row>
    <row r="862" spans="1:8" x14ac:dyDescent="0.3">
      <c r="A862" s="44"/>
      <c r="F862" s="39"/>
      <c r="G862" s="39"/>
      <c r="H862" s="39"/>
    </row>
    <row r="863" spans="1:8" x14ac:dyDescent="0.3">
      <c r="A863" s="44"/>
      <c r="F863" s="39"/>
      <c r="G863" s="39"/>
      <c r="H863" s="39"/>
    </row>
    <row r="864" spans="1:8" x14ac:dyDescent="0.3">
      <c r="A864" s="44"/>
      <c r="F864" s="39"/>
      <c r="G864" s="39"/>
      <c r="H864" s="39"/>
    </row>
    <row r="865" spans="1:8" x14ac:dyDescent="0.3">
      <c r="A865" s="44"/>
      <c r="F865" s="39"/>
      <c r="G865" s="39"/>
      <c r="H865" s="39"/>
    </row>
    <row r="866" spans="1:8" x14ac:dyDescent="0.3">
      <c r="A866" s="44"/>
      <c r="F866" s="39"/>
      <c r="G866" s="39"/>
      <c r="H866" s="39"/>
    </row>
    <row r="867" spans="1:8" x14ac:dyDescent="0.3">
      <c r="A867" s="44"/>
      <c r="F867" s="39"/>
      <c r="G867" s="39"/>
      <c r="H867" s="39"/>
    </row>
    <row r="868" spans="1:8" x14ac:dyDescent="0.3">
      <c r="A868" s="44"/>
      <c r="F868" s="39"/>
      <c r="G868" s="39"/>
      <c r="H868" s="39"/>
    </row>
    <row r="869" spans="1:8" x14ac:dyDescent="0.3">
      <c r="A869" s="44"/>
      <c r="F869" s="39"/>
      <c r="G869" s="39"/>
      <c r="H869" s="39"/>
    </row>
    <row r="870" spans="1:8" x14ac:dyDescent="0.3">
      <c r="A870" s="44"/>
      <c r="F870" s="39"/>
      <c r="G870" s="39"/>
      <c r="H870" s="39"/>
    </row>
    <row r="871" spans="1:8" x14ac:dyDescent="0.3">
      <c r="A871" s="44"/>
      <c r="F871" s="39"/>
      <c r="G871" s="39"/>
      <c r="H871" s="39"/>
    </row>
    <row r="872" spans="1:8" x14ac:dyDescent="0.3">
      <c r="A872" s="44"/>
      <c r="F872" s="39"/>
      <c r="G872" s="39"/>
      <c r="H872" s="39"/>
    </row>
    <row r="873" spans="1:8" x14ac:dyDescent="0.3">
      <c r="A873" s="44"/>
      <c r="F873" s="39"/>
      <c r="G873" s="39"/>
      <c r="H873" s="39"/>
    </row>
    <row r="874" spans="1:8" x14ac:dyDescent="0.3">
      <c r="A874" s="44"/>
      <c r="F874" s="39"/>
      <c r="G874" s="39"/>
      <c r="H874" s="39"/>
    </row>
    <row r="875" spans="1:8" x14ac:dyDescent="0.3">
      <c r="A875" s="44"/>
      <c r="F875" s="39"/>
      <c r="G875" s="39"/>
      <c r="H875" s="39"/>
    </row>
    <row r="876" spans="1:8" x14ac:dyDescent="0.3">
      <c r="A876" s="44"/>
      <c r="F876" s="39"/>
      <c r="G876" s="39"/>
      <c r="H876" s="39"/>
    </row>
    <row r="877" spans="1:8" x14ac:dyDescent="0.3">
      <c r="A877" s="44"/>
      <c r="F877" s="39"/>
      <c r="G877" s="39"/>
      <c r="H877" s="39"/>
    </row>
    <row r="878" spans="1:8" x14ac:dyDescent="0.3">
      <c r="A878" s="44"/>
      <c r="F878" s="39"/>
      <c r="G878" s="39"/>
      <c r="H878" s="39"/>
    </row>
    <row r="879" spans="1:8" x14ac:dyDescent="0.3">
      <c r="A879" s="44"/>
      <c r="F879" s="39"/>
      <c r="G879" s="39"/>
      <c r="H879" s="39"/>
    </row>
    <row r="880" spans="1:8" x14ac:dyDescent="0.3">
      <c r="A880" s="44"/>
      <c r="F880" s="39"/>
      <c r="G880" s="39"/>
      <c r="H880" s="39"/>
    </row>
    <row r="881" spans="1:8" x14ac:dyDescent="0.3">
      <c r="A881" s="44"/>
      <c r="F881" s="39"/>
      <c r="G881" s="39"/>
      <c r="H881" s="39"/>
    </row>
    <row r="882" spans="1:8" x14ac:dyDescent="0.3">
      <c r="A882" s="44"/>
      <c r="F882" s="39"/>
      <c r="G882" s="39"/>
      <c r="H882" s="39"/>
    </row>
    <row r="883" spans="1:8" x14ac:dyDescent="0.3">
      <c r="A883" s="44"/>
      <c r="F883" s="39"/>
      <c r="G883" s="39"/>
      <c r="H883" s="39"/>
    </row>
    <row r="884" spans="1:8" x14ac:dyDescent="0.3">
      <c r="A884" s="44"/>
      <c r="F884" s="39"/>
      <c r="G884" s="39"/>
      <c r="H884" s="39"/>
    </row>
    <row r="885" spans="1:8" x14ac:dyDescent="0.3">
      <c r="A885" s="44"/>
      <c r="F885" s="39"/>
      <c r="G885" s="39"/>
      <c r="H885" s="39"/>
    </row>
    <row r="886" spans="1:8" x14ac:dyDescent="0.3">
      <c r="A886" s="44"/>
      <c r="F886" s="39"/>
      <c r="G886" s="39"/>
      <c r="H886" s="39"/>
    </row>
    <row r="887" spans="1:8" x14ac:dyDescent="0.3">
      <c r="A887" s="44"/>
      <c r="F887" s="39"/>
      <c r="G887" s="39"/>
      <c r="H887" s="39"/>
    </row>
    <row r="888" spans="1:8" x14ac:dyDescent="0.3">
      <c r="A888" s="44"/>
      <c r="F888" s="39"/>
      <c r="G888" s="39"/>
      <c r="H888" s="39"/>
    </row>
    <row r="889" spans="1:8" x14ac:dyDescent="0.3">
      <c r="A889" s="44"/>
      <c r="F889" s="39"/>
      <c r="G889" s="39"/>
      <c r="H889" s="39"/>
    </row>
    <row r="890" spans="1:8" x14ac:dyDescent="0.3">
      <c r="A890" s="44"/>
      <c r="F890" s="39"/>
      <c r="G890" s="39"/>
      <c r="H890" s="39"/>
    </row>
    <row r="891" spans="1:8" x14ac:dyDescent="0.3">
      <c r="A891" s="44"/>
      <c r="F891" s="39"/>
      <c r="G891" s="39"/>
      <c r="H891" s="39"/>
    </row>
    <row r="892" spans="1:8" x14ac:dyDescent="0.3">
      <c r="A892" s="44"/>
      <c r="F892" s="39"/>
      <c r="G892" s="39"/>
      <c r="H892" s="39"/>
    </row>
    <row r="893" spans="1:8" x14ac:dyDescent="0.3">
      <c r="A893" s="44"/>
      <c r="F893" s="39"/>
      <c r="G893" s="39"/>
      <c r="H893" s="39"/>
    </row>
    <row r="894" spans="1:8" x14ac:dyDescent="0.3">
      <c r="A894" s="44"/>
      <c r="F894" s="39"/>
      <c r="G894" s="39"/>
      <c r="H894" s="39"/>
    </row>
    <row r="895" spans="1:8" x14ac:dyDescent="0.3">
      <c r="A895" s="44"/>
      <c r="F895" s="39"/>
      <c r="G895" s="39"/>
      <c r="H895" s="39"/>
    </row>
    <row r="896" spans="1:8" x14ac:dyDescent="0.3">
      <c r="A896" s="44"/>
      <c r="F896" s="39"/>
      <c r="G896" s="39"/>
      <c r="H896" s="39"/>
    </row>
    <row r="897" spans="1:8" x14ac:dyDescent="0.3">
      <c r="A897" s="44"/>
      <c r="F897" s="39"/>
      <c r="G897" s="39"/>
      <c r="H897" s="39"/>
    </row>
    <row r="898" spans="1:8" x14ac:dyDescent="0.3">
      <c r="A898" s="44"/>
      <c r="F898" s="39"/>
      <c r="G898" s="39"/>
      <c r="H898" s="39"/>
    </row>
    <row r="899" spans="1:8" x14ac:dyDescent="0.3">
      <c r="A899" s="44"/>
      <c r="F899" s="39"/>
      <c r="G899" s="39"/>
      <c r="H899" s="39"/>
    </row>
    <row r="900" spans="1:8" x14ac:dyDescent="0.3">
      <c r="A900" s="44"/>
      <c r="F900" s="39"/>
      <c r="G900" s="39"/>
      <c r="H900" s="39"/>
    </row>
    <row r="901" spans="1:8" x14ac:dyDescent="0.3">
      <c r="A901" s="44"/>
      <c r="F901" s="39"/>
      <c r="G901" s="39"/>
      <c r="H901" s="39"/>
    </row>
    <row r="902" spans="1:8" x14ac:dyDescent="0.3">
      <c r="A902" s="44"/>
      <c r="F902" s="39"/>
      <c r="G902" s="39"/>
      <c r="H902" s="39"/>
    </row>
    <row r="903" spans="1:8" x14ac:dyDescent="0.3">
      <c r="A903" s="44"/>
      <c r="F903" s="39"/>
      <c r="G903" s="39"/>
      <c r="H903" s="39"/>
    </row>
    <row r="904" spans="1:8" x14ac:dyDescent="0.3">
      <c r="A904" s="44"/>
      <c r="F904" s="39"/>
      <c r="G904" s="39"/>
      <c r="H904" s="39"/>
    </row>
    <row r="905" spans="1:8" x14ac:dyDescent="0.3">
      <c r="A905" s="44"/>
      <c r="F905" s="39"/>
      <c r="G905" s="39"/>
      <c r="H905" s="39"/>
    </row>
    <row r="906" spans="1:8" x14ac:dyDescent="0.3">
      <c r="A906" s="44"/>
      <c r="F906" s="39"/>
      <c r="G906" s="39"/>
      <c r="H906" s="39"/>
    </row>
    <row r="907" spans="1:8" x14ac:dyDescent="0.3">
      <c r="A907" s="44"/>
      <c r="F907" s="39"/>
      <c r="G907" s="39"/>
      <c r="H907" s="39"/>
    </row>
    <row r="908" spans="1:8" x14ac:dyDescent="0.3">
      <c r="A908" s="44"/>
      <c r="F908" s="39"/>
      <c r="G908" s="39"/>
      <c r="H908" s="39"/>
    </row>
    <row r="909" spans="1:8" x14ac:dyDescent="0.3">
      <c r="A909" s="44"/>
      <c r="F909" s="39"/>
      <c r="G909" s="39"/>
      <c r="H909" s="39"/>
    </row>
    <row r="910" spans="1:8" x14ac:dyDescent="0.3">
      <c r="A910" s="44"/>
      <c r="F910" s="39"/>
      <c r="G910" s="39"/>
      <c r="H910" s="39"/>
    </row>
    <row r="911" spans="1:8" x14ac:dyDescent="0.3">
      <c r="A911" s="44"/>
      <c r="F911" s="39"/>
      <c r="G911" s="39"/>
      <c r="H911" s="39"/>
    </row>
    <row r="912" spans="1:8" x14ac:dyDescent="0.3">
      <c r="A912" s="44"/>
      <c r="F912" s="39"/>
      <c r="G912" s="39"/>
      <c r="H912" s="39"/>
    </row>
    <row r="913" spans="1:8" x14ac:dyDescent="0.3">
      <c r="A913" s="44"/>
      <c r="F913" s="39"/>
      <c r="G913" s="39"/>
      <c r="H913" s="39"/>
    </row>
    <row r="914" spans="1:8" x14ac:dyDescent="0.3">
      <c r="A914" s="44"/>
      <c r="F914" s="39"/>
      <c r="G914" s="39"/>
      <c r="H914" s="39"/>
    </row>
    <row r="915" spans="1:8" x14ac:dyDescent="0.3">
      <c r="A915" s="44"/>
      <c r="F915" s="39"/>
      <c r="G915" s="39"/>
      <c r="H915" s="39"/>
    </row>
    <row r="916" spans="1:8" x14ac:dyDescent="0.3">
      <c r="A916" s="44"/>
      <c r="F916" s="39"/>
      <c r="G916" s="39"/>
      <c r="H916" s="39"/>
    </row>
    <row r="917" spans="1:8" x14ac:dyDescent="0.3">
      <c r="A917" s="44"/>
      <c r="F917" s="39"/>
      <c r="G917" s="39"/>
      <c r="H917" s="39"/>
    </row>
    <row r="918" spans="1:8" x14ac:dyDescent="0.3">
      <c r="A918" s="44"/>
      <c r="F918" s="39"/>
      <c r="G918" s="39"/>
      <c r="H918" s="39"/>
    </row>
    <row r="919" spans="1:8" x14ac:dyDescent="0.3">
      <c r="A919" s="44"/>
      <c r="F919" s="39"/>
      <c r="G919" s="39"/>
      <c r="H919" s="39"/>
    </row>
    <row r="920" spans="1:8" x14ac:dyDescent="0.3">
      <c r="A920" s="44"/>
      <c r="F920" s="39"/>
      <c r="G920" s="39"/>
      <c r="H920" s="39"/>
    </row>
    <row r="921" spans="1:8" x14ac:dyDescent="0.3">
      <c r="A921" s="44"/>
      <c r="F921" s="39"/>
      <c r="G921" s="39"/>
      <c r="H921" s="39"/>
    </row>
    <row r="922" spans="1:8" x14ac:dyDescent="0.3">
      <c r="A922" s="44"/>
      <c r="F922" s="39"/>
      <c r="G922" s="39"/>
      <c r="H922" s="39"/>
    </row>
    <row r="923" spans="1:8" x14ac:dyDescent="0.3">
      <c r="A923" s="44"/>
      <c r="F923" s="39"/>
      <c r="G923" s="39"/>
      <c r="H923" s="39"/>
    </row>
    <row r="924" spans="1:8" x14ac:dyDescent="0.3">
      <c r="A924" s="44"/>
      <c r="F924" s="39"/>
      <c r="G924" s="39"/>
      <c r="H924" s="39"/>
    </row>
    <row r="925" spans="1:8" x14ac:dyDescent="0.3">
      <c r="A925" s="44"/>
      <c r="F925" s="39"/>
      <c r="G925" s="39"/>
      <c r="H925" s="39"/>
    </row>
    <row r="926" spans="1:8" x14ac:dyDescent="0.3">
      <c r="A926" s="44"/>
      <c r="F926" s="39"/>
      <c r="G926" s="39"/>
      <c r="H926" s="39"/>
    </row>
    <row r="927" spans="1:8" x14ac:dyDescent="0.3">
      <c r="A927" s="44"/>
      <c r="F927" s="39"/>
      <c r="G927" s="39"/>
      <c r="H927" s="39"/>
    </row>
    <row r="928" spans="1:8" x14ac:dyDescent="0.3">
      <c r="A928" s="44"/>
      <c r="F928" s="39"/>
      <c r="G928" s="39"/>
      <c r="H928" s="39"/>
    </row>
    <row r="929" spans="1:8" x14ac:dyDescent="0.3">
      <c r="A929" s="44"/>
      <c r="F929" s="39"/>
      <c r="G929" s="39"/>
      <c r="H929" s="39"/>
    </row>
    <row r="930" spans="1:8" x14ac:dyDescent="0.3">
      <c r="A930" s="44"/>
      <c r="F930" s="39"/>
      <c r="G930" s="39"/>
      <c r="H930" s="39"/>
    </row>
    <row r="931" spans="1:8" x14ac:dyDescent="0.3">
      <c r="A931" s="44"/>
      <c r="F931" s="39"/>
      <c r="G931" s="39"/>
      <c r="H931" s="39"/>
    </row>
    <row r="932" spans="1:8" x14ac:dyDescent="0.3">
      <c r="A932" s="44"/>
      <c r="F932" s="39"/>
      <c r="G932" s="39"/>
      <c r="H932" s="39"/>
    </row>
    <row r="933" spans="1:8" x14ac:dyDescent="0.3">
      <c r="A933" s="44"/>
      <c r="F933" s="39"/>
      <c r="G933" s="39"/>
      <c r="H933" s="39"/>
    </row>
    <row r="934" spans="1:8" x14ac:dyDescent="0.3">
      <c r="A934" s="44"/>
      <c r="F934" s="39"/>
      <c r="G934" s="39"/>
      <c r="H934" s="39"/>
    </row>
    <row r="935" spans="1:8" x14ac:dyDescent="0.3">
      <c r="A935" s="44"/>
      <c r="F935" s="39"/>
      <c r="G935" s="39"/>
      <c r="H935" s="39"/>
    </row>
    <row r="936" spans="1:8" x14ac:dyDescent="0.3">
      <c r="A936" s="44"/>
      <c r="F936" s="39"/>
      <c r="G936" s="39"/>
      <c r="H936" s="39"/>
    </row>
    <row r="937" spans="1:8" x14ac:dyDescent="0.3">
      <c r="A937" s="44"/>
      <c r="F937" s="39"/>
      <c r="G937" s="39"/>
      <c r="H937" s="39"/>
    </row>
    <row r="938" spans="1:8" x14ac:dyDescent="0.3">
      <c r="A938" s="44"/>
      <c r="F938" s="39"/>
      <c r="G938" s="39"/>
      <c r="H938" s="39"/>
    </row>
    <row r="939" spans="1:8" x14ac:dyDescent="0.3">
      <c r="A939" s="44"/>
      <c r="F939" s="39"/>
      <c r="G939" s="39"/>
      <c r="H939" s="39"/>
    </row>
    <row r="940" spans="1:8" x14ac:dyDescent="0.3">
      <c r="A940" s="44"/>
      <c r="F940" s="39"/>
      <c r="G940" s="39"/>
      <c r="H940" s="39"/>
    </row>
    <row r="941" spans="1:8" x14ac:dyDescent="0.3">
      <c r="A941" s="44"/>
      <c r="F941" s="39"/>
      <c r="G941" s="39"/>
      <c r="H941" s="39"/>
    </row>
    <row r="942" spans="1:8" x14ac:dyDescent="0.3">
      <c r="A942" s="44"/>
      <c r="F942" s="39"/>
      <c r="G942" s="39"/>
      <c r="H942" s="39"/>
    </row>
    <row r="943" spans="1:8" x14ac:dyDescent="0.3">
      <c r="A943" s="44"/>
      <c r="F943" s="39"/>
      <c r="G943" s="39"/>
      <c r="H943" s="39"/>
    </row>
    <row r="944" spans="1:8" x14ac:dyDescent="0.3">
      <c r="A944" s="44"/>
      <c r="F944" s="39"/>
      <c r="G944" s="39"/>
      <c r="H944" s="39"/>
    </row>
    <row r="945" spans="1:8" x14ac:dyDescent="0.3">
      <c r="A945" s="44"/>
      <c r="F945" s="39"/>
      <c r="G945" s="39"/>
      <c r="H945" s="39"/>
    </row>
    <row r="946" spans="1:8" x14ac:dyDescent="0.3">
      <c r="A946" s="44"/>
      <c r="F946" s="39"/>
      <c r="G946" s="39"/>
      <c r="H946" s="39"/>
    </row>
    <row r="947" spans="1:8" x14ac:dyDescent="0.3">
      <c r="A947" s="44"/>
      <c r="F947" s="39"/>
      <c r="G947" s="39"/>
      <c r="H947" s="39"/>
    </row>
    <row r="948" spans="1:8" x14ac:dyDescent="0.3">
      <c r="A948" s="44"/>
      <c r="F948" s="39"/>
      <c r="G948" s="39"/>
      <c r="H948" s="39"/>
    </row>
    <row r="949" spans="1:8" x14ac:dyDescent="0.3">
      <c r="A949" s="44"/>
      <c r="F949" s="39"/>
      <c r="G949" s="39"/>
      <c r="H949" s="39"/>
    </row>
    <row r="950" spans="1:8" x14ac:dyDescent="0.3">
      <c r="A950" s="44"/>
      <c r="F950" s="39"/>
      <c r="G950" s="39"/>
      <c r="H950" s="39"/>
    </row>
    <row r="951" spans="1:8" x14ac:dyDescent="0.3">
      <c r="A951" s="44"/>
      <c r="F951" s="39"/>
      <c r="G951" s="39"/>
      <c r="H951" s="39"/>
    </row>
    <row r="952" spans="1:8" x14ac:dyDescent="0.3">
      <c r="A952" s="44"/>
      <c r="F952" s="39"/>
      <c r="G952" s="39"/>
      <c r="H952" s="39"/>
    </row>
    <row r="953" spans="1:8" x14ac:dyDescent="0.3">
      <c r="A953" s="44"/>
      <c r="F953" s="39"/>
      <c r="G953" s="39"/>
      <c r="H953" s="39"/>
    </row>
    <row r="954" spans="1:8" x14ac:dyDescent="0.3">
      <c r="A954" s="44"/>
      <c r="F954" s="39"/>
      <c r="G954" s="39"/>
      <c r="H954" s="39"/>
    </row>
    <row r="955" spans="1:8" x14ac:dyDescent="0.3">
      <c r="A955" s="44"/>
      <c r="F955" s="39"/>
      <c r="G955" s="39"/>
      <c r="H955" s="39"/>
    </row>
    <row r="956" spans="1:8" x14ac:dyDescent="0.3">
      <c r="A956" s="44"/>
      <c r="F956" s="39"/>
      <c r="G956" s="39"/>
      <c r="H956" s="39"/>
    </row>
    <row r="957" spans="1:8" x14ac:dyDescent="0.3">
      <c r="A957" s="44"/>
      <c r="F957" s="39"/>
      <c r="G957" s="39"/>
      <c r="H957" s="39"/>
    </row>
    <row r="958" spans="1:8" x14ac:dyDescent="0.3">
      <c r="A958" s="44"/>
      <c r="F958" s="39"/>
      <c r="G958" s="39"/>
      <c r="H958" s="39"/>
    </row>
    <row r="959" spans="1:8" x14ac:dyDescent="0.3">
      <c r="A959" s="44"/>
      <c r="F959" s="39"/>
      <c r="G959" s="39"/>
      <c r="H959" s="39"/>
    </row>
    <row r="960" spans="1:8" x14ac:dyDescent="0.3">
      <c r="A960" s="44"/>
      <c r="F960" s="39"/>
      <c r="G960" s="39"/>
      <c r="H960" s="39"/>
    </row>
    <row r="961" spans="1:8" x14ac:dyDescent="0.3">
      <c r="A961" s="44"/>
      <c r="F961" s="39"/>
      <c r="G961" s="39"/>
      <c r="H961" s="39"/>
    </row>
    <row r="962" spans="1:8" x14ac:dyDescent="0.3">
      <c r="A962" s="44"/>
      <c r="F962" s="39"/>
      <c r="G962" s="39"/>
      <c r="H962" s="39"/>
    </row>
    <row r="963" spans="1:8" x14ac:dyDescent="0.3">
      <c r="A963" s="44"/>
      <c r="F963" s="39"/>
      <c r="G963" s="39"/>
      <c r="H963" s="39"/>
    </row>
    <row r="964" spans="1:8" x14ac:dyDescent="0.3">
      <c r="A964" s="44"/>
      <c r="F964" s="39"/>
      <c r="G964" s="39"/>
      <c r="H964" s="39"/>
    </row>
    <row r="965" spans="1:8" x14ac:dyDescent="0.3">
      <c r="A965" s="44"/>
      <c r="F965" s="39"/>
      <c r="G965" s="39"/>
      <c r="H965" s="39"/>
    </row>
    <row r="966" spans="1:8" x14ac:dyDescent="0.3">
      <c r="A966" s="43"/>
      <c r="F966" s="39"/>
      <c r="G966" s="39"/>
      <c r="H966" s="39"/>
    </row>
    <row r="967" spans="1:8" x14ac:dyDescent="0.3">
      <c r="A967" s="43"/>
      <c r="F967" s="39"/>
      <c r="G967" s="39"/>
      <c r="H967" s="39"/>
    </row>
    <row r="968" spans="1:8" x14ac:dyDescent="0.3">
      <c r="A968" s="43"/>
      <c r="F968" s="39"/>
      <c r="G968" s="39"/>
      <c r="H968" s="39"/>
    </row>
    <row r="969" spans="1:8" x14ac:dyDescent="0.3">
      <c r="A969" s="43"/>
      <c r="F969" s="39"/>
      <c r="G969" s="39"/>
      <c r="H969" s="39"/>
    </row>
    <row r="970" spans="1:8" x14ac:dyDescent="0.3">
      <c r="A970" s="43"/>
      <c r="F970" s="39"/>
      <c r="G970" s="39"/>
      <c r="H970" s="39"/>
    </row>
    <row r="971" spans="1:8" x14ac:dyDescent="0.3">
      <c r="A971" s="43"/>
      <c r="F971" s="39"/>
      <c r="G971" s="39"/>
      <c r="H971" s="39"/>
    </row>
    <row r="972" spans="1:8" x14ac:dyDescent="0.3">
      <c r="A972" s="43"/>
      <c r="F972" s="39"/>
      <c r="G972" s="39"/>
      <c r="H972" s="39"/>
    </row>
    <row r="973" spans="1:8" x14ac:dyDescent="0.3">
      <c r="A973" s="43"/>
      <c r="F973" s="39"/>
      <c r="G973" s="39"/>
      <c r="H973" s="39"/>
    </row>
    <row r="974" spans="1:8" x14ac:dyDescent="0.3">
      <c r="A974" s="43"/>
      <c r="F974" s="39"/>
      <c r="G974" s="39"/>
      <c r="H974" s="39"/>
    </row>
    <row r="975" spans="1:8" x14ac:dyDescent="0.3">
      <c r="A975" s="43"/>
      <c r="F975" s="39"/>
      <c r="G975" s="39"/>
      <c r="H975" s="39"/>
    </row>
    <row r="976" spans="1:8" x14ac:dyDescent="0.3">
      <c r="A976" s="43"/>
      <c r="F976" s="39"/>
      <c r="G976" s="39"/>
      <c r="H976" s="39"/>
    </row>
    <row r="977" spans="1:8" x14ac:dyDescent="0.3">
      <c r="A977" s="43"/>
      <c r="F977" s="39"/>
      <c r="G977" s="39"/>
      <c r="H977" s="39"/>
    </row>
    <row r="978" spans="1:8" x14ac:dyDescent="0.3">
      <c r="A978" s="43"/>
      <c r="F978" s="39"/>
      <c r="G978" s="39"/>
      <c r="H978" s="39"/>
    </row>
    <row r="979" spans="1:8" x14ac:dyDescent="0.3">
      <c r="A979" s="43"/>
      <c r="F979" s="39"/>
      <c r="G979" s="39"/>
      <c r="H979" s="39"/>
    </row>
    <row r="980" spans="1:8" x14ac:dyDescent="0.3">
      <c r="A980" s="43"/>
      <c r="F980" s="39"/>
      <c r="G980" s="39"/>
      <c r="H980" s="39"/>
    </row>
    <row r="981" spans="1:8" x14ac:dyDescent="0.3">
      <c r="A981" s="43"/>
      <c r="F981" s="39"/>
      <c r="G981" s="39"/>
      <c r="H981" s="39"/>
    </row>
    <row r="982" spans="1:8" x14ac:dyDescent="0.3">
      <c r="A982" s="43"/>
      <c r="F982" s="39"/>
      <c r="G982" s="39"/>
      <c r="H982" s="39"/>
    </row>
    <row r="983" spans="1:8" x14ac:dyDescent="0.3">
      <c r="A983" s="43"/>
      <c r="F983" s="39"/>
      <c r="G983" s="39"/>
      <c r="H983" s="39"/>
    </row>
    <row r="984" spans="1:8" x14ac:dyDescent="0.3">
      <c r="A984" s="43"/>
      <c r="F984" s="39"/>
      <c r="G984" s="39"/>
      <c r="H984" s="39"/>
    </row>
    <row r="985" spans="1:8" x14ac:dyDescent="0.3">
      <c r="A985" s="43"/>
      <c r="F985" s="39"/>
      <c r="G985" s="39"/>
      <c r="H985" s="39"/>
    </row>
    <row r="986" spans="1:8" x14ac:dyDescent="0.3">
      <c r="A986" s="43"/>
      <c r="F986" s="39"/>
      <c r="G986" s="39"/>
      <c r="H986" s="39"/>
    </row>
    <row r="987" spans="1:8" x14ac:dyDescent="0.3">
      <c r="A987" s="43"/>
      <c r="F987" s="39"/>
      <c r="G987" s="39"/>
      <c r="H987" s="39"/>
    </row>
    <row r="988" spans="1:8" x14ac:dyDescent="0.3">
      <c r="A988" s="43"/>
      <c r="F988" s="39"/>
      <c r="G988" s="39"/>
      <c r="H988" s="39"/>
    </row>
    <row r="989" spans="1:8" x14ac:dyDescent="0.3">
      <c r="A989" s="43"/>
      <c r="F989" s="39"/>
      <c r="G989" s="39"/>
      <c r="H989" s="39"/>
    </row>
    <row r="990" spans="1:8" x14ac:dyDescent="0.3">
      <c r="A990" s="27"/>
      <c r="F990" s="39"/>
      <c r="G990" s="39"/>
      <c r="H990" s="39"/>
    </row>
    <row r="991" spans="1:8" x14ac:dyDescent="0.3">
      <c r="A991" s="27"/>
      <c r="F991" s="39"/>
      <c r="G991" s="39"/>
      <c r="H991" s="39"/>
    </row>
    <row r="992" spans="1:8" x14ac:dyDescent="0.3">
      <c r="A992" s="27"/>
      <c r="F992" s="39"/>
      <c r="G992" s="39"/>
      <c r="H992" s="39"/>
    </row>
    <row r="993" spans="1:8" x14ac:dyDescent="0.3">
      <c r="A993" s="27"/>
      <c r="F993" s="39"/>
      <c r="G993" s="39"/>
      <c r="H993" s="39"/>
    </row>
    <row r="994" spans="1:8" x14ac:dyDescent="0.3">
      <c r="A994" s="27"/>
      <c r="F994" s="39"/>
      <c r="G994" s="39"/>
      <c r="H994" s="39"/>
    </row>
    <row r="995" spans="1:8" x14ac:dyDescent="0.3">
      <c r="F995" s="39"/>
      <c r="G995" s="39"/>
      <c r="H995" s="39"/>
    </row>
  </sheetData>
  <dataValidations count="2">
    <dataValidation type="whole" allowBlank="1" showInputMessage="1" showErrorMessage="1" sqref="E2" xr:uid="{053774BD-C0F6-40C7-BE3B-FB1CDCE5C027}">
      <formula1>0</formula1>
      <formula2>6</formula2>
    </dataValidation>
    <dataValidation type="whole" allowBlank="1" showInputMessage="1" showErrorMessage="1" sqref="B2:C2" xr:uid="{89A6FFA6-9A8E-467E-AEBE-C799305A5A23}">
      <formula1>25</formula1>
      <formula2>64</formula2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FBFEF-57F5-4DC7-9D3D-E0D7200F5616}">
  <sheetPr codeName="Sheet11"/>
  <dimension ref="A1:P87"/>
  <sheetViews>
    <sheetView zoomScale="140" zoomScaleNormal="140" workbookViewId="0">
      <selection activeCell="A2" sqref="A2"/>
    </sheetView>
  </sheetViews>
  <sheetFormatPr defaultRowHeight="14.4" x14ac:dyDescent="0.3"/>
  <cols>
    <col min="1" max="1" width="37.6640625" customWidth="1"/>
    <col min="2" max="2" width="12.44140625" customWidth="1"/>
    <col min="3" max="3" width="15.44140625" customWidth="1"/>
    <col min="4" max="4" width="13.88671875" bestFit="1" customWidth="1"/>
    <col min="5" max="5" width="22.5546875" customWidth="1"/>
    <col min="6" max="6" width="18.5546875" customWidth="1"/>
    <col min="7" max="7" width="18.6640625" customWidth="1"/>
    <col min="8" max="8" width="15.109375" bestFit="1" customWidth="1"/>
    <col min="9" max="9" width="16.6640625" bestFit="1" customWidth="1"/>
    <col min="10" max="10" width="13.109375" bestFit="1" customWidth="1"/>
    <col min="11" max="11" width="5.6640625" style="5" customWidth="1"/>
    <col min="12" max="12" width="24" style="5" bestFit="1" customWidth="1"/>
    <col min="14" max="14" width="7.33203125" customWidth="1"/>
    <col min="15" max="15" width="11.33203125" style="5" customWidth="1"/>
    <col min="16" max="16" width="17.6640625" style="32" customWidth="1"/>
  </cols>
  <sheetData>
    <row r="1" spans="1:16" ht="15.6" x14ac:dyDescent="0.3">
      <c r="A1" s="200" t="s">
        <v>32</v>
      </c>
      <c r="B1" s="201"/>
      <c r="C1" s="24"/>
      <c r="D1" s="208" t="s">
        <v>266</v>
      </c>
      <c r="E1" s="209"/>
      <c r="G1" t="s">
        <v>303</v>
      </c>
      <c r="H1" s="139" t="str">
        <f>"e = " &amp; ROUND((1+1+1/FACT(2) + 1/FACT(3) + 1/FACT(4) + 1/FACT(5) + 1/FACT(6) + 1/FACT(7) + 1/FACT(8) + 1/FACT(9)),8)</f>
        <v>e = 2.71828153</v>
      </c>
      <c r="K1" s="5" t="s">
        <v>1</v>
      </c>
      <c r="L1" s="5" t="s">
        <v>372</v>
      </c>
      <c r="M1" s="32" t="s">
        <v>378</v>
      </c>
      <c r="N1" s="181" t="s">
        <v>367</v>
      </c>
      <c r="O1" s="5" t="s">
        <v>364</v>
      </c>
      <c r="P1" s="32" t="s">
        <v>383</v>
      </c>
    </row>
    <row r="2" spans="1:16" x14ac:dyDescent="0.3">
      <c r="A2" s="17" t="s">
        <v>374</v>
      </c>
      <c r="B2" s="21" t="e">
        <f>AVERAGE('Data entry'!B7,'Data entry'!B8)</f>
        <v>#DIV/0!</v>
      </c>
      <c r="D2" s="167" t="s">
        <v>317</v>
      </c>
      <c r="E2" s="168" t="s">
        <v>319</v>
      </c>
      <c r="F2" s="5" t="s">
        <v>299</v>
      </c>
      <c r="G2" s="89" t="s">
        <v>302</v>
      </c>
      <c r="K2" s="137">
        <v>27</v>
      </c>
      <c r="L2" s="137">
        <f>62-K2</f>
        <v>35</v>
      </c>
      <c r="M2" s="138">
        <f>L2^$N$1</f>
        <v>10.084264513267581</v>
      </c>
      <c r="O2" s="5">
        <v>1</v>
      </c>
      <c r="P2" s="32">
        <f>M2/O2</f>
        <v>10.084264513267581</v>
      </c>
    </row>
    <row r="3" spans="1:16" x14ac:dyDescent="0.3">
      <c r="A3" s="17" t="s">
        <v>372</v>
      </c>
      <c r="B3" s="17">
        <f>IF('Data entry'!B1="", 0, IF(62-'Data entry'!B1&gt;0,62-'Data entry'!B1,0))</f>
        <v>0</v>
      </c>
      <c r="D3" s="169">
        <v>0</v>
      </c>
      <c r="E3" s="170">
        <v>0</v>
      </c>
      <c r="K3" s="137">
        <v>28</v>
      </c>
      <c r="L3" s="137">
        <f t="shared" ref="L3:L37" si="0">62-K3</f>
        <v>34</v>
      </c>
      <c r="M3" s="138">
        <f t="shared" ref="M3:M37" si="1">L3^$N$1</f>
        <v>9.8960366737564645</v>
      </c>
      <c r="O3" s="5">
        <v>2</v>
      </c>
      <c r="P3" s="32">
        <f>M3/O3</f>
        <v>4.9480183368782322</v>
      </c>
    </row>
    <row r="4" spans="1:16" x14ac:dyDescent="0.3">
      <c r="A4" s="17" t="s">
        <v>370</v>
      </c>
      <c r="B4" s="23" t="e" cm="1">
        <f t="array" ref="B4">_xlfn.SWITCH('Data entry'!$B$3,"Single",1,"Married Filing Jointly",2,"Head of Household",3)</f>
        <v>#N/A</v>
      </c>
      <c r="D4" s="169">
        <v>10000</v>
      </c>
      <c r="E4" s="170">
        <v>-0.5</v>
      </c>
      <c r="F4" s="180" t="s">
        <v>316</v>
      </c>
      <c r="K4" s="137">
        <v>29</v>
      </c>
      <c r="L4" s="137">
        <f t="shared" si="0"/>
        <v>33</v>
      </c>
      <c r="M4" s="138">
        <f t="shared" si="1"/>
        <v>9.7058608554920358</v>
      </c>
      <c r="O4" s="5">
        <v>3</v>
      </c>
      <c r="P4" s="32">
        <f>M4/O4</f>
        <v>3.2352869518306786</v>
      </c>
    </row>
    <row r="5" spans="1:16" x14ac:dyDescent="0.3">
      <c r="A5" s="17" t="s">
        <v>371</v>
      </c>
      <c r="B5" s="17">
        <f>'Data entry'!B4</f>
        <v>0</v>
      </c>
      <c r="D5" s="169">
        <v>15000</v>
      </c>
      <c r="E5" s="170">
        <v>-0.75</v>
      </c>
      <c r="F5" s="5" t="s">
        <v>318</v>
      </c>
      <c r="G5" t="s">
        <v>342</v>
      </c>
      <c r="K5" s="137">
        <v>30</v>
      </c>
      <c r="L5" s="137">
        <f t="shared" si="0"/>
        <v>32</v>
      </c>
      <c r="M5" s="138">
        <f t="shared" si="1"/>
        <v>9.5136569200217718</v>
      </c>
      <c r="O5" s="5">
        <v>4</v>
      </c>
      <c r="P5" s="32">
        <f>M5/O5</f>
        <v>2.3784142300054429</v>
      </c>
    </row>
    <row r="6" spans="1:16" x14ac:dyDescent="0.3">
      <c r="A6" s="17" t="s">
        <v>389</v>
      </c>
      <c r="B6" s="21" t="e" cm="1">
        <f t="array" ref="B6">GetMedianIncome('Data entry'!B2, B4, B5)</f>
        <v>#N/A</v>
      </c>
      <c r="C6" t="str">
        <f>IF('Data entry'!B2="","",'Data entry'!B2)</f>
        <v/>
      </c>
      <c r="D6" s="169">
        <v>20000</v>
      </c>
      <c r="E6" s="171">
        <v>-1</v>
      </c>
      <c r="F6" s="5" t="s">
        <v>343</v>
      </c>
      <c r="G6" t="s">
        <v>346</v>
      </c>
      <c r="K6" s="137">
        <v>31</v>
      </c>
      <c r="L6" s="137">
        <f t="shared" si="0"/>
        <v>31</v>
      </c>
      <c r="M6" s="138">
        <f t="shared" si="1"/>
        <v>9.3193388087649609</v>
      </c>
      <c r="O6" s="5">
        <v>1</v>
      </c>
      <c r="P6" s="32">
        <f>M6/O6</f>
        <v>9.3193388087649609</v>
      </c>
    </row>
    <row r="7" spans="1:16" x14ac:dyDescent="0.3">
      <c r="A7" s="17" t="s">
        <v>401</v>
      </c>
      <c r="B7" s="21" t="e">
        <f>IF('Data entry'!$B$2="ALASKA",_xlfn.XLOOKUP(Backend!B4+Backend!B5,'Federal Poverty Levels 2021'!$B$10:$B$17,'Federal Poverty Levels 2021'!$C$10:$C$17,"",0,1), IF('Data entry'!$B$2="HAWAII",_xlfn.XLOOKUP(Backend!B4+Backend!B5,'Federal Poverty Levels 2021'!$B$18:$B$25,'Federal Poverty Levels 2021'!$C$18:$C$25,"",0,1), IF(OR('Data entry'!$B$2&lt;&gt;"ALASKA", 'Data entry'!B2&lt;&gt;"HAWAII"),_xlfn.XLOOKUP(Backend!B4+Backend!B5,'Federal Poverty Levels 2021'!$B$2:$B$9,'Federal Poverty Levels 2021'!$C$2:$C$9,"",0,1))))</f>
        <v>#N/A</v>
      </c>
      <c r="D7" s="169">
        <v>30000</v>
      </c>
      <c r="E7" s="170">
        <v>-1.5</v>
      </c>
      <c r="F7" s="5" t="s">
        <v>344</v>
      </c>
      <c r="G7" t="s">
        <v>345</v>
      </c>
      <c r="K7" s="137">
        <v>32</v>
      </c>
      <c r="L7" s="137">
        <f t="shared" si="0"/>
        <v>30</v>
      </c>
      <c r="M7" s="138">
        <f t="shared" si="1"/>
        <v>9.1228138992399419</v>
      </c>
    </row>
    <row r="8" spans="1:16" x14ac:dyDescent="0.3">
      <c r="A8" s="17" t="s">
        <v>388</v>
      </c>
      <c r="B8" s="118">
        <f>'Data entry'!B5</f>
        <v>0</v>
      </c>
      <c r="D8" s="172">
        <v>40000</v>
      </c>
      <c r="E8" s="171">
        <v>-2</v>
      </c>
      <c r="K8" s="137">
        <v>33</v>
      </c>
      <c r="L8" s="137">
        <f t="shared" si="0"/>
        <v>29</v>
      </c>
      <c r="M8" s="138">
        <f t="shared" si="1"/>
        <v>8.9239822673239289</v>
      </c>
    </row>
    <row r="9" spans="1:16" x14ac:dyDescent="0.3">
      <c r="A9" s="17" t="s">
        <v>390</v>
      </c>
      <c r="B9" s="21">
        <f>'Data entry'!B6</f>
        <v>0</v>
      </c>
      <c r="D9" s="169">
        <v>50000</v>
      </c>
      <c r="E9" s="170">
        <v>-2.5</v>
      </c>
      <c r="K9" s="137">
        <v>34</v>
      </c>
      <c r="L9" s="137">
        <f t="shared" si="0"/>
        <v>28</v>
      </c>
      <c r="M9" s="138">
        <f t="shared" si="1"/>
        <v>8.7227358380880524</v>
      </c>
    </row>
    <row r="10" spans="1:16" x14ac:dyDescent="0.3">
      <c r="A10" s="17" t="s">
        <v>38</v>
      </c>
      <c r="B10" s="21">
        <f>B8-B9</f>
        <v>0</v>
      </c>
      <c r="D10" s="186">
        <v>100000</v>
      </c>
      <c r="E10" s="187">
        <v>-5</v>
      </c>
      <c r="K10" s="137">
        <v>35</v>
      </c>
      <c r="L10" s="137">
        <f t="shared" si="0"/>
        <v>27</v>
      </c>
      <c r="M10" s="138">
        <f t="shared" si="1"/>
        <v>8.5189574037614335</v>
      </c>
      <c r="O10" s="5">
        <v>2</v>
      </c>
      <c r="P10" s="32">
        <f>M10/O10</f>
        <v>4.2594787018807168</v>
      </c>
    </row>
    <row r="11" spans="1:16" ht="15" thickBot="1" x14ac:dyDescent="0.35">
      <c r="A11" s="17" t="s">
        <v>258</v>
      </c>
      <c r="B11" s="66" t="e">
        <f>$B$2/$B$8</f>
        <v>#DIV/0!</v>
      </c>
      <c r="D11" s="173">
        <v>150000</v>
      </c>
      <c r="E11" s="174">
        <v>-5</v>
      </c>
      <c r="K11" s="137">
        <v>36</v>
      </c>
      <c r="L11" s="137">
        <f t="shared" si="0"/>
        <v>26</v>
      </c>
      <c r="M11" s="138">
        <f t="shared" si="1"/>
        <v>8.3125194822950039</v>
      </c>
    </row>
    <row r="12" spans="1:16" x14ac:dyDescent="0.3">
      <c r="A12" s="17" t="s">
        <v>373</v>
      </c>
      <c r="B12" s="66" t="e">
        <f>($B$3^Table6[[#Headers],[0.65]])/($B$4+$B$5)</f>
        <v>#N/A</v>
      </c>
      <c r="D12" s="3"/>
      <c r="E12" s="5"/>
      <c r="K12" s="137">
        <v>37</v>
      </c>
      <c r="L12" s="137">
        <f t="shared" si="0"/>
        <v>25</v>
      </c>
      <c r="M12" s="138">
        <f t="shared" si="1"/>
        <v>8.1032829834638118</v>
      </c>
    </row>
    <row r="13" spans="1:16" x14ac:dyDescent="0.3">
      <c r="A13" s="17" t="s">
        <v>391</v>
      </c>
      <c r="B13" s="135">
        <f>IF(B10&gt;0,MAX(-5,B10/-20000),0)</f>
        <v>0</v>
      </c>
      <c r="D13" s="205" t="s">
        <v>294</v>
      </c>
      <c r="E13" s="206"/>
      <c r="F13" s="206"/>
      <c r="G13" s="207"/>
      <c r="K13" s="137">
        <v>38</v>
      </c>
      <c r="L13" s="137">
        <f t="shared" si="0"/>
        <v>24</v>
      </c>
      <c r="M13" s="138">
        <f t="shared" si="1"/>
        <v>7.8910956409773165</v>
      </c>
    </row>
    <row r="14" spans="1:16" x14ac:dyDescent="0.3">
      <c r="A14" s="17" t="s">
        <v>10</v>
      </c>
      <c r="B14" s="77" t="e">
        <f>MAX(1, B11+B12+B13)</f>
        <v>#DIV/0!</v>
      </c>
      <c r="C14" s="90"/>
      <c r="D14" s="91" t="s">
        <v>336</v>
      </c>
      <c r="E14" s="91" t="s">
        <v>297</v>
      </c>
      <c r="F14" s="18" t="s">
        <v>282</v>
      </c>
      <c r="G14" s="18" t="s">
        <v>283</v>
      </c>
      <c r="K14" s="137">
        <v>39</v>
      </c>
      <c r="L14" s="137">
        <f t="shared" si="0"/>
        <v>23</v>
      </c>
      <c r="M14" s="138">
        <f t="shared" si="1"/>
        <v>7.6757901579807211</v>
      </c>
    </row>
    <row r="15" spans="1:16" x14ac:dyDescent="0.3">
      <c r="A15" s="17" t="s">
        <v>392</v>
      </c>
      <c r="B15" s="21" t="e">
        <f>B8/B14</f>
        <v>#DIV/0!</v>
      </c>
      <c r="D15" s="66">
        <v>1</v>
      </c>
      <c r="E15" s="18">
        <v>300</v>
      </c>
      <c r="F15" s="119">
        <f t="shared" ref="F15:F21" si="2">E15/D15</f>
        <v>300</v>
      </c>
      <c r="G15" s="18">
        <v>0</v>
      </c>
      <c r="K15" s="137">
        <v>40</v>
      </c>
      <c r="L15" s="137">
        <f t="shared" si="0"/>
        <v>22</v>
      </c>
      <c r="M15" s="138">
        <f t="shared" si="1"/>
        <v>7.4571819986670747</v>
      </c>
      <c r="O15" s="5">
        <f>3+5</f>
        <v>8</v>
      </c>
      <c r="P15" s="32">
        <f>M15/O15</f>
        <v>0.93214774983338433</v>
      </c>
    </row>
    <row r="16" spans="1:16" x14ac:dyDescent="0.3">
      <c r="A16" s="17" t="s">
        <v>393</v>
      </c>
      <c r="B16" s="21" t="e">
        <f>B8-B15</f>
        <v>#DIV/0!</v>
      </c>
      <c r="D16" s="66">
        <v>1.0009999999999999</v>
      </c>
      <c r="E16" s="18">
        <v>295</v>
      </c>
      <c r="F16" s="119">
        <f t="shared" si="2"/>
        <v>294.70529470529476</v>
      </c>
      <c r="G16" s="18">
        <f t="shared" ref="G16:G21" si="3">(E16-E15)/(D16-D15)</f>
        <v>-5000.0000000005502</v>
      </c>
      <c r="K16" s="137">
        <v>41</v>
      </c>
      <c r="L16" s="137">
        <f t="shared" si="0"/>
        <v>21</v>
      </c>
      <c r="M16" s="138">
        <f t="shared" si="1"/>
        <v>7.2350667391079035</v>
      </c>
    </row>
    <row r="17" spans="1:16" x14ac:dyDescent="0.3">
      <c r="A17" s="17" t="s">
        <v>281</v>
      </c>
      <c r="B17" s="117" t="e">
        <f>IF(AND($B$2&gt;$B$7, $B$2/$B$6&lt;=2.42),821.32*$E$32*EXP(-$E$32*($B$2/$B$6)),IF($B$2/$B$6&gt;2.42,85,IF($B$2&lt;=$B$7,0)))</f>
        <v>#DIV/0!</v>
      </c>
      <c r="D17" s="66">
        <v>1.1000000000000001</v>
      </c>
      <c r="E17" s="18">
        <v>210</v>
      </c>
      <c r="F17" s="119">
        <f t="shared" si="2"/>
        <v>190.90909090909091</v>
      </c>
      <c r="G17" s="119">
        <f t="shared" si="3"/>
        <v>-858.58585858585684</v>
      </c>
      <c r="K17" s="137">
        <v>42</v>
      </c>
      <c r="L17" s="137">
        <f t="shared" si="0"/>
        <v>20</v>
      </c>
      <c r="M17" s="138">
        <f t="shared" si="1"/>
        <v>7.0092168638608712</v>
      </c>
    </row>
    <row r="18" spans="1:16" x14ac:dyDescent="0.3">
      <c r="A18" s="17" t="s">
        <v>349</v>
      </c>
      <c r="B18" s="131" t="e">
        <f>IF('Data entry'!B1&gt;=60, 0, B16/B17)</f>
        <v>#DIV/0!</v>
      </c>
      <c r="D18" s="66">
        <v>1.25</v>
      </c>
      <c r="E18" s="18">
        <v>150</v>
      </c>
      <c r="F18" s="119">
        <f t="shared" si="2"/>
        <v>120</v>
      </c>
      <c r="G18" s="18">
        <f t="shared" si="3"/>
        <v>-400.00000000000023</v>
      </c>
      <c r="K18" s="137">
        <v>43</v>
      </c>
      <c r="L18" s="137">
        <f t="shared" si="0"/>
        <v>19</v>
      </c>
      <c r="M18" s="138">
        <f t="shared" si="1"/>
        <v>6.7793778584958782</v>
      </c>
    </row>
    <row r="19" spans="1:16" x14ac:dyDescent="0.3">
      <c r="A19" s="17" t="s">
        <v>397</v>
      </c>
      <c r="B19" s="17" t="e">
        <f>IF($B$16=0,0, IF('Data entry'!B1&gt;=60,0, IF('Data entry'!B1&gt;55, (60-'Data entry'!B1)*12, IF($B$2&gt;$B$6,84,IF($B$2&lt;=$B$7,0,IF($B$2&lt;0.7*$B$6,36,IF($B$2&lt;=$B$6,60,"N/A")))))))</f>
        <v>#DIV/0!</v>
      </c>
      <c r="C19" t="s">
        <v>396</v>
      </c>
      <c r="D19" s="66">
        <v>1.5</v>
      </c>
      <c r="E19" s="18">
        <v>100</v>
      </c>
      <c r="F19" s="119">
        <f t="shared" si="2"/>
        <v>66.666666666666671</v>
      </c>
      <c r="G19" s="18">
        <f t="shared" si="3"/>
        <v>-200</v>
      </c>
      <c r="K19" s="137">
        <v>44</v>
      </c>
      <c r="L19" s="137">
        <f t="shared" si="0"/>
        <v>18</v>
      </c>
      <c r="M19" s="138">
        <f t="shared" si="1"/>
        <v>6.5452633975063161</v>
      </c>
    </row>
    <row r="20" spans="1:16" x14ac:dyDescent="0.3">
      <c r="A20" s="17" t="s">
        <v>398</v>
      </c>
      <c r="B20" s="21" t="e">
        <f>B18*B19</f>
        <v>#DIV/0!</v>
      </c>
      <c r="D20" s="66">
        <v>2</v>
      </c>
      <c r="E20" s="18">
        <v>70</v>
      </c>
      <c r="F20" s="119">
        <f t="shared" si="2"/>
        <v>35</v>
      </c>
      <c r="G20" s="18">
        <f t="shared" si="3"/>
        <v>-60</v>
      </c>
      <c r="K20" s="137">
        <v>45</v>
      </c>
      <c r="L20" s="137">
        <f t="shared" si="0"/>
        <v>17</v>
      </c>
      <c r="M20" s="138">
        <f t="shared" si="1"/>
        <v>6.3065493554387313</v>
      </c>
      <c r="O20" s="5">
        <f>3+5</f>
        <v>8</v>
      </c>
      <c r="P20" s="32">
        <f>M20/O20</f>
        <v>0.78831866942984141</v>
      </c>
    </row>
    <row r="21" spans="1:16" x14ac:dyDescent="0.3">
      <c r="A21" s="17" t="s">
        <v>323</v>
      </c>
      <c r="B21" s="102" t="e">
        <f>($B$8-$B$20)/$B$8</f>
        <v>#DIV/0!</v>
      </c>
      <c r="D21" s="66">
        <v>3</v>
      </c>
      <c r="E21" s="18">
        <v>60</v>
      </c>
      <c r="F21" s="119">
        <f t="shared" si="2"/>
        <v>20</v>
      </c>
      <c r="G21" s="18">
        <f t="shared" si="3"/>
        <v>-10</v>
      </c>
      <c r="K21" s="137">
        <v>46</v>
      </c>
      <c r="L21" s="137">
        <f t="shared" si="0"/>
        <v>16</v>
      </c>
      <c r="M21" s="138">
        <f t="shared" si="1"/>
        <v>6.062866266041592</v>
      </c>
    </row>
    <row r="22" spans="1:16" x14ac:dyDescent="0.3">
      <c r="A22" s="17" t="s">
        <v>348</v>
      </c>
      <c r="B22" s="102" t="e">
        <f>B18/('Data entry'!B8/12)</f>
        <v>#DIV/0!</v>
      </c>
      <c r="D22" s="91" t="s">
        <v>336</v>
      </c>
      <c r="E22" s="91" t="s">
        <v>297</v>
      </c>
      <c r="F22" s="120" t="s">
        <v>286</v>
      </c>
      <c r="G22" s="121" t="s">
        <v>285</v>
      </c>
      <c r="H22" s="121" t="s">
        <v>287</v>
      </c>
      <c r="K22" s="137">
        <v>47</v>
      </c>
      <c r="L22" s="137">
        <f t="shared" si="0"/>
        <v>15</v>
      </c>
      <c r="M22" s="138">
        <f t="shared" si="1"/>
        <v>5.813789703166071</v>
      </c>
    </row>
    <row r="23" spans="1:16" x14ac:dyDescent="0.3">
      <c r="A23" s="17" t="s">
        <v>351</v>
      </c>
      <c r="B23" s="136" t="e">
        <f>'Data entry'!B18</f>
        <v>#DIV/0!</v>
      </c>
      <c r="D23" s="66">
        <v>1</v>
      </c>
      <c r="E23" s="17">
        <v>300</v>
      </c>
      <c r="F23" s="122">
        <f t="shared" ref="F23:F29" si="4">$E$32*EXP(-$E$32*D23)</f>
        <v>0.36526544644252334</v>
      </c>
      <c r="G23" s="122">
        <f>E23-F23</f>
        <v>299.63473455355745</v>
      </c>
      <c r="H23" s="17">
        <f>G23^2</f>
        <v>89780.974150980837</v>
      </c>
      <c r="J23" s="3"/>
      <c r="K23" s="137">
        <v>48</v>
      </c>
      <c r="L23" s="137">
        <f t="shared" si="0"/>
        <v>14</v>
      </c>
      <c r="M23" s="138">
        <f t="shared" si="1"/>
        <v>5.5588278308668579</v>
      </c>
    </row>
    <row r="24" spans="1:16" x14ac:dyDescent="0.3">
      <c r="A24" s="17" t="s">
        <v>352</v>
      </c>
      <c r="B24" s="118" t="e">
        <f>IF(B19*B23&gt;=1000,B23*B19,0)</f>
        <v>#DIV/0!</v>
      </c>
      <c r="D24" s="66">
        <v>1.0009999999999999</v>
      </c>
      <c r="E24" s="17">
        <v>295</v>
      </c>
      <c r="F24" s="122">
        <f t="shared" si="4"/>
        <v>0.36494222632325235</v>
      </c>
      <c r="G24" s="122">
        <f t="shared" ref="G24:G29" si="5">E24-F24</f>
        <v>294.63505777367675</v>
      </c>
      <c r="H24" s="17">
        <f t="shared" ref="H24:H29" si="6">G24^2</f>
        <v>86809.817269297841</v>
      </c>
      <c r="J24" s="3"/>
      <c r="K24" s="137">
        <v>49</v>
      </c>
      <c r="L24" s="137">
        <f t="shared" si="0"/>
        <v>13</v>
      </c>
      <c r="M24" s="138">
        <f t="shared" si="1"/>
        <v>5.2974050229787553</v>
      </c>
    </row>
    <row r="25" spans="1:16" x14ac:dyDescent="0.3">
      <c r="A25" s="17" t="s">
        <v>323</v>
      </c>
      <c r="B25" s="102" t="e">
        <f>($B$8-$B$24)/$B$8</f>
        <v>#DIV/0!</v>
      </c>
      <c r="D25" s="66">
        <v>1.1000000000000001</v>
      </c>
      <c r="E25" s="17">
        <v>210</v>
      </c>
      <c r="F25" s="122">
        <f t="shared" si="4"/>
        <v>0.33431914526028905</v>
      </c>
      <c r="G25" s="122">
        <f t="shared" si="5"/>
        <v>209.66568085473972</v>
      </c>
      <c r="H25" s="17">
        <f t="shared" si="6"/>
        <v>43959.697728281571</v>
      </c>
      <c r="J25" s="3"/>
      <c r="K25" s="137">
        <v>50</v>
      </c>
      <c r="L25" s="137">
        <f t="shared" si="0"/>
        <v>12</v>
      </c>
      <c r="M25" s="138">
        <f t="shared" si="1"/>
        <v>5.0288399052001704</v>
      </c>
      <c r="O25" s="5">
        <v>1</v>
      </c>
      <c r="P25" s="32">
        <f>M25/O25</f>
        <v>5.0288399052001704</v>
      </c>
    </row>
    <row r="26" spans="1:16" x14ac:dyDescent="0.3">
      <c r="A26" s="17" t="s">
        <v>379</v>
      </c>
      <c r="B26" s="185" t="e">
        <f>B8-B24</f>
        <v>#DIV/0!</v>
      </c>
      <c r="D26" s="66">
        <v>1.25</v>
      </c>
      <c r="E26" s="17">
        <v>150</v>
      </c>
      <c r="F26" s="122">
        <f t="shared" si="4"/>
        <v>0.29274550384752712</v>
      </c>
      <c r="G26" s="122">
        <f t="shared" si="5"/>
        <v>149.70725449615247</v>
      </c>
      <c r="H26" s="17">
        <f t="shared" si="6"/>
        <v>22412.262048775763</v>
      </c>
      <c r="J26" s="3"/>
      <c r="K26" s="137">
        <v>51</v>
      </c>
      <c r="L26" s="137">
        <f t="shared" si="0"/>
        <v>11</v>
      </c>
      <c r="M26" s="138">
        <f t="shared" si="1"/>
        <v>4.7523152831275093</v>
      </c>
    </row>
    <row r="27" spans="1:16" x14ac:dyDescent="0.3">
      <c r="D27" s="66">
        <v>1.5</v>
      </c>
      <c r="E27" s="17">
        <v>100</v>
      </c>
      <c r="F27" s="122">
        <f t="shared" si="4"/>
        <v>0.2346236986214022</v>
      </c>
      <c r="G27" s="122">
        <f t="shared" si="5"/>
        <v>99.765376301378595</v>
      </c>
      <c r="H27" s="17">
        <f t="shared" si="6"/>
        <v>9953.1303085556738</v>
      </c>
      <c r="J27" s="3"/>
      <c r="K27" s="137">
        <v>52</v>
      </c>
      <c r="L27" s="137">
        <f t="shared" si="0"/>
        <v>10</v>
      </c>
      <c r="M27" s="138">
        <f t="shared" si="1"/>
        <v>4.4668359215096318</v>
      </c>
    </row>
    <row r="28" spans="1:16" x14ac:dyDescent="0.3">
      <c r="A28" s="19" t="s">
        <v>6</v>
      </c>
      <c r="B28" s="20" t="s">
        <v>31</v>
      </c>
      <c r="D28" s="66">
        <v>2</v>
      </c>
      <c r="E28" s="17">
        <v>70</v>
      </c>
      <c r="F28" s="122">
        <f t="shared" si="4"/>
        <v>0.15070760317168058</v>
      </c>
      <c r="G28" s="122">
        <f t="shared" si="5"/>
        <v>69.849292396828318</v>
      </c>
      <c r="H28" s="17">
        <f t="shared" si="6"/>
        <v>4878.923648337618</v>
      </c>
      <c r="J28" s="3"/>
      <c r="K28" s="137">
        <v>53</v>
      </c>
      <c r="L28" s="137">
        <f t="shared" si="0"/>
        <v>9</v>
      </c>
      <c r="M28" s="138">
        <f t="shared" si="1"/>
        <v>4.1711675109477282</v>
      </c>
    </row>
    <row r="29" spans="1:16" x14ac:dyDescent="0.3">
      <c r="A29" s="17" t="s">
        <v>7</v>
      </c>
      <c r="B29" s="18">
        <v>1</v>
      </c>
      <c r="D29" s="66">
        <v>3</v>
      </c>
      <c r="E29" s="17">
        <v>60</v>
      </c>
      <c r="F29" s="122">
        <f t="shared" si="4"/>
        <v>6.21815774663666E-2</v>
      </c>
      <c r="G29" s="122">
        <f t="shared" si="5"/>
        <v>59.937818422533631</v>
      </c>
      <c r="H29" s="17">
        <f t="shared" si="6"/>
        <v>3592.5420772526118</v>
      </c>
      <c r="J29" s="3"/>
      <c r="K29" s="137">
        <v>54</v>
      </c>
      <c r="L29" s="137">
        <f t="shared" si="0"/>
        <v>8</v>
      </c>
      <c r="M29" s="138">
        <f t="shared" si="1"/>
        <v>3.863745315699382</v>
      </c>
    </row>
    <row r="30" spans="1:16" x14ac:dyDescent="0.3">
      <c r="A30" s="17" t="s">
        <v>174</v>
      </c>
      <c r="B30" s="18">
        <v>2</v>
      </c>
      <c r="K30" s="137">
        <v>55</v>
      </c>
      <c r="L30" s="137">
        <f t="shared" si="0"/>
        <v>7</v>
      </c>
      <c r="M30" s="138">
        <f t="shared" si="1"/>
        <v>3.5425315436347184</v>
      </c>
    </row>
    <row r="31" spans="1:16" ht="15" thickBot="1" x14ac:dyDescent="0.35">
      <c r="A31" s="17" t="s">
        <v>9</v>
      </c>
      <c r="B31" s="18">
        <v>3</v>
      </c>
      <c r="D31" t="s">
        <v>284</v>
      </c>
      <c r="G31" s="32" t="s">
        <v>288</v>
      </c>
      <c r="H31">
        <f>SUM(H23:H29)</f>
        <v>261387.34723148192</v>
      </c>
      <c r="I31" t="s">
        <v>289</v>
      </c>
      <c r="K31" s="137">
        <v>56</v>
      </c>
      <c r="L31" s="137">
        <f t="shared" si="0"/>
        <v>6</v>
      </c>
      <c r="M31" s="138">
        <f t="shared" si="1"/>
        <v>3.2047806721300338</v>
      </c>
    </row>
    <row r="32" spans="1:16" ht="15" thickBot="1" x14ac:dyDescent="0.35">
      <c r="D32" s="92" t="s">
        <v>366</v>
      </c>
      <c r="E32" s="94">
        <v>0.88528278306483343</v>
      </c>
      <c r="F32" t="s">
        <v>340</v>
      </c>
      <c r="H32" t="s">
        <v>295</v>
      </c>
      <c r="K32" s="137">
        <v>57</v>
      </c>
      <c r="L32" s="137">
        <f t="shared" si="0"/>
        <v>5</v>
      </c>
      <c r="M32" s="138">
        <f t="shared" si="1"/>
        <v>2.8466265971257649</v>
      </c>
    </row>
    <row r="33" spans="1:13" x14ac:dyDescent="0.3">
      <c r="A33" s="1" t="s">
        <v>384</v>
      </c>
      <c r="I33" s="90"/>
      <c r="K33" s="137">
        <v>58</v>
      </c>
      <c r="L33" s="137">
        <f t="shared" si="0"/>
        <v>4</v>
      </c>
      <c r="M33" s="138">
        <f t="shared" si="1"/>
        <v>2.4622888266898326</v>
      </c>
    </row>
    <row r="34" spans="1:13" x14ac:dyDescent="0.3">
      <c r="A34" t="s">
        <v>385</v>
      </c>
      <c r="D34" s="91" t="s">
        <v>280</v>
      </c>
      <c r="E34" s="120" t="s">
        <v>286</v>
      </c>
      <c r="F34" s="17" t="s">
        <v>290</v>
      </c>
      <c r="G34" s="17" t="s">
        <v>291</v>
      </c>
      <c r="H34" s="17" t="s">
        <v>292</v>
      </c>
      <c r="I34" s="18" t="s">
        <v>280</v>
      </c>
      <c r="K34" s="137">
        <v>59</v>
      </c>
      <c r="L34" s="137">
        <f t="shared" si="0"/>
        <v>3</v>
      </c>
      <c r="M34" s="138">
        <f t="shared" si="1"/>
        <v>2.0423436319453514</v>
      </c>
    </row>
    <row r="35" spans="1:13" x14ac:dyDescent="0.3">
      <c r="A35" t="s">
        <v>386</v>
      </c>
      <c r="D35" s="66">
        <v>1</v>
      </c>
      <c r="E35" s="125">
        <f t="shared" ref="E35:E41" si="7">E$32*EXP(-E$32*D35)</f>
        <v>0.36526544644252334</v>
      </c>
      <c r="F35" s="17">
        <v>300</v>
      </c>
      <c r="G35" s="126">
        <f>F35/E35</f>
        <v>821.32050245055621</v>
      </c>
      <c r="H35" s="126">
        <f>G35*E35</f>
        <v>300</v>
      </c>
      <c r="I35" s="66">
        <v>1</v>
      </c>
      <c r="K35" s="137">
        <v>60</v>
      </c>
      <c r="L35" s="137">
        <f t="shared" si="0"/>
        <v>2</v>
      </c>
      <c r="M35" s="138">
        <f t="shared" si="1"/>
        <v>1.5691681957935015</v>
      </c>
    </row>
    <row r="36" spans="1:13" x14ac:dyDescent="0.3">
      <c r="A36" t="s">
        <v>400</v>
      </c>
      <c r="D36" s="66">
        <v>1.0009999999999999</v>
      </c>
      <c r="E36" s="125">
        <f t="shared" si="7"/>
        <v>0.36494222632325235</v>
      </c>
      <c r="F36" s="17">
        <v>295</v>
      </c>
      <c r="G36" s="127">
        <v>821.32050245055621</v>
      </c>
      <c r="H36" s="126">
        <f t="shared" ref="H36:H41" si="8">G36*E36</f>
        <v>299.73453268923822</v>
      </c>
      <c r="I36" s="66">
        <v>1.0009999999999999</v>
      </c>
      <c r="K36" s="137">
        <v>61</v>
      </c>
      <c r="L36" s="137">
        <f t="shared" si="0"/>
        <v>1</v>
      </c>
      <c r="M36" s="138">
        <f t="shared" si="1"/>
        <v>1</v>
      </c>
    </row>
    <row r="37" spans="1:13" x14ac:dyDescent="0.3">
      <c r="A37" t="s">
        <v>387</v>
      </c>
      <c r="D37" s="66">
        <v>1.1000000000000001</v>
      </c>
      <c r="E37" s="125">
        <f t="shared" si="7"/>
        <v>0.33431914526028905</v>
      </c>
      <c r="F37" s="17">
        <v>210</v>
      </c>
      <c r="G37" s="127">
        <v>821.32050245055621</v>
      </c>
      <c r="H37" s="126">
        <f t="shared" si="8"/>
        <v>274.58316836402111</v>
      </c>
      <c r="I37" s="66">
        <v>1.1000000000000001</v>
      </c>
      <c r="K37" s="137">
        <v>62</v>
      </c>
      <c r="L37" s="137">
        <f t="shared" si="0"/>
        <v>0</v>
      </c>
      <c r="M37" s="138">
        <f t="shared" si="1"/>
        <v>0</v>
      </c>
    </row>
    <row r="38" spans="1:13" x14ac:dyDescent="0.3">
      <c r="A38" t="s">
        <v>394</v>
      </c>
      <c r="D38" s="66">
        <v>1.25</v>
      </c>
      <c r="E38" s="125">
        <f t="shared" si="7"/>
        <v>0.29274550384752712</v>
      </c>
      <c r="F38" s="17">
        <v>150</v>
      </c>
      <c r="G38" s="127">
        <v>821.32050245055621</v>
      </c>
      <c r="H38" s="126">
        <f t="shared" si="8"/>
        <v>240.4378843101922</v>
      </c>
      <c r="I38" s="66">
        <v>1.25</v>
      </c>
    </row>
    <row r="39" spans="1:13" x14ac:dyDescent="0.3">
      <c r="A39" t="s">
        <v>395</v>
      </c>
      <c r="D39" s="66">
        <v>1.5</v>
      </c>
      <c r="E39" s="125">
        <f t="shared" si="7"/>
        <v>0.2346236986214022</v>
      </c>
      <c r="F39" s="17">
        <v>100</v>
      </c>
      <c r="G39" s="127">
        <v>821.32050245055621</v>
      </c>
      <c r="H39" s="126">
        <f t="shared" si="8"/>
        <v>192.70125403853794</v>
      </c>
      <c r="I39" s="66">
        <v>1.5</v>
      </c>
    </row>
    <row r="40" spans="1:13" ht="16.5" customHeight="1" x14ac:dyDescent="0.3">
      <c r="A40" t="s">
        <v>399</v>
      </c>
      <c r="D40" s="66">
        <v>2</v>
      </c>
      <c r="E40" s="125">
        <f t="shared" si="7"/>
        <v>0.15070760317168058</v>
      </c>
      <c r="F40" s="17">
        <v>70</v>
      </c>
      <c r="G40" s="127">
        <v>821.32050245055621</v>
      </c>
      <c r="H40" s="126">
        <f t="shared" si="8"/>
        <v>123.77924436008374</v>
      </c>
      <c r="I40" s="66">
        <v>2</v>
      </c>
    </row>
    <row r="41" spans="1:13" ht="16.5" customHeight="1" x14ac:dyDescent="0.3">
      <c r="D41" s="66">
        <v>3</v>
      </c>
      <c r="E41" s="125">
        <f t="shared" si="7"/>
        <v>6.21815774663666E-2</v>
      </c>
      <c r="F41" s="17">
        <v>60</v>
      </c>
      <c r="G41" s="127">
        <v>821.32050245055621</v>
      </c>
      <c r="H41" s="128">
        <f t="shared" si="8"/>
        <v>51.071004447844402</v>
      </c>
      <c r="I41" s="66">
        <v>3</v>
      </c>
    </row>
    <row r="42" spans="1:13" x14ac:dyDescent="0.3">
      <c r="D42" s="90"/>
      <c r="E42" s="182"/>
      <c r="G42" s="183"/>
      <c r="H42" s="184"/>
      <c r="I42" s="90"/>
    </row>
    <row r="43" spans="1:13" ht="16.5" customHeight="1" x14ac:dyDescent="0.3"/>
    <row r="44" spans="1:13" ht="16.5" customHeight="1" x14ac:dyDescent="0.35">
      <c r="A44" s="141" t="s">
        <v>381</v>
      </c>
      <c r="B44" s="142" t="s">
        <v>337</v>
      </c>
      <c r="C44" s="153" t="e">
        <f>B2/B6</f>
        <v>#DIV/0!</v>
      </c>
      <c r="D44" s="202" t="s">
        <v>293</v>
      </c>
      <c r="E44" s="202"/>
      <c r="F44" s="148" t="s">
        <v>296</v>
      </c>
      <c r="G44" s="149"/>
      <c r="H44" s="150"/>
    </row>
    <row r="45" spans="1:13" x14ac:dyDescent="0.3">
      <c r="A45" s="143" t="s">
        <v>382</v>
      </c>
      <c r="B45" s="144" t="s">
        <v>338</v>
      </c>
      <c r="C45" s="152" t="e">
        <f>B2/B7</f>
        <v>#DIV/0!</v>
      </c>
      <c r="D45" s="101" t="s">
        <v>335</v>
      </c>
      <c r="E45" s="101" t="s">
        <v>297</v>
      </c>
      <c r="F45" s="151" t="s">
        <v>330</v>
      </c>
      <c r="H45" s="145"/>
    </row>
    <row r="46" spans="1:13" ht="18.75" customHeight="1" thickBot="1" x14ac:dyDescent="0.35">
      <c r="A46" s="188" t="s">
        <v>380</v>
      </c>
      <c r="B46" s="189" t="s">
        <v>329</v>
      </c>
      <c r="C46" s="178" t="s">
        <v>363</v>
      </c>
      <c r="D46" s="134">
        <v>0</v>
      </c>
      <c r="E46" s="166" t="s">
        <v>329</v>
      </c>
      <c r="F46" s="143" t="s">
        <v>339</v>
      </c>
      <c r="H46" s="145"/>
    </row>
    <row r="47" spans="1:13" ht="18.75" customHeight="1" thickTop="1" x14ac:dyDescent="0.3">
      <c r="A47" s="188" t="s">
        <v>402</v>
      </c>
      <c r="B47" s="189" t="s">
        <v>358</v>
      </c>
      <c r="C47" s="177" t="s">
        <v>350</v>
      </c>
      <c r="D47" s="132" t="e">
        <f>B7/B6</f>
        <v>#N/A</v>
      </c>
      <c r="E47" s="133" t="e">
        <f t="shared" ref="E47:E57" si="9">821.32*E$32*EXP(-E$32*D47)</f>
        <v>#N/A</v>
      </c>
      <c r="F47" s="146" t="e">
        <f>"{for " &amp; ROUND(D47,3) &amp; " &lt; X &lt;= 2.420}"</f>
        <v>#N/A</v>
      </c>
      <c r="G47" s="130"/>
      <c r="H47" s="147"/>
    </row>
    <row r="48" spans="1:13" ht="19.5" customHeight="1" x14ac:dyDescent="0.3">
      <c r="A48" s="210" t="s">
        <v>359</v>
      </c>
      <c r="B48" s="213" t="s">
        <v>360</v>
      </c>
      <c r="C48" s="203" t="s">
        <v>306</v>
      </c>
      <c r="D48" s="100">
        <v>0.5</v>
      </c>
      <c r="E48" s="116">
        <f t="shared" si="9"/>
        <v>467.04389855010027</v>
      </c>
    </row>
    <row r="49" spans="1:9" ht="20.25" customHeight="1" x14ac:dyDescent="0.3">
      <c r="A49" s="211"/>
      <c r="B49" s="214"/>
      <c r="C49" s="203"/>
      <c r="D49" s="100">
        <v>0.75</v>
      </c>
      <c r="E49" s="116">
        <f t="shared" si="9"/>
        <v>374.31682282456717</v>
      </c>
    </row>
    <row r="50" spans="1:9" ht="19.5" customHeight="1" thickBot="1" x14ac:dyDescent="0.35">
      <c r="A50" s="212"/>
      <c r="B50" s="215"/>
      <c r="C50" s="204"/>
      <c r="D50" s="105">
        <v>1</v>
      </c>
      <c r="E50" s="106">
        <f t="shared" si="9"/>
        <v>299.99981647217328</v>
      </c>
      <c r="F50" s="93"/>
    </row>
    <row r="51" spans="1:9" x14ac:dyDescent="0.3">
      <c r="A51" s="179" t="s">
        <v>361</v>
      </c>
      <c r="B51" s="190" t="s">
        <v>362</v>
      </c>
      <c r="C51" s="198" t="s">
        <v>305</v>
      </c>
      <c r="D51" s="103">
        <v>1.0009999999999999</v>
      </c>
      <c r="E51" s="104">
        <f t="shared" si="9"/>
        <v>299.7343493238136</v>
      </c>
      <c r="G51" s="154" t="s">
        <v>347</v>
      </c>
      <c r="H51" s="155"/>
      <c r="I51" s="162"/>
    </row>
    <row r="52" spans="1:9" x14ac:dyDescent="0.3">
      <c r="C52" s="199"/>
      <c r="D52" s="97">
        <v>1.1000000000000001</v>
      </c>
      <c r="E52" s="96">
        <f t="shared" si="9"/>
        <v>274.58300038518064</v>
      </c>
      <c r="G52" s="156" t="s">
        <v>365</v>
      </c>
      <c r="H52" s="157"/>
      <c r="I52" s="164"/>
    </row>
    <row r="53" spans="1:9" x14ac:dyDescent="0.3">
      <c r="C53" s="199"/>
      <c r="D53" s="97">
        <v>1.25</v>
      </c>
      <c r="E53" s="96">
        <f t="shared" si="9"/>
        <v>240.43773722005099</v>
      </c>
      <c r="G53" s="158" t="s">
        <v>304</v>
      </c>
      <c r="H53" s="159"/>
      <c r="I53" s="165"/>
    </row>
    <row r="54" spans="1:9" x14ac:dyDescent="0.3">
      <c r="C54" s="199"/>
      <c r="D54" s="97">
        <v>1.5</v>
      </c>
      <c r="E54" s="96">
        <f t="shared" si="9"/>
        <v>192.70113615173005</v>
      </c>
      <c r="G54" s="160" t="s">
        <v>377</v>
      </c>
      <c r="H54" s="161"/>
      <c r="I54" s="163"/>
    </row>
    <row r="55" spans="1:9" x14ac:dyDescent="0.3">
      <c r="C55" s="199"/>
      <c r="D55" s="97">
        <v>1.75</v>
      </c>
      <c r="E55" s="96">
        <f t="shared" si="9"/>
        <v>154.44217826830754</v>
      </c>
      <c r="G55" s="143" t="s">
        <v>375</v>
      </c>
      <c r="I55" s="145"/>
    </row>
    <row r="56" spans="1:9" x14ac:dyDescent="0.3">
      <c r="C56" s="199"/>
      <c r="D56" s="97">
        <v>2</v>
      </c>
      <c r="E56" s="96">
        <f t="shared" si="9"/>
        <v>123.7791686369647</v>
      </c>
      <c r="G56" s="146" t="s">
        <v>376</v>
      </c>
      <c r="H56" s="130"/>
      <c r="I56" s="147"/>
    </row>
    <row r="57" spans="1:9" ht="15" thickBot="1" x14ac:dyDescent="0.35">
      <c r="C57" s="199"/>
      <c r="D57" s="176">
        <v>2.42</v>
      </c>
      <c r="E57" s="175">
        <f t="shared" si="9"/>
        <v>85.343160470500891</v>
      </c>
    </row>
    <row r="58" spans="1:9" ht="15" thickTop="1" x14ac:dyDescent="0.3">
      <c r="C58" s="199"/>
      <c r="D58" s="129">
        <v>2.4209999999999998</v>
      </c>
      <c r="E58" s="107">
        <v>85</v>
      </c>
      <c r="F58" t="s">
        <v>315</v>
      </c>
    </row>
    <row r="59" spans="1:9" x14ac:dyDescent="0.3">
      <c r="C59" s="199"/>
      <c r="D59" s="98">
        <v>2.75</v>
      </c>
      <c r="E59" s="99">
        <v>85</v>
      </c>
    </row>
    <row r="60" spans="1:9" x14ac:dyDescent="0.3">
      <c r="C60" s="199"/>
      <c r="D60" s="98">
        <v>3</v>
      </c>
      <c r="E60" s="99">
        <v>85</v>
      </c>
    </row>
    <row r="61" spans="1:9" x14ac:dyDescent="0.3">
      <c r="C61" s="199"/>
      <c r="D61" s="98">
        <v>3.5</v>
      </c>
      <c r="E61" s="99">
        <v>85</v>
      </c>
    </row>
    <row r="62" spans="1:9" x14ac:dyDescent="0.3">
      <c r="C62" s="199"/>
      <c r="D62" s="98">
        <v>4</v>
      </c>
      <c r="E62" s="99">
        <v>85</v>
      </c>
    </row>
    <row r="63" spans="1:9" x14ac:dyDescent="0.3">
      <c r="C63" s="199"/>
      <c r="D63" s="98">
        <v>5</v>
      </c>
      <c r="E63" s="99">
        <v>85</v>
      </c>
    </row>
    <row r="64" spans="1:9" x14ac:dyDescent="0.3">
      <c r="C64" s="199"/>
      <c r="D64" s="98">
        <v>6</v>
      </c>
      <c r="E64" s="99">
        <v>85</v>
      </c>
    </row>
    <row r="67" spans="4:10" x14ac:dyDescent="0.3">
      <c r="E67" s="108"/>
      <c r="F67" s="89"/>
    </row>
    <row r="68" spans="4:10" x14ac:dyDescent="0.3">
      <c r="E68" s="108"/>
      <c r="F68" s="89"/>
    </row>
    <row r="69" spans="4:10" x14ac:dyDescent="0.3">
      <c r="F69" s="89"/>
    </row>
    <row r="70" spans="4:10" x14ac:dyDescent="0.3">
      <c r="F70" s="89"/>
    </row>
    <row r="71" spans="4:10" x14ac:dyDescent="0.3">
      <c r="E71" s="32"/>
      <c r="F71" s="89"/>
    </row>
    <row r="72" spans="4:10" x14ac:dyDescent="0.3">
      <c r="F72" s="109"/>
    </row>
    <row r="73" spans="4:10" x14ac:dyDescent="0.3">
      <c r="E73" s="32"/>
    </row>
    <row r="76" spans="4:10" x14ac:dyDescent="0.3">
      <c r="E76" s="112"/>
      <c r="F76" s="89"/>
      <c r="J76" s="111"/>
    </row>
    <row r="77" spans="4:10" x14ac:dyDescent="0.3">
      <c r="D77" s="110"/>
      <c r="E77" s="113"/>
      <c r="F77" s="111"/>
      <c r="G77" s="111"/>
      <c r="H77" s="114"/>
      <c r="J77" s="111"/>
    </row>
    <row r="78" spans="4:10" x14ac:dyDescent="0.3">
      <c r="D78" s="110"/>
      <c r="E78" s="113"/>
      <c r="F78" s="111"/>
      <c r="G78" s="111"/>
      <c r="H78" s="114"/>
      <c r="J78" s="111"/>
    </row>
    <row r="79" spans="4:10" x14ac:dyDescent="0.3">
      <c r="D79" s="110"/>
      <c r="E79" s="113"/>
      <c r="F79" s="111"/>
      <c r="G79" s="111"/>
      <c r="H79" s="114"/>
      <c r="J79" s="111"/>
    </row>
    <row r="80" spans="4:10" x14ac:dyDescent="0.3">
      <c r="D80" s="110"/>
      <c r="E80" s="113"/>
      <c r="F80" s="111"/>
      <c r="G80" s="111"/>
      <c r="H80" s="114"/>
      <c r="J80" s="111"/>
    </row>
    <row r="81" spans="4:10" x14ac:dyDescent="0.3">
      <c r="D81" s="110"/>
      <c r="E81" s="113"/>
      <c r="F81" s="111"/>
      <c r="G81" s="111"/>
      <c r="H81" s="114"/>
      <c r="J81" s="111"/>
    </row>
    <row r="82" spans="4:10" x14ac:dyDescent="0.3">
      <c r="D82" s="110"/>
      <c r="E82" s="113"/>
      <c r="F82" s="111"/>
      <c r="G82" s="111"/>
      <c r="H82" s="114"/>
      <c r="J82" s="111"/>
    </row>
    <row r="83" spans="4:10" x14ac:dyDescent="0.3">
      <c r="D83" s="110"/>
      <c r="E83" s="113"/>
      <c r="F83" s="111"/>
      <c r="G83" s="111"/>
      <c r="H83" s="114"/>
      <c r="J83" s="111"/>
    </row>
    <row r="84" spans="4:10" x14ac:dyDescent="0.3">
      <c r="D84" s="110"/>
      <c r="E84" s="113"/>
      <c r="F84" s="111"/>
      <c r="G84" s="111"/>
      <c r="H84" s="114"/>
      <c r="J84" s="111"/>
    </row>
    <row r="85" spans="4:10" x14ac:dyDescent="0.3">
      <c r="D85" s="115"/>
      <c r="E85" s="113"/>
      <c r="F85" s="111"/>
      <c r="G85" s="111"/>
      <c r="H85" s="114"/>
      <c r="J85" s="111"/>
    </row>
    <row r="86" spans="4:10" x14ac:dyDescent="0.3">
      <c r="D86" s="115"/>
      <c r="F86" s="111"/>
      <c r="G86" s="111"/>
      <c r="H86" s="114"/>
      <c r="J86" s="111"/>
    </row>
    <row r="87" spans="4:10" x14ac:dyDescent="0.3">
      <c r="D87" s="115"/>
      <c r="F87" s="111"/>
      <c r="G87" s="111"/>
      <c r="H87" s="114"/>
    </row>
  </sheetData>
  <sheetProtection sheet="1" objects="1" scenarios="1"/>
  <mergeCells count="8">
    <mergeCell ref="C51:C64"/>
    <mergeCell ref="A1:B1"/>
    <mergeCell ref="D44:E44"/>
    <mergeCell ref="C48:C50"/>
    <mergeCell ref="D13:G13"/>
    <mergeCell ref="D1:E1"/>
    <mergeCell ref="A48:A50"/>
    <mergeCell ref="B48:B50"/>
  </mergeCells>
  <conditionalFormatting sqref="B10">
    <cfRule type="cellIs" dxfId="37" priority="5" operator="greaterThan">
      <formula>0</formula>
    </cfRule>
  </conditionalFormatting>
  <conditionalFormatting sqref="B2">
    <cfRule type="cellIs" dxfId="36" priority="12" operator="lessThan">
      <formula>$B$6</formula>
    </cfRule>
    <cfRule type="cellIs" dxfId="35" priority="13" operator="greaterThan">
      <formula>$B$6</formula>
    </cfRule>
  </conditionalFormatting>
  <conditionalFormatting sqref="B22">
    <cfRule type="cellIs" dxfId="34" priority="1" operator="greaterThan">
      <formula>0.06</formula>
    </cfRule>
    <cfRule type="expression" dxfId="33" priority="2">
      <formula>"AND(B2&lt;100000, B18&gt;=0.06*B2/12)"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B4CC9-247A-46A9-9A50-BC1B49235950}">
  <sheetPr codeName="Sheet14"/>
  <dimension ref="Q15:Y25"/>
  <sheetViews>
    <sheetView showGridLines="0" workbookViewId="0">
      <selection activeCell="Q15" sqref="Q15"/>
    </sheetView>
  </sheetViews>
  <sheetFormatPr defaultRowHeight="14.4" x14ac:dyDescent="0.3"/>
  <cols>
    <col min="15" max="15" width="3.33203125" customWidth="1"/>
    <col min="16" max="16" width="3.44140625" customWidth="1"/>
  </cols>
  <sheetData>
    <row r="15" spans="17:25" ht="18" x14ac:dyDescent="0.35">
      <c r="Q15" s="191" t="s">
        <v>368</v>
      </c>
      <c r="R15" s="140" t="s">
        <v>369</v>
      </c>
      <c r="S15" s="140"/>
      <c r="T15" s="140"/>
      <c r="U15" s="140"/>
      <c r="V15" s="140"/>
      <c r="W15" s="140"/>
      <c r="X15" s="140"/>
      <c r="Y15" s="140"/>
    </row>
    <row r="16" spans="17:25" ht="18" x14ac:dyDescent="0.35">
      <c r="Q16" s="140"/>
    </row>
    <row r="17" spans="17:17" ht="18" x14ac:dyDescent="0.35">
      <c r="Q17" s="140" t="s">
        <v>353</v>
      </c>
    </row>
    <row r="18" spans="17:17" ht="18" x14ac:dyDescent="0.35">
      <c r="Q18" s="140"/>
    </row>
    <row r="19" spans="17:17" ht="18" x14ac:dyDescent="0.35">
      <c r="Q19" s="140" t="s">
        <v>354</v>
      </c>
    </row>
    <row r="20" spans="17:17" ht="18" x14ac:dyDescent="0.35">
      <c r="Q20" s="140"/>
    </row>
    <row r="21" spans="17:17" ht="18" x14ac:dyDescent="0.35">
      <c r="Q21" s="140" t="s">
        <v>355</v>
      </c>
    </row>
    <row r="22" spans="17:17" ht="18" x14ac:dyDescent="0.35">
      <c r="Q22" s="140"/>
    </row>
    <row r="23" spans="17:17" ht="18" x14ac:dyDescent="0.35">
      <c r="Q23" s="140" t="s">
        <v>356</v>
      </c>
    </row>
    <row r="24" spans="17:17" ht="18" x14ac:dyDescent="0.35">
      <c r="Q24" s="140"/>
    </row>
    <row r="25" spans="17:17" ht="18" x14ac:dyDescent="0.35">
      <c r="Q25" s="140" t="s">
        <v>357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E6D6A-9AF7-4A17-86A1-1BC461C72A59}">
  <sheetPr codeName="Sheet7"/>
  <dimension ref="A1:J60"/>
  <sheetViews>
    <sheetView zoomScale="120" zoomScaleNormal="120" workbookViewId="0">
      <pane ySplit="4" topLeftCell="A5" activePane="bottomLeft" state="frozen"/>
      <selection pane="bottomLeft" activeCell="D8" sqref="D8"/>
    </sheetView>
  </sheetViews>
  <sheetFormatPr defaultRowHeight="14.4" x14ac:dyDescent="0.3"/>
  <cols>
    <col min="1" max="1" width="15" customWidth="1"/>
    <col min="2" max="9" width="10.44140625" customWidth="1"/>
  </cols>
  <sheetData>
    <row r="1" spans="1:10" ht="15.75" customHeight="1" thickTop="1" x14ac:dyDescent="0.3">
      <c r="A1" s="216"/>
      <c r="B1" s="220" t="s">
        <v>184</v>
      </c>
      <c r="C1" s="221"/>
      <c r="D1" s="221"/>
      <c r="E1" s="221"/>
      <c r="F1" s="221"/>
      <c r="G1" s="221"/>
      <c r="H1" s="221"/>
      <c r="I1" s="221"/>
    </row>
    <row r="2" spans="1:10" x14ac:dyDescent="0.3">
      <c r="A2" s="217"/>
      <c r="B2" s="220"/>
      <c r="C2" s="221"/>
      <c r="D2" s="221"/>
      <c r="E2" s="221"/>
      <c r="F2" s="221"/>
      <c r="G2" s="221"/>
      <c r="H2" s="221"/>
      <c r="I2" s="221"/>
    </row>
    <row r="3" spans="1:10" ht="17.399999999999999" x14ac:dyDescent="0.3">
      <c r="A3" s="51" t="s">
        <v>237</v>
      </c>
      <c r="B3" s="52" t="s">
        <v>183</v>
      </c>
      <c r="C3" s="52" t="s">
        <v>182</v>
      </c>
      <c r="D3" s="52" t="s">
        <v>181</v>
      </c>
      <c r="E3" s="52" t="s">
        <v>180</v>
      </c>
      <c r="F3" s="53">
        <v>5</v>
      </c>
      <c r="G3" s="53">
        <v>6</v>
      </c>
      <c r="H3" s="53">
        <v>7</v>
      </c>
      <c r="I3" s="53">
        <v>8</v>
      </c>
    </row>
    <row r="4" spans="1:10" x14ac:dyDescent="0.3">
      <c r="A4" s="59" t="s">
        <v>238</v>
      </c>
      <c r="B4" s="58" t="s">
        <v>239</v>
      </c>
      <c r="C4" s="58" t="s">
        <v>240</v>
      </c>
      <c r="D4" s="58" t="s">
        <v>241</v>
      </c>
      <c r="E4" s="58" t="s">
        <v>242</v>
      </c>
      <c r="F4" s="58" t="s">
        <v>243</v>
      </c>
      <c r="G4" s="58" t="s">
        <v>244</v>
      </c>
      <c r="H4" s="58" t="s">
        <v>245</v>
      </c>
      <c r="I4" s="60" t="s">
        <v>246</v>
      </c>
      <c r="J4" s="61" t="s">
        <v>122</v>
      </c>
    </row>
    <row r="5" spans="1:10" x14ac:dyDescent="0.3">
      <c r="A5" s="54" t="s">
        <v>235</v>
      </c>
      <c r="B5" s="46">
        <v>49191</v>
      </c>
      <c r="C5" s="46">
        <v>59818</v>
      </c>
      <c r="D5" s="46">
        <v>66280</v>
      </c>
      <c r="E5" s="47">
        <v>80845</v>
      </c>
      <c r="F5" s="47">
        <f>E5+9000</f>
        <v>89845</v>
      </c>
      <c r="G5" s="47">
        <f t="shared" ref="G5:I5" si="0">F5+9000</f>
        <v>98845</v>
      </c>
      <c r="H5" s="47">
        <f t="shared" si="0"/>
        <v>107845</v>
      </c>
      <c r="I5" s="47">
        <f t="shared" si="0"/>
        <v>116845</v>
      </c>
      <c r="J5" s="50" t="s">
        <v>123</v>
      </c>
    </row>
    <row r="6" spans="1:10" x14ac:dyDescent="0.3">
      <c r="A6" s="54" t="s">
        <v>234</v>
      </c>
      <c r="B6" s="46">
        <v>63223</v>
      </c>
      <c r="C6" s="46">
        <v>85572</v>
      </c>
      <c r="D6" s="46">
        <v>101965</v>
      </c>
      <c r="E6" s="47">
        <v>101965</v>
      </c>
      <c r="F6" s="47">
        <f t="shared" ref="F6:I6" si="1">E6+9000</f>
        <v>110965</v>
      </c>
      <c r="G6" s="47">
        <f t="shared" si="1"/>
        <v>119965</v>
      </c>
      <c r="H6" s="47">
        <f t="shared" si="1"/>
        <v>128965</v>
      </c>
      <c r="I6" s="47">
        <f t="shared" si="1"/>
        <v>137965</v>
      </c>
      <c r="J6" s="50" t="s">
        <v>124</v>
      </c>
    </row>
    <row r="7" spans="1:10" x14ac:dyDescent="0.3">
      <c r="A7" s="54" t="s">
        <v>233</v>
      </c>
      <c r="B7" s="46">
        <v>55159</v>
      </c>
      <c r="C7" s="46">
        <v>69122</v>
      </c>
      <c r="D7" s="46">
        <v>74639</v>
      </c>
      <c r="E7" s="47">
        <v>84669</v>
      </c>
      <c r="F7" s="47">
        <f t="shared" ref="F7:I7" si="2">E7+9000</f>
        <v>93669</v>
      </c>
      <c r="G7" s="47">
        <f t="shared" si="2"/>
        <v>102669</v>
      </c>
      <c r="H7" s="47">
        <f t="shared" si="2"/>
        <v>111669</v>
      </c>
      <c r="I7" s="47">
        <f t="shared" si="2"/>
        <v>120669</v>
      </c>
      <c r="J7" s="50" t="s">
        <v>125</v>
      </c>
    </row>
    <row r="8" spans="1:10" x14ac:dyDescent="0.3">
      <c r="A8" s="54" t="s">
        <v>232</v>
      </c>
      <c r="B8" s="46">
        <v>46120</v>
      </c>
      <c r="C8" s="46">
        <v>57753</v>
      </c>
      <c r="D8" s="46">
        <v>66203</v>
      </c>
      <c r="E8" s="47">
        <v>67349</v>
      </c>
      <c r="F8" s="47">
        <f t="shared" ref="F8:I8" si="3">E8+9000</f>
        <v>76349</v>
      </c>
      <c r="G8" s="47">
        <f t="shared" si="3"/>
        <v>85349</v>
      </c>
      <c r="H8" s="47">
        <f t="shared" si="3"/>
        <v>94349</v>
      </c>
      <c r="I8" s="47">
        <f t="shared" si="3"/>
        <v>103349</v>
      </c>
      <c r="J8" s="50" t="s">
        <v>126</v>
      </c>
    </row>
    <row r="9" spans="1:10" x14ac:dyDescent="0.3">
      <c r="A9" s="54" t="s">
        <v>231</v>
      </c>
      <c r="B9" s="46">
        <v>62171</v>
      </c>
      <c r="C9" s="46">
        <v>82418</v>
      </c>
      <c r="D9" s="46">
        <v>91605</v>
      </c>
      <c r="E9" s="47">
        <v>105232</v>
      </c>
      <c r="F9" s="47">
        <f t="shared" ref="F9:I9" si="4">E9+9000</f>
        <v>114232</v>
      </c>
      <c r="G9" s="47">
        <f t="shared" si="4"/>
        <v>123232</v>
      </c>
      <c r="H9" s="47">
        <f t="shared" si="4"/>
        <v>132232</v>
      </c>
      <c r="I9" s="47">
        <f t="shared" si="4"/>
        <v>141232</v>
      </c>
      <c r="J9" s="50" t="s">
        <v>127</v>
      </c>
    </row>
    <row r="10" spans="1:10" x14ac:dyDescent="0.3">
      <c r="A10" s="54" t="s">
        <v>230</v>
      </c>
      <c r="B10" s="46">
        <v>66942</v>
      </c>
      <c r="C10" s="46">
        <v>87103</v>
      </c>
      <c r="D10" s="46">
        <v>95050</v>
      </c>
      <c r="E10" s="47">
        <v>114066</v>
      </c>
      <c r="F10" s="47">
        <f t="shared" ref="F10:I10" si="5">E10+9000</f>
        <v>123066</v>
      </c>
      <c r="G10" s="47">
        <f t="shared" si="5"/>
        <v>132066</v>
      </c>
      <c r="H10" s="47">
        <f t="shared" si="5"/>
        <v>141066</v>
      </c>
      <c r="I10" s="47">
        <f t="shared" si="5"/>
        <v>150066</v>
      </c>
      <c r="J10" s="50" t="s">
        <v>128</v>
      </c>
    </row>
    <row r="11" spans="1:10" x14ac:dyDescent="0.3">
      <c r="A11" s="54" t="s">
        <v>229</v>
      </c>
      <c r="B11" s="46">
        <v>68400</v>
      </c>
      <c r="C11" s="46">
        <v>89186</v>
      </c>
      <c r="D11" s="46">
        <v>102282</v>
      </c>
      <c r="E11" s="47">
        <v>129379</v>
      </c>
      <c r="F11" s="47">
        <f t="shared" ref="F11:I11" si="6">E11+9000</f>
        <v>138379</v>
      </c>
      <c r="G11" s="47">
        <f t="shared" si="6"/>
        <v>147379</v>
      </c>
      <c r="H11" s="47">
        <f t="shared" si="6"/>
        <v>156379</v>
      </c>
      <c r="I11" s="47">
        <f t="shared" si="6"/>
        <v>165379</v>
      </c>
      <c r="J11" s="50" t="s">
        <v>129</v>
      </c>
    </row>
    <row r="12" spans="1:10" x14ac:dyDescent="0.3">
      <c r="A12" s="54" t="s">
        <v>228</v>
      </c>
      <c r="B12" s="46">
        <v>61395</v>
      </c>
      <c r="C12" s="46">
        <v>77853</v>
      </c>
      <c r="D12" s="46">
        <v>91369</v>
      </c>
      <c r="E12" s="47">
        <v>107204</v>
      </c>
      <c r="F12" s="47">
        <f t="shared" ref="F12:I12" si="7">E12+9000</f>
        <v>116204</v>
      </c>
      <c r="G12" s="47">
        <f t="shared" si="7"/>
        <v>125204</v>
      </c>
      <c r="H12" s="47">
        <f t="shared" si="7"/>
        <v>134204</v>
      </c>
      <c r="I12" s="47">
        <f t="shared" si="7"/>
        <v>143204</v>
      </c>
      <c r="J12" s="50" t="s">
        <v>130</v>
      </c>
    </row>
    <row r="13" spans="1:10" ht="24" x14ac:dyDescent="0.3">
      <c r="A13" s="54" t="s">
        <v>227</v>
      </c>
      <c r="B13" s="46">
        <v>70070</v>
      </c>
      <c r="C13" s="46">
        <v>130524</v>
      </c>
      <c r="D13" s="46">
        <v>130524</v>
      </c>
      <c r="E13" s="46">
        <v>171779</v>
      </c>
      <c r="F13" s="47">
        <f t="shared" ref="F13:I13" si="8">E13+9000</f>
        <v>180779</v>
      </c>
      <c r="G13" s="47">
        <f t="shared" si="8"/>
        <v>189779</v>
      </c>
      <c r="H13" s="47">
        <f t="shared" si="8"/>
        <v>198779</v>
      </c>
      <c r="I13" s="47">
        <f t="shared" si="8"/>
        <v>207779</v>
      </c>
      <c r="J13" s="50" t="s">
        <v>131</v>
      </c>
    </row>
    <row r="14" spans="1:10" x14ac:dyDescent="0.3">
      <c r="A14" s="54" t="s">
        <v>226</v>
      </c>
      <c r="B14" s="46">
        <v>52534</v>
      </c>
      <c r="C14" s="46">
        <v>65935</v>
      </c>
      <c r="D14" s="46">
        <v>70815</v>
      </c>
      <c r="E14" s="46">
        <v>84165</v>
      </c>
      <c r="F14" s="47">
        <f t="shared" ref="F14:I14" si="9">E14+9000</f>
        <v>93165</v>
      </c>
      <c r="G14" s="47">
        <f t="shared" si="9"/>
        <v>102165</v>
      </c>
      <c r="H14" s="47">
        <f t="shared" si="9"/>
        <v>111165</v>
      </c>
      <c r="I14" s="47">
        <f t="shared" si="9"/>
        <v>120165</v>
      </c>
      <c r="J14" s="50" t="s">
        <v>132</v>
      </c>
    </row>
    <row r="15" spans="1:10" x14ac:dyDescent="0.3">
      <c r="A15" s="54" t="s">
        <v>225</v>
      </c>
      <c r="B15" s="46">
        <v>52458</v>
      </c>
      <c r="C15" s="46">
        <v>67463</v>
      </c>
      <c r="D15" s="46">
        <v>75460</v>
      </c>
      <c r="E15" s="46">
        <v>91161</v>
      </c>
      <c r="F15" s="47">
        <f t="shared" ref="F15:I15" si="10">E15+9000</f>
        <v>100161</v>
      </c>
      <c r="G15" s="47">
        <f t="shared" si="10"/>
        <v>109161</v>
      </c>
      <c r="H15" s="47">
        <f t="shared" si="10"/>
        <v>118161</v>
      </c>
      <c r="I15" s="47">
        <f t="shared" si="10"/>
        <v>127161</v>
      </c>
      <c r="J15" s="50" t="s">
        <v>133</v>
      </c>
    </row>
    <row r="16" spans="1:10" x14ac:dyDescent="0.3">
      <c r="A16" s="54" t="s">
        <v>224</v>
      </c>
      <c r="B16" s="46">
        <v>71514</v>
      </c>
      <c r="C16" s="46">
        <v>83198</v>
      </c>
      <c r="D16" s="46">
        <v>94851</v>
      </c>
      <c r="E16" s="46">
        <v>118223</v>
      </c>
      <c r="F16" s="47">
        <f t="shared" ref="F16:I16" si="11">E16+9000</f>
        <v>127223</v>
      </c>
      <c r="G16" s="47">
        <f t="shared" si="11"/>
        <v>136223</v>
      </c>
      <c r="H16" s="47">
        <f t="shared" si="11"/>
        <v>145223</v>
      </c>
      <c r="I16" s="47">
        <f t="shared" si="11"/>
        <v>154223</v>
      </c>
      <c r="J16" s="50" t="s">
        <v>134</v>
      </c>
    </row>
    <row r="17" spans="1:10" x14ac:dyDescent="0.3">
      <c r="A17" s="54" t="s">
        <v>223</v>
      </c>
      <c r="B17" s="46">
        <v>51837</v>
      </c>
      <c r="C17" s="46">
        <v>64929</v>
      </c>
      <c r="D17" s="46">
        <v>72304</v>
      </c>
      <c r="E17" s="46">
        <v>89661</v>
      </c>
      <c r="F17" s="47">
        <f t="shared" ref="F17:I17" si="12">E17+9000</f>
        <v>98661</v>
      </c>
      <c r="G17" s="47">
        <f t="shared" si="12"/>
        <v>107661</v>
      </c>
      <c r="H17" s="47">
        <f t="shared" si="12"/>
        <v>116661</v>
      </c>
      <c r="I17" s="47">
        <f t="shared" si="12"/>
        <v>125661</v>
      </c>
      <c r="J17" s="50" t="s">
        <v>135</v>
      </c>
    </row>
    <row r="18" spans="1:10" x14ac:dyDescent="0.3">
      <c r="A18" s="54" t="s">
        <v>222</v>
      </c>
      <c r="B18" s="46">
        <v>57983</v>
      </c>
      <c r="C18" s="46">
        <v>76602</v>
      </c>
      <c r="D18" s="46">
        <v>91581</v>
      </c>
      <c r="E18" s="46">
        <v>107226</v>
      </c>
      <c r="F18" s="47">
        <f t="shared" ref="F18:I18" si="13">E18+9000</f>
        <v>116226</v>
      </c>
      <c r="G18" s="47">
        <f t="shared" si="13"/>
        <v>125226</v>
      </c>
      <c r="H18" s="47">
        <f t="shared" si="13"/>
        <v>134226</v>
      </c>
      <c r="I18" s="47">
        <f t="shared" si="13"/>
        <v>143226</v>
      </c>
      <c r="J18" s="50" t="s">
        <v>136</v>
      </c>
    </row>
    <row r="19" spans="1:10" x14ac:dyDescent="0.3">
      <c r="A19" s="54" t="s">
        <v>221</v>
      </c>
      <c r="B19" s="46">
        <v>51689</v>
      </c>
      <c r="C19" s="46">
        <v>65577</v>
      </c>
      <c r="D19" s="46">
        <v>77161</v>
      </c>
      <c r="E19" s="46">
        <v>90654</v>
      </c>
      <c r="F19" s="47">
        <f t="shared" ref="F19:I19" si="14">E19+9000</f>
        <v>99654</v>
      </c>
      <c r="G19" s="47">
        <f t="shared" si="14"/>
        <v>108654</v>
      </c>
      <c r="H19" s="47">
        <f t="shared" si="14"/>
        <v>117654</v>
      </c>
      <c r="I19" s="47">
        <f t="shared" si="14"/>
        <v>126654</v>
      </c>
      <c r="J19" s="50" t="s">
        <v>137</v>
      </c>
    </row>
    <row r="20" spans="1:10" x14ac:dyDescent="0.3">
      <c r="A20" s="54" t="s">
        <v>220</v>
      </c>
      <c r="B20" s="46">
        <v>51095</v>
      </c>
      <c r="C20" s="46">
        <v>70892</v>
      </c>
      <c r="D20" s="46">
        <v>80912</v>
      </c>
      <c r="E20" s="46">
        <v>95199</v>
      </c>
      <c r="F20" s="47">
        <f t="shared" ref="F20:I20" si="15">E20+9000</f>
        <v>104199</v>
      </c>
      <c r="G20" s="47">
        <f t="shared" si="15"/>
        <v>113199</v>
      </c>
      <c r="H20" s="47">
        <f t="shared" si="15"/>
        <v>122199</v>
      </c>
      <c r="I20" s="47">
        <f t="shared" si="15"/>
        <v>131199</v>
      </c>
      <c r="J20" s="50" t="s">
        <v>138</v>
      </c>
    </row>
    <row r="21" spans="1:10" x14ac:dyDescent="0.3">
      <c r="A21" s="54" t="s">
        <v>219</v>
      </c>
      <c r="B21" s="46">
        <v>51957</v>
      </c>
      <c r="C21" s="46">
        <v>71559</v>
      </c>
      <c r="D21" s="46">
        <v>83375</v>
      </c>
      <c r="E21" s="46">
        <v>92890</v>
      </c>
      <c r="F21" s="47">
        <f t="shared" ref="F21:I21" si="16">E21+9000</f>
        <v>101890</v>
      </c>
      <c r="G21" s="47">
        <f t="shared" si="16"/>
        <v>110890</v>
      </c>
      <c r="H21" s="47">
        <f t="shared" si="16"/>
        <v>119890</v>
      </c>
      <c r="I21" s="47">
        <f t="shared" si="16"/>
        <v>128890</v>
      </c>
      <c r="J21" s="50" t="s">
        <v>139</v>
      </c>
    </row>
    <row r="22" spans="1:10" x14ac:dyDescent="0.3">
      <c r="A22" s="54" t="s">
        <v>218</v>
      </c>
      <c r="B22" s="46">
        <v>49041</v>
      </c>
      <c r="C22" s="46">
        <v>58298</v>
      </c>
      <c r="D22" s="46">
        <v>67461</v>
      </c>
      <c r="E22" s="46">
        <v>81619</v>
      </c>
      <c r="F22" s="47">
        <f t="shared" ref="F22:I22" si="17">E22+9000</f>
        <v>90619</v>
      </c>
      <c r="G22" s="47">
        <f t="shared" si="17"/>
        <v>99619</v>
      </c>
      <c r="H22" s="47">
        <f t="shared" si="17"/>
        <v>108619</v>
      </c>
      <c r="I22" s="47">
        <f t="shared" si="17"/>
        <v>117619</v>
      </c>
      <c r="J22" s="50" t="s">
        <v>140</v>
      </c>
    </row>
    <row r="23" spans="1:10" x14ac:dyDescent="0.3">
      <c r="A23" s="54" t="s">
        <v>217</v>
      </c>
      <c r="B23" s="46">
        <v>46909</v>
      </c>
      <c r="C23" s="46">
        <v>57592</v>
      </c>
      <c r="D23" s="46">
        <v>67337</v>
      </c>
      <c r="E23" s="46">
        <v>82529</v>
      </c>
      <c r="F23" s="47">
        <f t="shared" ref="F23:I23" si="18">E23+9000</f>
        <v>91529</v>
      </c>
      <c r="G23" s="47">
        <f t="shared" si="18"/>
        <v>100529</v>
      </c>
      <c r="H23" s="47">
        <f t="shared" si="18"/>
        <v>109529</v>
      </c>
      <c r="I23" s="47">
        <f t="shared" si="18"/>
        <v>118529</v>
      </c>
      <c r="J23" s="50" t="s">
        <v>141</v>
      </c>
    </row>
    <row r="24" spans="1:10" x14ac:dyDescent="0.3">
      <c r="A24" s="54" t="s">
        <v>216</v>
      </c>
      <c r="B24" s="46">
        <v>54679</v>
      </c>
      <c r="C24" s="46">
        <v>68863</v>
      </c>
      <c r="D24" s="46">
        <v>82132</v>
      </c>
      <c r="E24" s="46">
        <v>91651</v>
      </c>
      <c r="F24" s="47">
        <f t="shared" ref="F24:I24" si="19">E24+9000</f>
        <v>100651</v>
      </c>
      <c r="G24" s="47">
        <f t="shared" si="19"/>
        <v>109651</v>
      </c>
      <c r="H24" s="47">
        <f t="shared" si="19"/>
        <v>118651</v>
      </c>
      <c r="I24" s="47">
        <f t="shared" si="19"/>
        <v>127651</v>
      </c>
      <c r="J24" s="50" t="s">
        <v>142</v>
      </c>
    </row>
    <row r="25" spans="1:10" x14ac:dyDescent="0.3">
      <c r="A25" s="54" t="s">
        <v>215</v>
      </c>
      <c r="B25" s="46">
        <v>70964</v>
      </c>
      <c r="C25" s="46">
        <v>93255</v>
      </c>
      <c r="D25" s="46">
        <v>107552</v>
      </c>
      <c r="E25" s="46">
        <v>130252</v>
      </c>
      <c r="F25" s="47">
        <f t="shared" ref="F25:I25" si="20">E25+9000</f>
        <v>139252</v>
      </c>
      <c r="G25" s="47">
        <f t="shared" si="20"/>
        <v>148252</v>
      </c>
      <c r="H25" s="47">
        <f t="shared" si="20"/>
        <v>157252</v>
      </c>
      <c r="I25" s="47">
        <f t="shared" si="20"/>
        <v>166252</v>
      </c>
      <c r="J25" s="50" t="s">
        <v>143</v>
      </c>
    </row>
    <row r="26" spans="1:10" x14ac:dyDescent="0.3">
      <c r="A26" s="54" t="s">
        <v>214</v>
      </c>
      <c r="B26" s="46">
        <v>70834</v>
      </c>
      <c r="C26" s="46">
        <v>90912</v>
      </c>
      <c r="D26" s="46">
        <v>110779</v>
      </c>
      <c r="E26" s="46">
        <v>140309</v>
      </c>
      <c r="F26" s="47">
        <f t="shared" ref="F26:I26" si="21">E26+9000</f>
        <v>149309</v>
      </c>
      <c r="G26" s="47">
        <f t="shared" si="21"/>
        <v>158309</v>
      </c>
      <c r="H26" s="47">
        <f t="shared" si="21"/>
        <v>167309</v>
      </c>
      <c r="I26" s="47">
        <f t="shared" si="21"/>
        <v>176309</v>
      </c>
      <c r="J26" s="50" t="s">
        <v>144</v>
      </c>
    </row>
    <row r="27" spans="1:10" x14ac:dyDescent="0.3">
      <c r="A27" s="54" t="s">
        <v>213</v>
      </c>
      <c r="B27" s="46">
        <v>53159</v>
      </c>
      <c r="C27" s="46">
        <v>66198</v>
      </c>
      <c r="D27" s="46">
        <v>79484</v>
      </c>
      <c r="E27" s="46">
        <v>97970</v>
      </c>
      <c r="F27" s="47">
        <f t="shared" ref="F27:I27" si="22">E27+9000</f>
        <v>106970</v>
      </c>
      <c r="G27" s="47">
        <f t="shared" si="22"/>
        <v>115970</v>
      </c>
      <c r="H27" s="47">
        <f t="shared" si="22"/>
        <v>124970</v>
      </c>
      <c r="I27" s="47">
        <f t="shared" si="22"/>
        <v>133970</v>
      </c>
      <c r="J27" s="50" t="s">
        <v>145</v>
      </c>
    </row>
    <row r="28" spans="1:10" x14ac:dyDescent="0.3">
      <c r="A28" s="54" t="s">
        <v>212</v>
      </c>
      <c r="B28" s="46">
        <v>61811</v>
      </c>
      <c r="C28" s="46">
        <v>81478</v>
      </c>
      <c r="D28" s="46">
        <v>100430</v>
      </c>
      <c r="E28" s="46">
        <v>118646</v>
      </c>
      <c r="F28" s="47">
        <f t="shared" ref="F28:I28" si="23">E28+9000</f>
        <v>127646</v>
      </c>
      <c r="G28" s="47">
        <f t="shared" si="23"/>
        <v>136646</v>
      </c>
      <c r="H28" s="47">
        <f t="shared" si="23"/>
        <v>145646</v>
      </c>
      <c r="I28" s="47">
        <f t="shared" si="23"/>
        <v>154646</v>
      </c>
      <c r="J28" s="50" t="s">
        <v>146</v>
      </c>
    </row>
    <row r="29" spans="1:10" x14ac:dyDescent="0.3">
      <c r="A29" s="54" t="s">
        <v>211</v>
      </c>
      <c r="B29" s="46">
        <v>44765</v>
      </c>
      <c r="C29" s="46">
        <v>53919</v>
      </c>
      <c r="D29" s="46">
        <v>57747</v>
      </c>
      <c r="E29" s="46">
        <v>70656</v>
      </c>
      <c r="F29" s="47">
        <f t="shared" ref="F29:I29" si="24">E29+9000</f>
        <v>79656</v>
      </c>
      <c r="G29" s="47">
        <f t="shared" si="24"/>
        <v>88656</v>
      </c>
      <c r="H29" s="47">
        <f t="shared" si="24"/>
        <v>97656</v>
      </c>
      <c r="I29" s="47">
        <f t="shared" si="24"/>
        <v>106656</v>
      </c>
      <c r="J29" s="50" t="s">
        <v>147</v>
      </c>
    </row>
    <row r="30" spans="1:10" x14ac:dyDescent="0.3">
      <c r="A30" s="54" t="s">
        <v>210</v>
      </c>
      <c r="B30" s="46">
        <v>50521</v>
      </c>
      <c r="C30" s="46">
        <v>65680</v>
      </c>
      <c r="D30" s="46">
        <v>75500</v>
      </c>
      <c r="E30" s="46">
        <v>89418</v>
      </c>
      <c r="F30" s="47">
        <f t="shared" ref="F30:I30" si="25">E30+9000</f>
        <v>98418</v>
      </c>
      <c r="G30" s="47">
        <f t="shared" si="25"/>
        <v>107418</v>
      </c>
      <c r="H30" s="47">
        <f t="shared" si="25"/>
        <v>116418</v>
      </c>
      <c r="I30" s="47">
        <f t="shared" si="25"/>
        <v>125418</v>
      </c>
      <c r="J30" s="50" t="s">
        <v>148</v>
      </c>
    </row>
    <row r="31" spans="1:10" x14ac:dyDescent="0.3">
      <c r="A31" s="54" t="s">
        <v>209</v>
      </c>
      <c r="B31" s="46">
        <v>54201</v>
      </c>
      <c r="C31" s="46">
        <v>67777</v>
      </c>
      <c r="D31" s="46">
        <v>75151</v>
      </c>
      <c r="E31" s="46">
        <v>81958</v>
      </c>
      <c r="F31" s="47">
        <f t="shared" ref="F31:I31" si="26">E31+9000</f>
        <v>90958</v>
      </c>
      <c r="G31" s="47">
        <f t="shared" si="26"/>
        <v>99958</v>
      </c>
      <c r="H31" s="47">
        <f t="shared" si="26"/>
        <v>108958</v>
      </c>
      <c r="I31" s="47">
        <f t="shared" si="26"/>
        <v>117958</v>
      </c>
      <c r="J31" s="50" t="s">
        <v>149</v>
      </c>
    </row>
    <row r="32" spans="1:10" x14ac:dyDescent="0.3">
      <c r="A32" s="54" t="s">
        <v>208</v>
      </c>
      <c r="B32" s="46">
        <v>50847</v>
      </c>
      <c r="C32" s="46">
        <v>71440</v>
      </c>
      <c r="D32" s="46">
        <v>85929</v>
      </c>
      <c r="E32" s="46">
        <v>96749</v>
      </c>
      <c r="F32" s="47">
        <f t="shared" ref="F32:I32" si="27">E32+9000</f>
        <v>105749</v>
      </c>
      <c r="G32" s="47">
        <f t="shared" si="27"/>
        <v>114749</v>
      </c>
      <c r="H32" s="47">
        <f t="shared" si="27"/>
        <v>123749</v>
      </c>
      <c r="I32" s="47">
        <f t="shared" si="27"/>
        <v>132749</v>
      </c>
      <c r="J32" s="50" t="s">
        <v>150</v>
      </c>
    </row>
    <row r="33" spans="1:10" x14ac:dyDescent="0.3">
      <c r="A33" s="54" t="s">
        <v>207</v>
      </c>
      <c r="B33" s="46">
        <v>53731</v>
      </c>
      <c r="C33" s="46">
        <v>68953</v>
      </c>
      <c r="D33" s="46">
        <v>76591</v>
      </c>
      <c r="E33" s="46">
        <v>83731</v>
      </c>
      <c r="F33" s="47">
        <f t="shared" ref="F33:I33" si="28">E33+9000</f>
        <v>92731</v>
      </c>
      <c r="G33" s="47">
        <f t="shared" si="28"/>
        <v>101731</v>
      </c>
      <c r="H33" s="47">
        <f t="shared" si="28"/>
        <v>110731</v>
      </c>
      <c r="I33" s="47">
        <f t="shared" si="28"/>
        <v>119731</v>
      </c>
      <c r="J33" s="50" t="s">
        <v>151</v>
      </c>
    </row>
    <row r="34" spans="1:10" x14ac:dyDescent="0.3">
      <c r="A34" s="54" t="s">
        <v>206</v>
      </c>
      <c r="B34" s="46">
        <v>71169</v>
      </c>
      <c r="C34" s="46">
        <v>82328</v>
      </c>
      <c r="D34" s="46">
        <v>106627</v>
      </c>
      <c r="E34" s="46">
        <v>128157</v>
      </c>
      <c r="F34" s="47">
        <f t="shared" ref="F34:I34" si="29">E34+9000</f>
        <v>137157</v>
      </c>
      <c r="G34" s="47">
        <f t="shared" si="29"/>
        <v>146157</v>
      </c>
      <c r="H34" s="47">
        <f t="shared" si="29"/>
        <v>155157</v>
      </c>
      <c r="I34" s="47">
        <f t="shared" si="29"/>
        <v>164157</v>
      </c>
      <c r="J34" s="50" t="s">
        <v>152</v>
      </c>
    </row>
    <row r="35" spans="1:10" x14ac:dyDescent="0.3">
      <c r="A35" s="54" t="s">
        <v>205</v>
      </c>
      <c r="B35" s="46">
        <v>71064</v>
      </c>
      <c r="C35" s="46">
        <v>87432</v>
      </c>
      <c r="D35" s="46">
        <v>111046</v>
      </c>
      <c r="E35" s="46">
        <v>132708</v>
      </c>
      <c r="F35" s="47">
        <f t="shared" ref="F35:I35" si="30">E35+9000</f>
        <v>141708</v>
      </c>
      <c r="G35" s="47">
        <f t="shared" si="30"/>
        <v>150708</v>
      </c>
      <c r="H35" s="47">
        <f t="shared" si="30"/>
        <v>159708</v>
      </c>
      <c r="I35" s="47">
        <f t="shared" si="30"/>
        <v>168708</v>
      </c>
      <c r="J35" s="50" t="s">
        <v>153</v>
      </c>
    </row>
    <row r="36" spans="1:10" x14ac:dyDescent="0.3">
      <c r="A36" s="54" t="s">
        <v>204</v>
      </c>
      <c r="B36" s="46">
        <v>46945</v>
      </c>
      <c r="C36" s="46">
        <v>57296</v>
      </c>
      <c r="D36" s="46">
        <v>62443</v>
      </c>
      <c r="E36" s="46">
        <v>66343</v>
      </c>
      <c r="F36" s="47">
        <f t="shared" ref="F36:I36" si="31">E36+9000</f>
        <v>75343</v>
      </c>
      <c r="G36" s="47">
        <f t="shared" si="31"/>
        <v>84343</v>
      </c>
      <c r="H36" s="47">
        <f t="shared" si="31"/>
        <v>93343</v>
      </c>
      <c r="I36" s="47">
        <f t="shared" si="31"/>
        <v>102343</v>
      </c>
      <c r="J36" s="50" t="s">
        <v>154</v>
      </c>
    </row>
    <row r="37" spans="1:10" x14ac:dyDescent="0.3">
      <c r="A37" s="54" t="s">
        <v>203</v>
      </c>
      <c r="B37" s="46">
        <v>59956</v>
      </c>
      <c r="C37" s="46">
        <v>76219</v>
      </c>
      <c r="D37" s="46">
        <v>91381</v>
      </c>
      <c r="E37" s="46">
        <v>111054</v>
      </c>
      <c r="F37" s="47">
        <f t="shared" ref="F37:I37" si="32">E37+9000</f>
        <v>120054</v>
      </c>
      <c r="G37" s="47">
        <f t="shared" si="32"/>
        <v>129054</v>
      </c>
      <c r="H37" s="47">
        <f t="shared" si="32"/>
        <v>138054</v>
      </c>
      <c r="I37" s="47">
        <f t="shared" si="32"/>
        <v>147054</v>
      </c>
      <c r="J37" s="50" t="s">
        <v>155</v>
      </c>
    </row>
    <row r="38" spans="1:10" x14ac:dyDescent="0.3">
      <c r="A38" s="54" t="s">
        <v>202</v>
      </c>
      <c r="B38" s="46">
        <v>50653</v>
      </c>
      <c r="C38" s="46">
        <v>66044</v>
      </c>
      <c r="D38" s="46">
        <v>72069</v>
      </c>
      <c r="E38" s="46">
        <v>88942</v>
      </c>
      <c r="F38" s="47">
        <f t="shared" ref="F38:I38" si="33">E38+9000</f>
        <v>97942</v>
      </c>
      <c r="G38" s="47">
        <f t="shared" si="33"/>
        <v>106942</v>
      </c>
      <c r="H38" s="47">
        <f t="shared" si="33"/>
        <v>115942</v>
      </c>
      <c r="I38" s="47">
        <f t="shared" si="33"/>
        <v>124942</v>
      </c>
      <c r="J38" s="50" t="s">
        <v>156</v>
      </c>
    </row>
    <row r="39" spans="1:10" x14ac:dyDescent="0.3">
      <c r="A39" s="54" t="s">
        <v>201</v>
      </c>
      <c r="B39" s="46">
        <v>55022</v>
      </c>
      <c r="C39" s="46">
        <v>77965</v>
      </c>
      <c r="D39" s="46">
        <v>89584</v>
      </c>
      <c r="E39" s="46">
        <v>103996</v>
      </c>
      <c r="F39" s="47">
        <f t="shared" ref="F39:I39" si="34">E39+9000</f>
        <v>112996</v>
      </c>
      <c r="G39" s="47">
        <f t="shared" si="34"/>
        <v>121996</v>
      </c>
      <c r="H39" s="47">
        <f t="shared" si="34"/>
        <v>130996</v>
      </c>
      <c r="I39" s="47">
        <f t="shared" si="34"/>
        <v>139996</v>
      </c>
      <c r="J39" s="50" t="s">
        <v>157</v>
      </c>
    </row>
    <row r="40" spans="1:10" x14ac:dyDescent="0.3">
      <c r="A40" s="54" t="s">
        <v>200</v>
      </c>
      <c r="B40" s="46">
        <v>51776</v>
      </c>
      <c r="C40" s="46">
        <v>66242</v>
      </c>
      <c r="D40" s="46">
        <v>78059</v>
      </c>
      <c r="E40" s="46">
        <v>95003</v>
      </c>
      <c r="F40" s="47">
        <f t="shared" ref="F40:I40" si="35">E40+9000</f>
        <v>104003</v>
      </c>
      <c r="G40" s="47">
        <f t="shared" si="35"/>
        <v>113003</v>
      </c>
      <c r="H40" s="47">
        <f t="shared" si="35"/>
        <v>122003</v>
      </c>
      <c r="I40" s="47">
        <f t="shared" si="35"/>
        <v>131003</v>
      </c>
      <c r="J40" s="50" t="s">
        <v>158</v>
      </c>
    </row>
    <row r="41" spans="1:10" x14ac:dyDescent="0.3">
      <c r="A41" s="54" t="s">
        <v>199</v>
      </c>
      <c r="B41" s="46">
        <v>48528</v>
      </c>
      <c r="C41" s="46">
        <v>63012</v>
      </c>
      <c r="D41" s="46">
        <v>67362</v>
      </c>
      <c r="E41" s="46">
        <v>78458</v>
      </c>
      <c r="F41" s="47">
        <f t="shared" ref="F41:I41" si="36">E41+9000</f>
        <v>87458</v>
      </c>
      <c r="G41" s="47">
        <f t="shared" si="36"/>
        <v>96458</v>
      </c>
      <c r="H41" s="47">
        <f t="shared" si="36"/>
        <v>105458</v>
      </c>
      <c r="I41" s="47">
        <f t="shared" si="36"/>
        <v>114458</v>
      </c>
      <c r="J41" s="50" t="s">
        <v>159</v>
      </c>
    </row>
    <row r="42" spans="1:10" x14ac:dyDescent="0.3">
      <c r="A42" s="54" t="s">
        <v>198</v>
      </c>
      <c r="B42" s="46">
        <v>61303</v>
      </c>
      <c r="C42" s="46">
        <v>73378</v>
      </c>
      <c r="D42" s="46">
        <v>88474</v>
      </c>
      <c r="E42" s="46">
        <v>100533</v>
      </c>
      <c r="F42" s="47">
        <f t="shared" ref="F42:I42" si="37">E42+9000</f>
        <v>109533</v>
      </c>
      <c r="G42" s="47">
        <f t="shared" si="37"/>
        <v>118533</v>
      </c>
      <c r="H42" s="47">
        <f t="shared" si="37"/>
        <v>127533</v>
      </c>
      <c r="I42" s="47">
        <f t="shared" si="37"/>
        <v>136533</v>
      </c>
      <c r="J42" s="50" t="s">
        <v>160</v>
      </c>
    </row>
    <row r="43" spans="1:10" x14ac:dyDescent="0.3">
      <c r="A43" s="54" t="s">
        <v>197</v>
      </c>
      <c r="B43" s="46">
        <v>57213</v>
      </c>
      <c r="C43" s="46">
        <v>70577</v>
      </c>
      <c r="D43" s="46">
        <v>87217</v>
      </c>
      <c r="E43" s="46">
        <v>103857</v>
      </c>
      <c r="F43" s="47">
        <f t="shared" ref="F43:I43" si="38">E43+9000</f>
        <v>112857</v>
      </c>
      <c r="G43" s="47">
        <f t="shared" si="38"/>
        <v>121857</v>
      </c>
      <c r="H43" s="47">
        <f t="shared" si="38"/>
        <v>130857</v>
      </c>
      <c r="I43" s="47">
        <f t="shared" si="38"/>
        <v>139857</v>
      </c>
      <c r="J43" s="50" t="s">
        <v>161</v>
      </c>
    </row>
    <row r="44" spans="1:10" x14ac:dyDescent="0.3">
      <c r="A44" s="54" t="s">
        <v>196</v>
      </c>
      <c r="B44" s="46">
        <v>63724</v>
      </c>
      <c r="C44" s="46">
        <v>79791</v>
      </c>
      <c r="D44" s="46">
        <v>95390</v>
      </c>
      <c r="E44" s="46">
        <v>108105</v>
      </c>
      <c r="F44" s="47">
        <f t="shared" ref="F44:I44" si="39">E44+9000</f>
        <v>117105</v>
      </c>
      <c r="G44" s="47">
        <f t="shared" si="39"/>
        <v>126105</v>
      </c>
      <c r="H44" s="47">
        <f t="shared" si="39"/>
        <v>135105</v>
      </c>
      <c r="I44" s="47">
        <f t="shared" si="39"/>
        <v>144105</v>
      </c>
      <c r="J44" s="50" t="s">
        <v>162</v>
      </c>
    </row>
    <row r="45" spans="1:10" x14ac:dyDescent="0.3">
      <c r="A45" s="54" t="s">
        <v>195</v>
      </c>
      <c r="B45" s="46">
        <v>49390</v>
      </c>
      <c r="C45" s="46">
        <v>64083</v>
      </c>
      <c r="D45" s="46">
        <v>70883</v>
      </c>
      <c r="E45" s="46">
        <v>85227</v>
      </c>
      <c r="F45" s="47">
        <f t="shared" ref="F45:I45" si="40">E45+9000</f>
        <v>94227</v>
      </c>
      <c r="G45" s="47">
        <f t="shared" si="40"/>
        <v>103227</v>
      </c>
      <c r="H45" s="47">
        <f t="shared" si="40"/>
        <v>112227</v>
      </c>
      <c r="I45" s="47">
        <f t="shared" si="40"/>
        <v>121227</v>
      </c>
      <c r="J45" s="50" t="s">
        <v>163</v>
      </c>
    </row>
    <row r="46" spans="1:10" x14ac:dyDescent="0.3">
      <c r="A46" s="54" t="s">
        <v>194</v>
      </c>
      <c r="B46" s="46">
        <v>51723</v>
      </c>
      <c r="C46" s="46">
        <v>70592</v>
      </c>
      <c r="D46" s="46">
        <v>82532</v>
      </c>
      <c r="E46" s="46">
        <v>90951</v>
      </c>
      <c r="F46" s="47">
        <f t="shared" ref="F46:I46" si="41">E46+9000</f>
        <v>99951</v>
      </c>
      <c r="G46" s="47">
        <f t="shared" si="41"/>
        <v>108951</v>
      </c>
      <c r="H46" s="47">
        <f t="shared" si="41"/>
        <v>117951</v>
      </c>
      <c r="I46" s="47">
        <f t="shared" si="41"/>
        <v>126951</v>
      </c>
      <c r="J46" s="50" t="s">
        <v>164</v>
      </c>
    </row>
    <row r="47" spans="1:10" x14ac:dyDescent="0.3">
      <c r="A47" s="54" t="s">
        <v>193</v>
      </c>
      <c r="B47" s="46">
        <v>50182</v>
      </c>
      <c r="C47" s="46">
        <v>63203</v>
      </c>
      <c r="D47" s="46">
        <v>71133</v>
      </c>
      <c r="E47" s="46">
        <v>85923</v>
      </c>
      <c r="F47" s="47">
        <f t="shared" ref="F47:I47" si="42">E47+9000</f>
        <v>94923</v>
      </c>
      <c r="G47" s="47">
        <f t="shared" si="42"/>
        <v>103923</v>
      </c>
      <c r="H47" s="47">
        <f t="shared" si="42"/>
        <v>112923</v>
      </c>
      <c r="I47" s="47">
        <f t="shared" si="42"/>
        <v>121923</v>
      </c>
      <c r="J47" s="50" t="s">
        <v>165</v>
      </c>
    </row>
    <row r="48" spans="1:10" x14ac:dyDescent="0.3">
      <c r="A48" s="54" t="s">
        <v>192</v>
      </c>
      <c r="B48" s="46">
        <v>52308</v>
      </c>
      <c r="C48" s="46">
        <v>70418</v>
      </c>
      <c r="D48" s="46">
        <v>76170</v>
      </c>
      <c r="E48" s="46">
        <v>88109</v>
      </c>
      <c r="F48" s="47">
        <f t="shared" ref="F48:I48" si="43">E48+9000</f>
        <v>97109</v>
      </c>
      <c r="G48" s="47">
        <f t="shared" si="43"/>
        <v>106109</v>
      </c>
      <c r="H48" s="47">
        <f t="shared" si="43"/>
        <v>115109</v>
      </c>
      <c r="I48" s="47">
        <f t="shared" si="43"/>
        <v>124109</v>
      </c>
      <c r="J48" s="50" t="s">
        <v>166</v>
      </c>
    </row>
    <row r="49" spans="1:10" x14ac:dyDescent="0.3">
      <c r="A49" s="54" t="s">
        <v>191</v>
      </c>
      <c r="B49" s="46">
        <v>66445</v>
      </c>
      <c r="C49" s="46">
        <v>72855</v>
      </c>
      <c r="D49" s="46">
        <v>85507</v>
      </c>
      <c r="E49" s="46">
        <v>95430</v>
      </c>
      <c r="F49" s="47">
        <f t="shared" ref="F49:I49" si="44">E49+9000</f>
        <v>104430</v>
      </c>
      <c r="G49" s="47">
        <f t="shared" si="44"/>
        <v>113430</v>
      </c>
      <c r="H49" s="47">
        <f t="shared" si="44"/>
        <v>122430</v>
      </c>
      <c r="I49" s="47">
        <f t="shared" si="44"/>
        <v>131430</v>
      </c>
      <c r="J49" s="50" t="s">
        <v>167</v>
      </c>
    </row>
    <row r="50" spans="1:10" x14ac:dyDescent="0.3">
      <c r="A50" s="54" t="s">
        <v>190</v>
      </c>
      <c r="B50" s="46">
        <v>55409</v>
      </c>
      <c r="C50" s="46">
        <v>73601</v>
      </c>
      <c r="D50" s="46">
        <v>87394</v>
      </c>
      <c r="E50" s="46">
        <v>111095</v>
      </c>
      <c r="F50" s="47">
        <f t="shared" ref="F50:I50" si="45">E50+9000</f>
        <v>120095</v>
      </c>
      <c r="G50" s="47">
        <f t="shared" si="45"/>
        <v>129095</v>
      </c>
      <c r="H50" s="47">
        <f t="shared" si="45"/>
        <v>138095</v>
      </c>
      <c r="I50" s="47">
        <f t="shared" si="45"/>
        <v>147095</v>
      </c>
      <c r="J50" s="50" t="s">
        <v>168</v>
      </c>
    </row>
    <row r="51" spans="1:10" x14ac:dyDescent="0.3">
      <c r="A51" s="54" t="s">
        <v>189</v>
      </c>
      <c r="B51" s="46">
        <v>64079</v>
      </c>
      <c r="C51" s="46">
        <v>81900</v>
      </c>
      <c r="D51" s="46">
        <v>97056</v>
      </c>
      <c r="E51" s="46">
        <v>114910</v>
      </c>
      <c r="F51" s="47">
        <f t="shared" ref="F51:I51" si="46">E51+9000</f>
        <v>123910</v>
      </c>
      <c r="G51" s="47">
        <f t="shared" si="46"/>
        <v>132910</v>
      </c>
      <c r="H51" s="47">
        <f t="shared" si="46"/>
        <v>141910</v>
      </c>
      <c r="I51" s="47">
        <f t="shared" si="46"/>
        <v>150910</v>
      </c>
      <c r="J51" s="50" t="s">
        <v>169</v>
      </c>
    </row>
    <row r="52" spans="1:10" x14ac:dyDescent="0.3">
      <c r="A52" s="54" t="s">
        <v>188</v>
      </c>
      <c r="B52" s="46">
        <v>70194</v>
      </c>
      <c r="C52" s="46">
        <v>85189</v>
      </c>
      <c r="D52" s="46">
        <v>98730</v>
      </c>
      <c r="E52" s="46">
        <v>112182</v>
      </c>
      <c r="F52" s="47">
        <f t="shared" ref="F52:I52" si="47">E52+9000</f>
        <v>121182</v>
      </c>
      <c r="G52" s="47">
        <f t="shared" si="47"/>
        <v>130182</v>
      </c>
      <c r="H52" s="47">
        <f t="shared" si="47"/>
        <v>139182</v>
      </c>
      <c r="I52" s="47">
        <f t="shared" si="47"/>
        <v>148182</v>
      </c>
      <c r="J52" s="50" t="s">
        <v>170</v>
      </c>
    </row>
    <row r="53" spans="1:10" x14ac:dyDescent="0.3">
      <c r="A53" s="54" t="s">
        <v>187</v>
      </c>
      <c r="B53" s="46">
        <v>50235</v>
      </c>
      <c r="C53" s="46">
        <v>54841</v>
      </c>
      <c r="D53" s="46">
        <v>67702</v>
      </c>
      <c r="E53" s="46">
        <v>73600</v>
      </c>
      <c r="F53" s="47">
        <f t="shared" ref="F53:I53" si="48">E53+9000</f>
        <v>82600</v>
      </c>
      <c r="G53" s="47">
        <f t="shared" si="48"/>
        <v>91600</v>
      </c>
      <c r="H53" s="47">
        <f t="shared" si="48"/>
        <v>100600</v>
      </c>
      <c r="I53" s="47">
        <f t="shared" si="48"/>
        <v>109600</v>
      </c>
      <c r="J53" s="50" t="s">
        <v>171</v>
      </c>
    </row>
    <row r="54" spans="1:10" x14ac:dyDescent="0.3">
      <c r="A54" s="54" t="s">
        <v>186</v>
      </c>
      <c r="B54" s="46">
        <v>54660</v>
      </c>
      <c r="C54" s="46">
        <v>72171</v>
      </c>
      <c r="D54" s="46">
        <v>87353</v>
      </c>
      <c r="E54" s="46">
        <v>103708</v>
      </c>
      <c r="F54" s="47">
        <f t="shared" ref="F54:I54" si="49">E54+9000</f>
        <v>112708</v>
      </c>
      <c r="G54" s="47">
        <f t="shared" si="49"/>
        <v>121708</v>
      </c>
      <c r="H54" s="47">
        <f t="shared" si="49"/>
        <v>130708</v>
      </c>
      <c r="I54" s="47">
        <f t="shared" si="49"/>
        <v>139708</v>
      </c>
      <c r="J54" s="50" t="s">
        <v>172</v>
      </c>
    </row>
    <row r="55" spans="1:10" x14ac:dyDescent="0.3">
      <c r="A55" s="55" t="s">
        <v>185</v>
      </c>
      <c r="B55" s="48">
        <v>57091</v>
      </c>
      <c r="C55" s="48">
        <v>71840</v>
      </c>
      <c r="D55" s="48">
        <v>83878</v>
      </c>
      <c r="E55" s="48">
        <v>100012</v>
      </c>
      <c r="F55" s="49">
        <f t="shared" ref="F55:I55" si="50">E55+9000</f>
        <v>109012</v>
      </c>
      <c r="G55" s="49">
        <f t="shared" si="50"/>
        <v>118012</v>
      </c>
      <c r="H55" s="49">
        <f t="shared" si="50"/>
        <v>127012</v>
      </c>
      <c r="I55" s="49">
        <f t="shared" si="50"/>
        <v>136012</v>
      </c>
      <c r="J55" s="50" t="s">
        <v>173</v>
      </c>
    </row>
    <row r="56" spans="1:10" x14ac:dyDescent="0.3">
      <c r="A56" s="55" t="s">
        <v>179</v>
      </c>
      <c r="B56" s="49">
        <v>42770</v>
      </c>
      <c r="C56" s="49">
        <v>51139</v>
      </c>
      <c r="D56" s="49">
        <v>58275</v>
      </c>
      <c r="E56" s="49">
        <v>70520</v>
      </c>
      <c r="F56" s="49">
        <f t="shared" ref="F56:I56" si="51">E56+9000</f>
        <v>79520</v>
      </c>
      <c r="G56" s="49">
        <f t="shared" si="51"/>
        <v>88520</v>
      </c>
      <c r="H56" s="49">
        <f t="shared" si="51"/>
        <v>97520</v>
      </c>
      <c r="I56" s="56">
        <f t="shared" si="51"/>
        <v>106520</v>
      </c>
      <c r="J56" s="50" t="s">
        <v>247</v>
      </c>
    </row>
    <row r="57" spans="1:10" ht="24" x14ac:dyDescent="0.3">
      <c r="A57" s="55" t="s">
        <v>178</v>
      </c>
      <c r="B57" s="49">
        <v>28722</v>
      </c>
      <c r="C57" s="49">
        <v>28722</v>
      </c>
      <c r="D57" s="49">
        <v>33416</v>
      </c>
      <c r="E57" s="49">
        <v>49148</v>
      </c>
      <c r="F57" s="49">
        <f t="shared" ref="F57:I57" si="52">E57+9000</f>
        <v>58148</v>
      </c>
      <c r="G57" s="49">
        <f t="shared" si="52"/>
        <v>67148</v>
      </c>
      <c r="H57" s="49">
        <f t="shared" si="52"/>
        <v>76148</v>
      </c>
      <c r="I57" s="56">
        <f t="shared" si="52"/>
        <v>85148</v>
      </c>
      <c r="J57" s="50" t="s">
        <v>250</v>
      </c>
    </row>
    <row r="58" spans="1:10" x14ac:dyDescent="0.3">
      <c r="A58" s="55" t="s">
        <v>177</v>
      </c>
      <c r="B58" s="49">
        <v>24669</v>
      </c>
      <c r="C58" s="49">
        <v>24669</v>
      </c>
      <c r="D58" s="49">
        <v>26874</v>
      </c>
      <c r="E58" s="49">
        <v>31989</v>
      </c>
      <c r="F58" s="49">
        <f t="shared" ref="F58:I58" si="53">E58+9000</f>
        <v>40989</v>
      </c>
      <c r="G58" s="49">
        <f t="shared" si="53"/>
        <v>49989</v>
      </c>
      <c r="H58" s="49">
        <f t="shared" si="53"/>
        <v>58989</v>
      </c>
      <c r="I58" s="56">
        <f t="shared" si="53"/>
        <v>67989</v>
      </c>
      <c r="J58" s="50" t="s">
        <v>249</v>
      </c>
    </row>
    <row r="59" spans="1:10" ht="15.75" customHeight="1" x14ac:dyDescent="0.3">
      <c r="A59" s="54" t="s">
        <v>176</v>
      </c>
      <c r="B59" s="47">
        <v>33935</v>
      </c>
      <c r="C59" s="47">
        <v>40785</v>
      </c>
      <c r="D59" s="47">
        <v>43486</v>
      </c>
      <c r="E59" s="47">
        <v>47642</v>
      </c>
      <c r="F59" s="47">
        <f t="shared" ref="F59:I59" si="54">E59+9000</f>
        <v>56642</v>
      </c>
      <c r="G59" s="47">
        <f t="shared" si="54"/>
        <v>65642</v>
      </c>
      <c r="H59" s="47">
        <f t="shared" si="54"/>
        <v>74642</v>
      </c>
      <c r="I59" s="57">
        <f t="shared" si="54"/>
        <v>83642</v>
      </c>
      <c r="J59" s="50" t="s">
        <v>248</v>
      </c>
    </row>
    <row r="60" spans="1:10" ht="16.2" x14ac:dyDescent="0.3">
      <c r="A60" s="218" t="s">
        <v>236</v>
      </c>
      <c r="B60" s="219"/>
      <c r="C60" s="219"/>
      <c r="D60" s="219"/>
      <c r="E60" s="219"/>
    </row>
  </sheetData>
  <sheetProtection algorithmName="SHA-512" hashValue="4bHlhi4TYMTWIGx9W6F43fBOdXke+7P5+zvSnZKHe8cBgYYjkCFzgEuX2YViE9QCtz9BykbvIHA4TqsjeQXyAg==" saltValue="tk4caUHoDgfLFnCpufR9qw==" spinCount="100000" sheet="1" objects="1" scenarios="1"/>
  <mergeCells count="3">
    <mergeCell ref="A1:A2"/>
    <mergeCell ref="A60:E60"/>
    <mergeCell ref="B1:I2"/>
  </mergeCells>
  <phoneticPr fontId="1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E30DA-19D0-4167-BE9E-667843510857}">
  <sheetPr codeName="Sheet5"/>
  <dimension ref="A1:E58"/>
  <sheetViews>
    <sheetView workbookViewId="0"/>
  </sheetViews>
  <sheetFormatPr defaultRowHeight="14.4" x14ac:dyDescent="0.3"/>
  <cols>
    <col min="1" max="1" width="28" bestFit="1" customWidth="1"/>
    <col min="2" max="2" width="22.6640625" customWidth="1"/>
    <col min="3" max="4" width="13.6640625" bestFit="1" customWidth="1"/>
  </cols>
  <sheetData>
    <row r="1" spans="1:5" x14ac:dyDescent="0.3">
      <c r="A1" t="s">
        <v>53</v>
      </c>
      <c r="B1" t="s">
        <v>54</v>
      </c>
      <c r="C1" t="s">
        <v>55</v>
      </c>
      <c r="D1" t="s">
        <v>56</v>
      </c>
      <c r="E1" t="s">
        <v>121</v>
      </c>
    </row>
    <row r="2" spans="1:5" x14ac:dyDescent="0.3">
      <c r="B2" t="s">
        <v>57</v>
      </c>
    </row>
    <row r="3" spans="1:5" x14ac:dyDescent="0.3">
      <c r="B3" t="s">
        <v>58</v>
      </c>
    </row>
    <row r="4" spans="1:5" x14ac:dyDescent="0.3">
      <c r="B4" t="s">
        <v>59</v>
      </c>
      <c r="C4" t="s">
        <v>60</v>
      </c>
      <c r="D4" t="s">
        <v>59</v>
      </c>
    </row>
    <row r="5" spans="1:5" x14ac:dyDescent="0.3">
      <c r="A5" t="s">
        <v>119</v>
      </c>
      <c r="B5" t="s">
        <v>61</v>
      </c>
      <c r="C5" t="s">
        <v>62</v>
      </c>
      <c r="D5" t="s">
        <v>63</v>
      </c>
      <c r="E5" t="s">
        <v>122</v>
      </c>
    </row>
    <row r="6" spans="1:5" x14ac:dyDescent="0.3">
      <c r="A6" t="s">
        <v>64</v>
      </c>
      <c r="B6" s="38">
        <v>66700</v>
      </c>
      <c r="C6" s="38">
        <v>70400</v>
      </c>
      <c r="D6" s="38">
        <v>55100</v>
      </c>
      <c r="E6" t="s">
        <v>123</v>
      </c>
    </row>
    <row r="7" spans="1:5" x14ac:dyDescent="0.3">
      <c r="A7" t="s">
        <v>65</v>
      </c>
      <c r="B7" s="38">
        <v>93900</v>
      </c>
      <c r="C7" s="38">
        <v>99500</v>
      </c>
      <c r="D7" s="38">
        <v>80600</v>
      </c>
      <c r="E7" t="s">
        <v>124</v>
      </c>
    </row>
    <row r="8" spans="1:5" x14ac:dyDescent="0.3">
      <c r="A8" t="s">
        <v>66</v>
      </c>
      <c r="B8" s="38">
        <v>73200</v>
      </c>
      <c r="C8" s="38">
        <v>74300</v>
      </c>
      <c r="D8" s="38">
        <v>51900</v>
      </c>
      <c r="E8" t="s">
        <v>125</v>
      </c>
    </row>
    <row r="9" spans="1:5" x14ac:dyDescent="0.3">
      <c r="A9" t="s">
        <v>67</v>
      </c>
      <c r="B9" s="38">
        <v>60700</v>
      </c>
      <c r="C9" s="38">
        <v>66900</v>
      </c>
      <c r="D9" s="38">
        <v>54100</v>
      </c>
      <c r="E9" t="s">
        <v>126</v>
      </c>
    </row>
    <row r="10" spans="1:5" x14ac:dyDescent="0.3">
      <c r="A10" t="s">
        <v>68</v>
      </c>
      <c r="B10" s="38">
        <v>90100</v>
      </c>
      <c r="C10" s="38">
        <v>90600</v>
      </c>
      <c r="D10" s="38">
        <v>69700</v>
      </c>
      <c r="E10" t="s">
        <v>127</v>
      </c>
    </row>
    <row r="11" spans="1:5" x14ac:dyDescent="0.3">
      <c r="A11" t="s">
        <v>69</v>
      </c>
      <c r="B11" s="38">
        <v>93000</v>
      </c>
      <c r="C11" s="38">
        <v>96500</v>
      </c>
      <c r="D11" s="38">
        <v>73500</v>
      </c>
      <c r="E11" t="s">
        <v>128</v>
      </c>
    </row>
    <row r="12" spans="1:5" x14ac:dyDescent="0.3">
      <c r="A12" t="s">
        <v>70</v>
      </c>
      <c r="B12" s="38">
        <v>102600</v>
      </c>
      <c r="C12" s="38">
        <v>102500</v>
      </c>
      <c r="D12" s="38">
        <v>102900</v>
      </c>
      <c r="E12" t="s">
        <v>129</v>
      </c>
    </row>
    <row r="13" spans="1:5" x14ac:dyDescent="0.3">
      <c r="A13" t="s">
        <v>71</v>
      </c>
      <c r="B13" s="38">
        <v>83000</v>
      </c>
      <c r="C13" s="38">
        <v>83000</v>
      </c>
      <c r="D13" s="38" t="s">
        <v>72</v>
      </c>
      <c r="E13" t="s">
        <v>130</v>
      </c>
    </row>
    <row r="14" spans="1:5" x14ac:dyDescent="0.3">
      <c r="A14" t="s">
        <v>73</v>
      </c>
      <c r="B14" s="38">
        <v>123100</v>
      </c>
      <c r="C14" s="38">
        <v>123100</v>
      </c>
      <c r="D14" s="38" t="s">
        <v>72</v>
      </c>
      <c r="E14" t="s">
        <v>131</v>
      </c>
    </row>
    <row r="15" spans="1:5" x14ac:dyDescent="0.3">
      <c r="A15" t="s">
        <v>74</v>
      </c>
      <c r="B15" s="38">
        <v>70000</v>
      </c>
      <c r="C15" s="38">
        <v>70600</v>
      </c>
      <c r="D15" s="38">
        <v>55400</v>
      </c>
      <c r="E15" t="s">
        <v>132</v>
      </c>
    </row>
    <row r="16" spans="1:5" x14ac:dyDescent="0.3">
      <c r="A16" t="s">
        <v>75</v>
      </c>
      <c r="B16" s="38">
        <v>74700</v>
      </c>
      <c r="C16" s="38">
        <v>79700</v>
      </c>
      <c r="D16" s="38">
        <v>54900</v>
      </c>
      <c r="E16" t="s">
        <v>133</v>
      </c>
    </row>
    <row r="17" spans="1:5" x14ac:dyDescent="0.3">
      <c r="A17" t="s">
        <v>76</v>
      </c>
      <c r="B17" s="38">
        <v>99800</v>
      </c>
      <c r="C17" s="38">
        <v>104700</v>
      </c>
      <c r="D17" s="38">
        <v>81100</v>
      </c>
      <c r="E17" t="s">
        <v>134</v>
      </c>
    </row>
    <row r="18" spans="1:5" x14ac:dyDescent="0.3">
      <c r="A18" t="s">
        <v>77</v>
      </c>
      <c r="B18" s="38">
        <v>69000</v>
      </c>
      <c r="C18" s="38">
        <v>72500</v>
      </c>
      <c r="D18" s="38">
        <v>59500</v>
      </c>
      <c r="E18" t="s">
        <v>135</v>
      </c>
    </row>
    <row r="19" spans="1:5" x14ac:dyDescent="0.3">
      <c r="A19" t="s">
        <v>78</v>
      </c>
      <c r="B19" s="38">
        <v>85000</v>
      </c>
      <c r="C19" s="38">
        <v>88400</v>
      </c>
      <c r="D19" s="38">
        <v>67900</v>
      </c>
      <c r="E19" t="s">
        <v>136</v>
      </c>
    </row>
    <row r="20" spans="1:5" x14ac:dyDescent="0.3">
      <c r="A20" t="s">
        <v>79</v>
      </c>
      <c r="B20" s="38">
        <v>73300</v>
      </c>
      <c r="C20" s="38">
        <v>75300</v>
      </c>
      <c r="D20" s="38">
        <v>66800</v>
      </c>
      <c r="E20" t="s">
        <v>137</v>
      </c>
    </row>
    <row r="21" spans="1:5" x14ac:dyDescent="0.3">
      <c r="A21" t="s">
        <v>80</v>
      </c>
      <c r="B21" s="38">
        <v>79500</v>
      </c>
      <c r="C21" s="38">
        <v>85400</v>
      </c>
      <c r="D21" s="38">
        <v>71800</v>
      </c>
      <c r="E21" t="s">
        <v>138</v>
      </c>
    </row>
    <row r="22" spans="1:5" x14ac:dyDescent="0.3">
      <c r="A22" t="s">
        <v>81</v>
      </c>
      <c r="B22" s="38">
        <v>77400</v>
      </c>
      <c r="C22" s="38">
        <v>85200</v>
      </c>
      <c r="D22" s="38">
        <v>65100</v>
      </c>
      <c r="E22" t="s">
        <v>139</v>
      </c>
    </row>
    <row r="23" spans="1:5" x14ac:dyDescent="0.3">
      <c r="A23" t="s">
        <v>82</v>
      </c>
      <c r="B23" s="38">
        <v>65100</v>
      </c>
      <c r="C23" s="38">
        <v>74400</v>
      </c>
      <c r="D23" s="38">
        <v>54300</v>
      </c>
      <c r="E23" t="s">
        <v>140</v>
      </c>
    </row>
    <row r="24" spans="1:5" x14ac:dyDescent="0.3">
      <c r="A24" t="s">
        <v>83</v>
      </c>
      <c r="B24" s="38">
        <v>64700</v>
      </c>
      <c r="C24" s="38">
        <v>68300</v>
      </c>
      <c r="D24" s="38">
        <v>48400</v>
      </c>
      <c r="E24" t="s">
        <v>141</v>
      </c>
    </row>
    <row r="25" spans="1:5" x14ac:dyDescent="0.3">
      <c r="A25" t="s">
        <v>84</v>
      </c>
      <c r="B25" s="38">
        <v>75700</v>
      </c>
      <c r="C25" s="38">
        <v>85100</v>
      </c>
      <c r="D25" s="38">
        <v>63600</v>
      </c>
      <c r="E25" t="s">
        <v>142</v>
      </c>
    </row>
    <row r="26" spans="1:5" x14ac:dyDescent="0.3">
      <c r="A26" t="s">
        <v>85</v>
      </c>
      <c r="B26" s="38">
        <v>106000</v>
      </c>
      <c r="C26" s="38">
        <v>107000</v>
      </c>
      <c r="D26" s="38">
        <v>72000</v>
      </c>
      <c r="E26" t="s">
        <v>143</v>
      </c>
    </row>
    <row r="27" spans="1:5" x14ac:dyDescent="0.3">
      <c r="A27" t="s">
        <v>86</v>
      </c>
      <c r="B27" s="38">
        <v>106200</v>
      </c>
      <c r="C27" s="38">
        <v>106500</v>
      </c>
      <c r="D27" s="38">
        <v>84100</v>
      </c>
      <c r="E27" t="s">
        <v>144</v>
      </c>
    </row>
    <row r="28" spans="1:5" x14ac:dyDescent="0.3">
      <c r="A28" t="s">
        <v>87</v>
      </c>
      <c r="B28" s="38">
        <v>75300</v>
      </c>
      <c r="C28" s="38">
        <v>78500</v>
      </c>
      <c r="D28" s="38">
        <v>64500</v>
      </c>
      <c r="E28" t="s">
        <v>145</v>
      </c>
    </row>
    <row r="29" spans="1:5" x14ac:dyDescent="0.3">
      <c r="A29" t="s">
        <v>88</v>
      </c>
      <c r="B29" s="38">
        <v>93100</v>
      </c>
      <c r="C29" s="38">
        <v>99600</v>
      </c>
      <c r="D29" s="38">
        <v>74500</v>
      </c>
      <c r="E29" t="s">
        <v>146</v>
      </c>
    </row>
    <row r="30" spans="1:5" x14ac:dyDescent="0.3">
      <c r="A30" t="s">
        <v>89</v>
      </c>
      <c r="B30" s="38">
        <v>60000</v>
      </c>
      <c r="C30" s="38">
        <v>68200</v>
      </c>
      <c r="D30" s="38">
        <v>53100</v>
      </c>
      <c r="E30" t="s">
        <v>147</v>
      </c>
    </row>
    <row r="31" spans="1:5" x14ac:dyDescent="0.3">
      <c r="A31" t="s">
        <v>90</v>
      </c>
      <c r="B31" s="38">
        <v>72300</v>
      </c>
      <c r="C31" s="38">
        <v>78900</v>
      </c>
      <c r="D31" s="38">
        <v>56300</v>
      </c>
      <c r="E31" t="s">
        <v>148</v>
      </c>
    </row>
    <row r="32" spans="1:5" x14ac:dyDescent="0.3">
      <c r="A32" t="s">
        <v>91</v>
      </c>
      <c r="B32" s="38">
        <v>72100</v>
      </c>
      <c r="C32" s="38">
        <v>73800</v>
      </c>
      <c r="D32" s="38">
        <v>71000</v>
      </c>
      <c r="E32" t="s">
        <v>149</v>
      </c>
    </row>
    <row r="33" spans="1:5" x14ac:dyDescent="0.3">
      <c r="A33" t="s">
        <v>92</v>
      </c>
      <c r="B33" s="38">
        <v>79400</v>
      </c>
      <c r="C33" s="38">
        <v>85600</v>
      </c>
      <c r="D33" s="38">
        <v>70300</v>
      </c>
      <c r="E33" t="s">
        <v>150</v>
      </c>
    </row>
    <row r="34" spans="1:5" x14ac:dyDescent="0.3">
      <c r="A34" t="s">
        <v>93</v>
      </c>
      <c r="B34" s="38">
        <v>75100</v>
      </c>
      <c r="C34" s="38">
        <v>74500</v>
      </c>
      <c r="D34" s="38">
        <v>80100</v>
      </c>
      <c r="E34" t="s">
        <v>151</v>
      </c>
    </row>
    <row r="35" spans="1:5" x14ac:dyDescent="0.3">
      <c r="A35" t="s">
        <v>94</v>
      </c>
      <c r="B35" s="38">
        <v>98200</v>
      </c>
      <c r="C35" s="38">
        <v>106200</v>
      </c>
      <c r="D35" s="38">
        <v>85300</v>
      </c>
      <c r="E35" t="s">
        <v>152</v>
      </c>
    </row>
    <row r="36" spans="1:5" x14ac:dyDescent="0.3">
      <c r="A36" t="s">
        <v>95</v>
      </c>
      <c r="B36" s="38">
        <v>106000</v>
      </c>
      <c r="C36" s="38">
        <v>106000</v>
      </c>
      <c r="D36" s="38" t="s">
        <v>72</v>
      </c>
      <c r="E36" t="s">
        <v>153</v>
      </c>
    </row>
    <row r="37" spans="1:5" x14ac:dyDescent="0.3">
      <c r="A37" t="s">
        <v>96</v>
      </c>
      <c r="B37" s="38">
        <v>61400</v>
      </c>
      <c r="C37" s="38">
        <v>64500</v>
      </c>
      <c r="D37" s="38">
        <v>54600</v>
      </c>
      <c r="E37" t="s">
        <v>154</v>
      </c>
    </row>
    <row r="38" spans="1:5" x14ac:dyDescent="0.3">
      <c r="A38" t="s">
        <v>97</v>
      </c>
      <c r="B38" s="38">
        <v>87100</v>
      </c>
      <c r="C38" s="38">
        <v>89500</v>
      </c>
      <c r="D38" s="38">
        <v>69400</v>
      </c>
      <c r="E38" t="s">
        <v>155</v>
      </c>
    </row>
    <row r="39" spans="1:5" x14ac:dyDescent="0.3">
      <c r="A39" t="s">
        <v>98</v>
      </c>
      <c r="B39" s="38">
        <v>70900</v>
      </c>
      <c r="C39" s="38">
        <v>75000</v>
      </c>
      <c r="D39" s="38">
        <v>58500</v>
      </c>
      <c r="E39" t="s">
        <v>156</v>
      </c>
    </row>
    <row r="40" spans="1:5" x14ac:dyDescent="0.3">
      <c r="A40" t="s">
        <v>99</v>
      </c>
      <c r="B40" s="38">
        <v>90100</v>
      </c>
      <c r="C40" s="38">
        <v>93000</v>
      </c>
      <c r="D40" s="38">
        <v>85800</v>
      </c>
      <c r="E40" t="s">
        <v>157</v>
      </c>
    </row>
    <row r="41" spans="1:5" x14ac:dyDescent="0.3">
      <c r="A41" t="s">
        <v>100</v>
      </c>
      <c r="B41" s="38">
        <v>75300</v>
      </c>
      <c r="C41" s="38">
        <v>78200</v>
      </c>
      <c r="D41" s="38">
        <v>66300</v>
      </c>
      <c r="E41" t="s">
        <v>158</v>
      </c>
    </row>
    <row r="42" spans="1:5" x14ac:dyDescent="0.3">
      <c r="A42" t="s">
        <v>101</v>
      </c>
      <c r="B42" s="38">
        <v>67000</v>
      </c>
      <c r="C42" s="38">
        <v>71400</v>
      </c>
      <c r="D42" s="38">
        <v>59300</v>
      </c>
      <c r="E42" t="s">
        <v>159</v>
      </c>
    </row>
    <row r="43" spans="1:5" x14ac:dyDescent="0.3">
      <c r="A43" t="s">
        <v>102</v>
      </c>
      <c r="B43" s="38">
        <v>81200</v>
      </c>
      <c r="C43" s="38">
        <v>85000</v>
      </c>
      <c r="D43" s="38">
        <v>65800</v>
      </c>
      <c r="E43" t="s">
        <v>160</v>
      </c>
    </row>
    <row r="44" spans="1:5" x14ac:dyDescent="0.3">
      <c r="A44" t="s">
        <v>103</v>
      </c>
      <c r="B44" s="38">
        <v>81000</v>
      </c>
      <c r="C44" s="38">
        <v>83800</v>
      </c>
      <c r="D44" s="38">
        <v>65100</v>
      </c>
      <c r="E44" t="s">
        <v>161</v>
      </c>
    </row>
    <row r="45" spans="1:5" x14ac:dyDescent="0.3">
      <c r="A45" t="s">
        <v>104</v>
      </c>
      <c r="B45" s="38">
        <v>88000</v>
      </c>
      <c r="C45" s="38">
        <v>88000</v>
      </c>
      <c r="D45" s="38" t="s">
        <v>72</v>
      </c>
      <c r="E45" t="s">
        <v>162</v>
      </c>
    </row>
    <row r="46" spans="1:5" x14ac:dyDescent="0.3">
      <c r="A46" t="s">
        <v>105</v>
      </c>
      <c r="B46" s="38">
        <v>68700</v>
      </c>
      <c r="C46" s="38">
        <v>71300</v>
      </c>
      <c r="D46" s="38">
        <v>53600</v>
      </c>
      <c r="E46" t="s">
        <v>163</v>
      </c>
    </row>
    <row r="47" spans="1:5" x14ac:dyDescent="0.3">
      <c r="A47" t="s">
        <v>106</v>
      </c>
      <c r="B47" s="38">
        <v>75500</v>
      </c>
      <c r="C47" s="38">
        <v>82000</v>
      </c>
      <c r="D47" s="38">
        <v>70100</v>
      </c>
      <c r="E47" t="s">
        <v>164</v>
      </c>
    </row>
    <row r="48" spans="1:5" x14ac:dyDescent="0.3">
      <c r="A48" t="s">
        <v>107</v>
      </c>
      <c r="B48" s="38">
        <v>68600</v>
      </c>
      <c r="C48" s="38">
        <v>72800</v>
      </c>
      <c r="D48" s="38">
        <v>56400</v>
      </c>
      <c r="E48" t="s">
        <v>165</v>
      </c>
    </row>
    <row r="49" spans="1:5" x14ac:dyDescent="0.3">
      <c r="A49" t="s">
        <v>108</v>
      </c>
      <c r="B49" s="38">
        <v>75100</v>
      </c>
      <c r="C49" s="38">
        <v>77400</v>
      </c>
      <c r="D49" s="38">
        <v>60900</v>
      </c>
      <c r="E49" t="s">
        <v>166</v>
      </c>
    </row>
    <row r="50" spans="1:5" x14ac:dyDescent="0.3">
      <c r="A50" t="s">
        <v>109</v>
      </c>
      <c r="B50" s="38">
        <v>85300</v>
      </c>
      <c r="C50" s="38">
        <v>86500</v>
      </c>
      <c r="D50" s="38">
        <v>74100</v>
      </c>
      <c r="E50" t="s">
        <v>167</v>
      </c>
    </row>
    <row r="51" spans="1:5" x14ac:dyDescent="0.3">
      <c r="A51" t="s">
        <v>110</v>
      </c>
      <c r="B51" s="38">
        <v>84100</v>
      </c>
      <c r="C51" s="38">
        <v>95900</v>
      </c>
      <c r="D51" s="38">
        <v>78800</v>
      </c>
      <c r="E51" t="s">
        <v>168</v>
      </c>
    </row>
    <row r="52" spans="1:5" x14ac:dyDescent="0.3">
      <c r="A52" t="s">
        <v>111</v>
      </c>
      <c r="B52" s="38">
        <v>93000</v>
      </c>
      <c r="C52" s="38">
        <v>99500</v>
      </c>
      <c r="D52" s="38">
        <v>59700</v>
      </c>
      <c r="E52" t="s">
        <v>169</v>
      </c>
    </row>
    <row r="53" spans="1:5" x14ac:dyDescent="0.3">
      <c r="A53" t="s">
        <v>112</v>
      </c>
      <c r="B53" s="38">
        <v>91600</v>
      </c>
      <c r="C53" s="38">
        <v>95200</v>
      </c>
      <c r="D53" s="38">
        <v>71300</v>
      </c>
      <c r="E53" t="s">
        <v>170</v>
      </c>
    </row>
    <row r="54" spans="1:5" x14ac:dyDescent="0.3">
      <c r="A54" t="s">
        <v>113</v>
      </c>
      <c r="B54" s="38">
        <v>60300</v>
      </c>
      <c r="C54" s="38">
        <v>63800</v>
      </c>
      <c r="D54" s="38">
        <v>54800</v>
      </c>
      <c r="E54" t="s">
        <v>171</v>
      </c>
    </row>
    <row r="55" spans="1:5" x14ac:dyDescent="0.3">
      <c r="A55" t="s">
        <v>114</v>
      </c>
      <c r="B55" s="38">
        <v>80300</v>
      </c>
      <c r="C55" s="38">
        <v>84400</v>
      </c>
      <c r="D55" s="38">
        <v>71800</v>
      </c>
      <c r="E55" t="s">
        <v>172</v>
      </c>
    </row>
    <row r="56" spans="1:5" x14ac:dyDescent="0.3">
      <c r="A56" t="s">
        <v>115</v>
      </c>
      <c r="B56" s="38">
        <v>81900</v>
      </c>
      <c r="C56" s="38">
        <v>83200</v>
      </c>
      <c r="D56" s="38">
        <v>81000</v>
      </c>
      <c r="E56" t="s">
        <v>173</v>
      </c>
    </row>
    <row r="57" spans="1:5" x14ac:dyDescent="0.3">
      <c r="A57" t="s">
        <v>116</v>
      </c>
      <c r="B57" s="38">
        <v>79900</v>
      </c>
      <c r="C57" s="38">
        <v>82800</v>
      </c>
      <c r="D57" s="38">
        <v>63400</v>
      </c>
    </row>
    <row r="58" spans="1:5" x14ac:dyDescent="0.3">
      <c r="A58" t="s">
        <v>117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DFC77-F377-4E95-A542-E607AD2F33D7}">
  <sheetPr codeName="Sheet9"/>
  <dimension ref="A1:C25"/>
  <sheetViews>
    <sheetView zoomScale="120" zoomScaleNormal="120" workbookViewId="0"/>
  </sheetViews>
  <sheetFormatPr defaultRowHeight="14.4" x14ac:dyDescent="0.3"/>
  <cols>
    <col min="1" max="1" width="56.33203125" bestFit="1" customWidth="1"/>
    <col min="2" max="2" width="29.33203125" bestFit="1" customWidth="1"/>
    <col min="3" max="3" width="19.109375" bestFit="1" customWidth="1"/>
  </cols>
  <sheetData>
    <row r="1" spans="1:3" x14ac:dyDescent="0.3">
      <c r="A1" t="s">
        <v>333</v>
      </c>
      <c r="B1" t="s">
        <v>331</v>
      </c>
      <c r="C1" t="s">
        <v>332</v>
      </c>
    </row>
    <row r="2" spans="1:3" x14ac:dyDescent="0.3">
      <c r="A2" t="s">
        <v>334</v>
      </c>
      <c r="B2">
        <v>1</v>
      </c>
      <c r="C2" s="3">
        <v>12880</v>
      </c>
    </row>
    <row r="3" spans="1:3" x14ac:dyDescent="0.3">
      <c r="A3" t="s">
        <v>334</v>
      </c>
      <c r="B3">
        <v>2</v>
      </c>
      <c r="C3" s="3">
        <v>17420</v>
      </c>
    </row>
    <row r="4" spans="1:3" x14ac:dyDescent="0.3">
      <c r="A4" t="s">
        <v>334</v>
      </c>
      <c r="B4">
        <v>3</v>
      </c>
      <c r="C4" s="3">
        <v>21960</v>
      </c>
    </row>
    <row r="5" spans="1:3" x14ac:dyDescent="0.3">
      <c r="A5" t="s">
        <v>334</v>
      </c>
      <c r="B5">
        <v>4</v>
      </c>
      <c r="C5" s="3">
        <v>26500</v>
      </c>
    </row>
    <row r="6" spans="1:3" x14ac:dyDescent="0.3">
      <c r="A6" t="s">
        <v>334</v>
      </c>
      <c r="B6">
        <v>5</v>
      </c>
      <c r="C6" s="3">
        <v>31040</v>
      </c>
    </row>
    <row r="7" spans="1:3" x14ac:dyDescent="0.3">
      <c r="A7" t="s">
        <v>334</v>
      </c>
      <c r="B7">
        <v>6</v>
      </c>
      <c r="C7" s="3">
        <v>35580</v>
      </c>
    </row>
    <row r="8" spans="1:3" x14ac:dyDescent="0.3">
      <c r="A8" t="s">
        <v>334</v>
      </c>
      <c r="B8">
        <v>7</v>
      </c>
      <c r="C8" s="3">
        <v>40120</v>
      </c>
    </row>
    <row r="9" spans="1:3" ht="15" thickBot="1" x14ac:dyDescent="0.35">
      <c r="A9" s="123" t="s">
        <v>334</v>
      </c>
      <c r="B9" s="123">
        <v>8</v>
      </c>
      <c r="C9" s="124">
        <v>44660</v>
      </c>
    </row>
    <row r="10" spans="1:3" x14ac:dyDescent="0.3">
      <c r="A10" t="s">
        <v>234</v>
      </c>
      <c r="B10">
        <v>1</v>
      </c>
      <c r="C10" s="3">
        <v>16090</v>
      </c>
    </row>
    <row r="11" spans="1:3" x14ac:dyDescent="0.3">
      <c r="A11" t="s">
        <v>234</v>
      </c>
      <c r="B11">
        <v>2</v>
      </c>
      <c r="C11" s="3">
        <v>21770</v>
      </c>
    </row>
    <row r="12" spans="1:3" x14ac:dyDescent="0.3">
      <c r="A12" t="s">
        <v>234</v>
      </c>
      <c r="B12">
        <v>3</v>
      </c>
      <c r="C12" s="3">
        <v>27450</v>
      </c>
    </row>
    <row r="13" spans="1:3" x14ac:dyDescent="0.3">
      <c r="A13" t="s">
        <v>234</v>
      </c>
      <c r="B13">
        <v>4</v>
      </c>
      <c r="C13" s="3">
        <v>33130</v>
      </c>
    </row>
    <row r="14" spans="1:3" x14ac:dyDescent="0.3">
      <c r="A14" t="s">
        <v>234</v>
      </c>
      <c r="B14">
        <v>5</v>
      </c>
      <c r="C14" s="3">
        <v>38810</v>
      </c>
    </row>
    <row r="15" spans="1:3" x14ac:dyDescent="0.3">
      <c r="A15" t="s">
        <v>234</v>
      </c>
      <c r="B15">
        <v>6</v>
      </c>
      <c r="C15" s="3">
        <v>44490</v>
      </c>
    </row>
    <row r="16" spans="1:3" x14ac:dyDescent="0.3">
      <c r="A16" t="s">
        <v>234</v>
      </c>
      <c r="B16">
        <v>7</v>
      </c>
      <c r="C16" s="3">
        <v>50170</v>
      </c>
    </row>
    <row r="17" spans="1:3" ht="15" thickBot="1" x14ac:dyDescent="0.35">
      <c r="A17" s="123" t="s">
        <v>234</v>
      </c>
      <c r="B17" s="123">
        <v>8</v>
      </c>
      <c r="C17" s="124">
        <v>55850</v>
      </c>
    </row>
    <row r="18" spans="1:3" x14ac:dyDescent="0.3">
      <c r="A18" t="s">
        <v>224</v>
      </c>
      <c r="B18">
        <v>1</v>
      </c>
      <c r="C18" s="3">
        <v>14820</v>
      </c>
    </row>
    <row r="19" spans="1:3" x14ac:dyDescent="0.3">
      <c r="A19" t="s">
        <v>224</v>
      </c>
      <c r="B19">
        <v>2</v>
      </c>
      <c r="C19" s="3">
        <v>20040</v>
      </c>
    </row>
    <row r="20" spans="1:3" x14ac:dyDescent="0.3">
      <c r="A20" t="s">
        <v>224</v>
      </c>
      <c r="B20">
        <v>3</v>
      </c>
      <c r="C20" s="3">
        <v>25260</v>
      </c>
    </row>
    <row r="21" spans="1:3" x14ac:dyDescent="0.3">
      <c r="A21" t="s">
        <v>224</v>
      </c>
      <c r="B21">
        <v>4</v>
      </c>
      <c r="C21" s="3">
        <v>30480</v>
      </c>
    </row>
    <row r="22" spans="1:3" x14ac:dyDescent="0.3">
      <c r="A22" t="s">
        <v>224</v>
      </c>
      <c r="B22">
        <v>5</v>
      </c>
      <c r="C22" s="3">
        <v>35700</v>
      </c>
    </row>
    <row r="23" spans="1:3" x14ac:dyDescent="0.3">
      <c r="A23" t="s">
        <v>224</v>
      </c>
      <c r="B23">
        <v>6</v>
      </c>
      <c r="C23" s="3">
        <v>40920</v>
      </c>
    </row>
    <row r="24" spans="1:3" x14ac:dyDescent="0.3">
      <c r="A24" t="s">
        <v>224</v>
      </c>
      <c r="B24">
        <v>7</v>
      </c>
      <c r="C24" s="3">
        <v>46140</v>
      </c>
    </row>
    <row r="25" spans="1:3" x14ac:dyDescent="0.3">
      <c r="A25" t="s">
        <v>224</v>
      </c>
      <c r="B25">
        <v>8</v>
      </c>
      <c r="C25" s="3">
        <v>51360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458B0-856F-4820-8F96-A9D0C09CD36E}">
  <sheetPr codeName="Sheet3"/>
  <dimension ref="A1:C45"/>
  <sheetViews>
    <sheetView zoomScale="130" zoomScaleNormal="130" workbookViewId="0"/>
  </sheetViews>
  <sheetFormatPr defaultRowHeight="14.4" x14ac:dyDescent="0.3"/>
  <cols>
    <col min="1" max="1" width="26.5546875" bestFit="1" customWidth="1"/>
    <col min="2" max="2" width="5.5546875" style="5" bestFit="1" customWidth="1"/>
    <col min="3" max="3" width="165.44140625" bestFit="1" customWidth="1"/>
  </cols>
  <sheetData>
    <row r="1" spans="1:3" x14ac:dyDescent="0.3">
      <c r="A1" s="19" t="s">
        <v>175</v>
      </c>
      <c r="B1" s="20" t="s">
        <v>31</v>
      </c>
      <c r="C1" s="19" t="s">
        <v>36</v>
      </c>
    </row>
    <row r="2" spans="1:3" x14ac:dyDescent="0.3">
      <c r="A2" s="17" t="s">
        <v>7</v>
      </c>
      <c r="B2" s="18">
        <v>1</v>
      </c>
      <c r="C2" s="17" t="s">
        <v>251</v>
      </c>
    </row>
    <row r="3" spans="1:3" x14ac:dyDescent="0.3">
      <c r="A3" s="17" t="s">
        <v>8</v>
      </c>
      <c r="B3" s="18">
        <v>2</v>
      </c>
      <c r="C3" s="17" t="s">
        <v>37</v>
      </c>
    </row>
    <row r="4" spans="1:3" x14ac:dyDescent="0.3">
      <c r="A4" s="17" t="s">
        <v>9</v>
      </c>
      <c r="B4" s="18">
        <v>3</v>
      </c>
      <c r="C4" s="17" t="s">
        <v>42</v>
      </c>
    </row>
    <row r="6" spans="1:3" x14ac:dyDescent="0.3">
      <c r="A6" t="s">
        <v>1</v>
      </c>
      <c r="C6" t="s">
        <v>313</v>
      </c>
    </row>
    <row r="7" spans="1:3" x14ac:dyDescent="0.3">
      <c r="A7" t="s">
        <v>30</v>
      </c>
      <c r="C7" t="s">
        <v>49</v>
      </c>
    </row>
    <row r="8" spans="1:3" x14ac:dyDescent="0.3">
      <c r="A8" t="s">
        <v>270</v>
      </c>
      <c r="C8" t="s">
        <v>50</v>
      </c>
    </row>
    <row r="9" spans="1:3" x14ac:dyDescent="0.3">
      <c r="A9" t="s">
        <v>320</v>
      </c>
      <c r="C9" t="s">
        <v>327</v>
      </c>
    </row>
    <row r="10" spans="1:3" x14ac:dyDescent="0.3">
      <c r="A10" t="s">
        <v>38</v>
      </c>
      <c r="C10" t="s">
        <v>328</v>
      </c>
    </row>
    <row r="11" spans="1:3" x14ac:dyDescent="0.3">
      <c r="A11" t="s">
        <v>10</v>
      </c>
      <c r="C11" t="s">
        <v>312</v>
      </c>
    </row>
    <row r="12" spans="1:3" x14ac:dyDescent="0.3">
      <c r="A12" t="s">
        <v>27</v>
      </c>
      <c r="C12" t="s">
        <v>326</v>
      </c>
    </row>
    <row r="13" spans="1:3" x14ac:dyDescent="0.3">
      <c r="A13" t="s">
        <v>28</v>
      </c>
      <c r="C13" t="s">
        <v>252</v>
      </c>
    </row>
    <row r="14" spans="1:3" x14ac:dyDescent="0.3">
      <c r="A14" t="s">
        <v>29</v>
      </c>
      <c r="C14" t="s">
        <v>253</v>
      </c>
    </row>
    <row r="15" spans="1:3" x14ac:dyDescent="0.3">
      <c r="A15" t="s">
        <v>308</v>
      </c>
      <c r="C15" t="s">
        <v>309</v>
      </c>
    </row>
    <row r="16" spans="1:3" x14ac:dyDescent="0.3">
      <c r="A16" t="s">
        <v>310</v>
      </c>
      <c r="C16" t="s">
        <v>311</v>
      </c>
    </row>
    <row r="17" spans="1:3" x14ac:dyDescent="0.3">
      <c r="A17" t="s">
        <v>298</v>
      </c>
      <c r="C17" t="s">
        <v>325</v>
      </c>
    </row>
    <row r="18" spans="1:3" x14ac:dyDescent="0.3">
      <c r="A18" t="s">
        <v>281</v>
      </c>
      <c r="C18" t="s">
        <v>324</v>
      </c>
    </row>
    <row r="19" spans="1:3" x14ac:dyDescent="0.3">
      <c r="A19" t="s">
        <v>279</v>
      </c>
      <c r="C19" t="s">
        <v>307</v>
      </c>
    </row>
    <row r="20" spans="1:3" x14ac:dyDescent="0.3">
      <c r="A20" t="s">
        <v>34</v>
      </c>
      <c r="C20" t="s">
        <v>314</v>
      </c>
    </row>
    <row r="21" spans="1:3" x14ac:dyDescent="0.3">
      <c r="A21" t="s">
        <v>16</v>
      </c>
      <c r="C21" t="s">
        <v>321</v>
      </c>
    </row>
    <row r="22" spans="1:3" x14ac:dyDescent="0.3">
      <c r="A22" t="s">
        <v>48</v>
      </c>
      <c r="C22" t="s">
        <v>322</v>
      </c>
    </row>
    <row r="23" spans="1:3" x14ac:dyDescent="0.3">
      <c r="A23" t="s">
        <v>39</v>
      </c>
      <c r="C23" t="s">
        <v>51</v>
      </c>
    </row>
    <row r="28" spans="1:3" x14ac:dyDescent="0.3">
      <c r="A28" s="1" t="s">
        <v>17</v>
      </c>
      <c r="C28" s="1" t="s">
        <v>18</v>
      </c>
    </row>
    <row r="29" spans="1:3" x14ac:dyDescent="0.3">
      <c r="A29" t="s">
        <v>40</v>
      </c>
      <c r="C29" t="s">
        <v>41</v>
      </c>
    </row>
    <row r="30" spans="1:3" x14ac:dyDescent="0.3">
      <c r="A30" t="s">
        <v>19</v>
      </c>
      <c r="C30" t="s">
        <v>21</v>
      </c>
    </row>
    <row r="31" spans="1:3" x14ac:dyDescent="0.3">
      <c r="A31" t="s">
        <v>22</v>
      </c>
      <c r="C31" t="s">
        <v>20</v>
      </c>
    </row>
    <row r="32" spans="1:3" x14ac:dyDescent="0.3">
      <c r="A32" t="s">
        <v>272</v>
      </c>
      <c r="C32" t="s">
        <v>273</v>
      </c>
    </row>
    <row r="36" spans="1:2" x14ac:dyDescent="0.3">
      <c r="A36" t="s">
        <v>274</v>
      </c>
    </row>
    <row r="37" spans="1:2" x14ac:dyDescent="0.3">
      <c r="A37" s="222" t="s">
        <v>267</v>
      </c>
      <c r="B37" s="222"/>
    </row>
    <row r="38" spans="1:2" x14ac:dyDescent="0.3">
      <c r="A38" s="19" t="s">
        <v>38</v>
      </c>
      <c r="B38" s="19" t="s">
        <v>263</v>
      </c>
    </row>
    <row r="39" spans="1:2" x14ac:dyDescent="0.3">
      <c r="A39" s="76">
        <v>-100000</v>
      </c>
      <c r="B39" s="17">
        <v>4</v>
      </c>
    </row>
    <row r="40" spans="1:2" x14ac:dyDescent="0.3">
      <c r="A40" s="76">
        <v>-50000</v>
      </c>
      <c r="B40" s="17">
        <v>3</v>
      </c>
    </row>
    <row r="41" spans="1:2" x14ac:dyDescent="0.3">
      <c r="A41" s="76">
        <v>-30000</v>
      </c>
      <c r="B41" s="17">
        <v>2</v>
      </c>
    </row>
    <row r="42" spans="1:2" x14ac:dyDescent="0.3">
      <c r="A42" s="76">
        <v>-20000</v>
      </c>
      <c r="B42" s="17">
        <v>1</v>
      </c>
    </row>
    <row r="43" spans="1:2" x14ac:dyDescent="0.3">
      <c r="A43" s="76">
        <v>-10000</v>
      </c>
      <c r="B43" s="17">
        <v>0.5</v>
      </c>
    </row>
    <row r="44" spans="1:2" x14ac:dyDescent="0.3">
      <c r="A44" s="76">
        <v>-6000</v>
      </c>
      <c r="B44" s="17">
        <v>0</v>
      </c>
    </row>
    <row r="45" spans="1:2" x14ac:dyDescent="0.3">
      <c r="A45" s="76">
        <v>0</v>
      </c>
      <c r="B45" s="17">
        <v>0</v>
      </c>
    </row>
  </sheetData>
  <sheetProtection sheet="1" objects="1" scenarios="1"/>
  <mergeCells count="1">
    <mergeCell ref="A37:B37"/>
  </mergeCells>
  <pageMargins left="0.7" right="0.7" top="0.75" bottom="0.75" header="0.3" footer="0.3"/>
  <pageSetup orientation="portrait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8700F-722E-48DE-8E27-0B7BC4C8D66B}">
  <sheetPr codeName="Sheet2"/>
  <dimension ref="A1:T3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" sqref="M2"/>
    </sheetView>
  </sheetViews>
  <sheetFormatPr defaultColWidth="9.33203125" defaultRowHeight="14.4" x14ac:dyDescent="0.3"/>
  <cols>
    <col min="1" max="1" width="9.33203125" style="5"/>
    <col min="2" max="2" width="4.44140625" style="5" bestFit="1" customWidth="1"/>
    <col min="3" max="3" width="19.44140625" style="5" bestFit="1" customWidth="1"/>
    <col min="4" max="4" width="11.6640625" bestFit="1" customWidth="1"/>
    <col min="5" max="5" width="20.5546875" bestFit="1" customWidth="1"/>
    <col min="6" max="6" width="17.33203125" bestFit="1" customWidth="1"/>
    <col min="7" max="7" width="22.88671875" hidden="1" customWidth="1"/>
    <col min="8" max="8" width="24.88671875" bestFit="1" customWidth="1"/>
    <col min="9" max="9" width="8.88671875" hidden="1" customWidth="1"/>
    <col min="10" max="10" width="20" bestFit="1" customWidth="1"/>
    <col min="11" max="11" width="21.44140625" hidden="1" customWidth="1"/>
    <col min="12" max="12" width="13.6640625" style="5" bestFit="1" customWidth="1"/>
    <col min="13" max="13" width="22.33203125" bestFit="1" customWidth="1"/>
    <col min="14" max="14" width="16.109375" customWidth="1"/>
    <col min="15" max="15" width="18" bestFit="1" customWidth="1"/>
    <col min="16" max="16" width="17" bestFit="1" customWidth="1"/>
    <col min="17" max="17" width="17.5546875" style="5" bestFit="1" customWidth="1"/>
    <col min="18" max="18" width="30.6640625" style="5" hidden="1" customWidth="1"/>
    <col min="19" max="19" width="22.33203125" bestFit="1" customWidth="1"/>
    <col min="20" max="20" width="24.44140625" bestFit="1" customWidth="1"/>
  </cols>
  <sheetData>
    <row r="1" spans="1:20" s="1" customFormat="1" ht="19.5" customHeight="1" x14ac:dyDescent="0.3">
      <c r="A1" s="4" t="s">
        <v>0</v>
      </c>
      <c r="B1" s="4" t="s">
        <v>1</v>
      </c>
      <c r="C1" s="4" t="s">
        <v>2</v>
      </c>
      <c r="D1" s="1" t="s">
        <v>6</v>
      </c>
      <c r="E1" s="1" t="s">
        <v>25</v>
      </c>
      <c r="F1" s="1" t="s">
        <v>3</v>
      </c>
      <c r="G1" s="1" t="s">
        <v>23</v>
      </c>
      <c r="H1" s="1" t="s">
        <v>4</v>
      </c>
      <c r="I1" s="1" t="s">
        <v>24</v>
      </c>
      <c r="J1" s="1" t="s">
        <v>5</v>
      </c>
      <c r="K1" s="1" t="s">
        <v>14</v>
      </c>
      <c r="L1" s="4" t="s">
        <v>10</v>
      </c>
      <c r="M1" s="1" t="s">
        <v>27</v>
      </c>
      <c r="N1" s="1" t="s">
        <v>15</v>
      </c>
      <c r="O1" s="1" t="s">
        <v>11</v>
      </c>
      <c r="P1" s="1" t="s">
        <v>12</v>
      </c>
      <c r="Q1" s="4" t="s">
        <v>16</v>
      </c>
      <c r="R1" s="4" t="s">
        <v>13</v>
      </c>
      <c r="S1" s="1" t="s">
        <v>33</v>
      </c>
      <c r="T1" s="1" t="s">
        <v>26</v>
      </c>
    </row>
    <row r="2" spans="1:20" x14ac:dyDescent="0.3">
      <c r="A2" s="5">
        <v>20</v>
      </c>
      <c r="B2" s="7">
        <v>30</v>
      </c>
      <c r="C2" s="5">
        <f t="shared" ref="C2:C23" si="0">65-B2</f>
        <v>35</v>
      </c>
      <c r="D2" s="7">
        <v>1</v>
      </c>
      <c r="E2" s="7">
        <v>0</v>
      </c>
      <c r="F2" s="13">
        <v>225000</v>
      </c>
      <c r="G2" s="3">
        <f t="shared" ref="G2:G23" si="1">F2*6%/12</f>
        <v>1125</v>
      </c>
      <c r="H2" s="9">
        <v>180000</v>
      </c>
      <c r="I2" s="10">
        <f t="shared" ref="I2:I23" si="2">F2-H2</f>
        <v>45000</v>
      </c>
      <c r="J2" s="12">
        <v>83000</v>
      </c>
      <c r="K2" s="3">
        <f t="shared" ref="K2:K23" si="3">J2/12</f>
        <v>6916.666666666667</v>
      </c>
      <c r="L2" s="8">
        <f>((J2/(50-C2)) + (H2/(D2+E2))) * 1/(2^12)</f>
        <v>45.296223958333336</v>
      </c>
      <c r="M2" s="3">
        <f t="shared" ref="M2:M23" si="4">F2/L2</f>
        <v>4967.3014732303263</v>
      </c>
      <c r="N2" s="11">
        <f t="shared" ref="N2:N23" si="5">M2/F2</f>
        <v>2.2076895436579227E-2</v>
      </c>
      <c r="O2" s="3">
        <f t="shared" ref="O2:O23" si="6">F2-M2</f>
        <v>220032.69852676967</v>
      </c>
      <c r="P2" s="2">
        <f>IF(J2&gt;=100000,O2/84, IF(C2&gt;14,O2/300, 100))</f>
        <v>733.44232842256554</v>
      </c>
      <c r="Q2" s="5">
        <f>IF(C2&gt;9, 7, IF(B2&gt;=60, C2, 7))</f>
        <v>7</v>
      </c>
      <c r="R2" s="5">
        <f t="shared" ref="R2:R23" si="7">P2/(J2/12)</f>
        <v>0.10603985471169622</v>
      </c>
      <c r="S2" s="3">
        <f t="shared" ref="S2:S23" si="8">P2*Q2*12</f>
        <v>61609.155587495501</v>
      </c>
      <c r="T2" s="11">
        <f t="shared" ref="T2:T23" si="9">1 - S2/F2</f>
        <v>0.72618153072224223</v>
      </c>
    </row>
    <row r="3" spans="1:20" x14ac:dyDescent="0.3">
      <c r="A3" s="5">
        <v>4</v>
      </c>
      <c r="B3" s="7">
        <v>32</v>
      </c>
      <c r="C3" s="5">
        <f t="shared" si="0"/>
        <v>33</v>
      </c>
      <c r="D3" s="7">
        <v>1</v>
      </c>
      <c r="E3" s="7">
        <v>0</v>
      </c>
      <c r="F3" s="13">
        <v>142759</v>
      </c>
      <c r="G3" s="3">
        <f t="shared" si="1"/>
        <v>713.79499999999996</v>
      </c>
      <c r="H3" s="9">
        <f>0.68*F3</f>
        <v>97076.12000000001</v>
      </c>
      <c r="I3" s="10">
        <f t="shared" si="2"/>
        <v>45682.87999999999</v>
      </c>
      <c r="J3" s="12">
        <v>159684</v>
      </c>
      <c r="K3" s="3">
        <f t="shared" si="3"/>
        <v>13307</v>
      </c>
      <c r="L3" s="8">
        <f t="shared" ref="L3:L23" si="10">((J3/(50-C3)) + (H3/(D3+E3))) * 1/(2^12)</f>
        <v>25.993480583639709</v>
      </c>
      <c r="M3" s="3">
        <f t="shared" si="4"/>
        <v>5492.1078976184699</v>
      </c>
      <c r="N3" s="11">
        <f t="shared" si="5"/>
        <v>3.8471184987415641E-2</v>
      </c>
      <c r="O3" s="3">
        <f t="shared" si="6"/>
        <v>137266.89210238153</v>
      </c>
      <c r="P3" s="2">
        <f t="shared" ref="P3:P23" si="11">IF(J3&gt;=100000,O3/84, IF(C3&gt;14,O3/300, 100))</f>
        <v>1634.1296678854944</v>
      </c>
      <c r="Q3" s="5">
        <f t="shared" ref="Q3:Q23" si="12">IF(C3&gt;9, 7, IF(B3&gt;=60, C3, 7))</f>
        <v>7</v>
      </c>
      <c r="R3" s="6">
        <f t="shared" si="7"/>
        <v>0.12280225955403129</v>
      </c>
      <c r="S3" s="3">
        <f t="shared" si="8"/>
        <v>137266.89210238153</v>
      </c>
      <c r="T3" s="11">
        <f t="shared" si="9"/>
        <v>3.8471184987415641E-2</v>
      </c>
    </row>
    <row r="4" spans="1:20" x14ac:dyDescent="0.3">
      <c r="A4" s="5">
        <v>6</v>
      </c>
      <c r="B4" s="7">
        <v>34</v>
      </c>
      <c r="C4" s="5">
        <f t="shared" si="0"/>
        <v>31</v>
      </c>
      <c r="D4" s="7">
        <v>3</v>
      </c>
      <c r="E4" s="7">
        <v>2</v>
      </c>
      <c r="F4" s="13">
        <v>125338</v>
      </c>
      <c r="G4" s="3">
        <f t="shared" si="1"/>
        <v>626.68999999999994</v>
      </c>
      <c r="H4" s="9">
        <f>F4*0.45</f>
        <v>56402.1</v>
      </c>
      <c r="I4" s="10">
        <f t="shared" si="2"/>
        <v>68935.899999999994</v>
      </c>
      <c r="J4" s="12">
        <v>58605</v>
      </c>
      <c r="K4" s="3">
        <f t="shared" si="3"/>
        <v>4883.75</v>
      </c>
      <c r="L4" s="8">
        <f t="shared" si="10"/>
        <v>3.5070541221217106</v>
      </c>
      <c r="M4" s="3">
        <f t="shared" si="4"/>
        <v>35738.826843131967</v>
      </c>
      <c r="N4" s="11">
        <f t="shared" si="5"/>
        <v>0.28513959727402677</v>
      </c>
      <c r="O4" s="3">
        <f t="shared" si="6"/>
        <v>89599.173156868026</v>
      </c>
      <c r="P4" s="2">
        <f t="shared" si="11"/>
        <v>298.66391052289345</v>
      </c>
      <c r="Q4" s="5">
        <f t="shared" si="12"/>
        <v>7</v>
      </c>
      <c r="R4" s="6">
        <f t="shared" si="7"/>
        <v>6.1154627186668739E-2</v>
      </c>
      <c r="S4" s="3">
        <f t="shared" si="8"/>
        <v>25087.76848392305</v>
      </c>
      <c r="T4" s="11">
        <f t="shared" si="9"/>
        <v>0.79983908723672748</v>
      </c>
    </row>
    <row r="5" spans="1:20" x14ac:dyDescent="0.3">
      <c r="A5" s="5">
        <v>12</v>
      </c>
      <c r="B5" s="7">
        <v>49</v>
      </c>
      <c r="C5" s="5">
        <f t="shared" si="0"/>
        <v>16</v>
      </c>
      <c r="D5" s="7">
        <v>2</v>
      </c>
      <c r="E5" s="7">
        <v>2</v>
      </c>
      <c r="F5" s="13">
        <v>113000</v>
      </c>
      <c r="G5" s="3">
        <f t="shared" si="1"/>
        <v>565</v>
      </c>
      <c r="H5" s="9">
        <v>75000</v>
      </c>
      <c r="I5" s="10">
        <f t="shared" si="2"/>
        <v>38000</v>
      </c>
      <c r="J5" s="12">
        <v>196000</v>
      </c>
      <c r="K5" s="3">
        <f t="shared" si="3"/>
        <v>16333.333333333334</v>
      </c>
      <c r="L5" s="8">
        <f t="shared" si="10"/>
        <v>5.9850356158088234</v>
      </c>
      <c r="M5" s="3">
        <f t="shared" si="4"/>
        <v>18880.422315536893</v>
      </c>
      <c r="N5" s="11">
        <f t="shared" si="5"/>
        <v>0.16708338332333533</v>
      </c>
      <c r="O5" s="3">
        <f t="shared" si="6"/>
        <v>94119.577684463104</v>
      </c>
      <c r="P5" s="2">
        <f t="shared" si="11"/>
        <v>1120.4711629102751</v>
      </c>
      <c r="Q5" s="5">
        <f t="shared" si="12"/>
        <v>7</v>
      </c>
      <c r="R5" s="6">
        <f t="shared" si="7"/>
        <v>6.8600275280220918E-2</v>
      </c>
      <c r="S5" s="3">
        <f t="shared" si="8"/>
        <v>94119.577684463118</v>
      </c>
      <c r="T5" s="11">
        <f t="shared" si="9"/>
        <v>0.16708338332333528</v>
      </c>
    </row>
    <row r="6" spans="1:20" x14ac:dyDescent="0.3">
      <c r="A6" s="5">
        <v>3</v>
      </c>
      <c r="B6" s="7">
        <v>62</v>
      </c>
      <c r="C6" s="5">
        <f t="shared" si="0"/>
        <v>3</v>
      </c>
      <c r="D6" s="7">
        <v>2</v>
      </c>
      <c r="E6" s="7">
        <v>0</v>
      </c>
      <c r="F6" s="13">
        <v>105499</v>
      </c>
      <c r="G6" s="3">
        <f t="shared" si="1"/>
        <v>527.495</v>
      </c>
      <c r="H6" s="9">
        <f>F6 * 0.55</f>
        <v>58024.450000000004</v>
      </c>
      <c r="I6" s="10">
        <f t="shared" si="2"/>
        <v>47474.549999999996</v>
      </c>
      <c r="J6" s="12">
        <v>68067</v>
      </c>
      <c r="K6" s="3">
        <f t="shared" si="3"/>
        <v>5672.25</v>
      </c>
      <c r="L6" s="8">
        <f t="shared" si="10"/>
        <v>7.4366355084358382</v>
      </c>
      <c r="M6" s="3">
        <f t="shared" si="4"/>
        <v>14186.38843874033</v>
      </c>
      <c r="N6" s="11">
        <f t="shared" si="5"/>
        <v>0.13446941145167565</v>
      </c>
      <c r="O6" s="3">
        <f t="shared" si="6"/>
        <v>91312.611561259662</v>
      </c>
      <c r="P6" s="2">
        <f t="shared" si="11"/>
        <v>100</v>
      </c>
      <c r="Q6" s="5">
        <f t="shared" si="12"/>
        <v>3</v>
      </c>
      <c r="R6" s="6">
        <f t="shared" si="7"/>
        <v>1.7629688395257612E-2</v>
      </c>
      <c r="S6" s="3">
        <f t="shared" si="8"/>
        <v>3600</v>
      </c>
      <c r="T6" s="11">
        <f t="shared" si="9"/>
        <v>0.96587645380524934</v>
      </c>
    </row>
    <row r="7" spans="1:20" x14ac:dyDescent="0.3">
      <c r="A7" s="5">
        <v>8</v>
      </c>
      <c r="B7" s="7">
        <v>29</v>
      </c>
      <c r="C7" s="5">
        <f t="shared" si="0"/>
        <v>36</v>
      </c>
      <c r="D7" s="7">
        <v>1</v>
      </c>
      <c r="E7" s="7">
        <v>0</v>
      </c>
      <c r="F7" s="13">
        <v>87505</v>
      </c>
      <c r="G7" s="3">
        <f t="shared" si="1"/>
        <v>437.52500000000003</v>
      </c>
      <c r="H7" s="9">
        <v>49100</v>
      </c>
      <c r="I7" s="10">
        <f t="shared" si="2"/>
        <v>38405</v>
      </c>
      <c r="J7" s="12">
        <v>86500</v>
      </c>
      <c r="K7" s="3">
        <f t="shared" si="3"/>
        <v>7208.333333333333</v>
      </c>
      <c r="L7" s="8">
        <f t="shared" si="10"/>
        <v>13.495744977678571</v>
      </c>
      <c r="M7" s="3">
        <f t="shared" si="4"/>
        <v>6483.8954903734329</v>
      </c>
      <c r="N7" s="11">
        <f t="shared" si="5"/>
        <v>7.4097428608347324E-2</v>
      </c>
      <c r="O7" s="3">
        <f t="shared" si="6"/>
        <v>81021.104509626573</v>
      </c>
      <c r="P7" s="2">
        <f t="shared" si="11"/>
        <v>270.07034836542192</v>
      </c>
      <c r="Q7" s="5">
        <f t="shared" si="12"/>
        <v>7</v>
      </c>
      <c r="R7" s="6">
        <f t="shared" si="7"/>
        <v>3.7466406709653913E-2</v>
      </c>
      <c r="S7" s="3">
        <f t="shared" si="8"/>
        <v>22685.909262695441</v>
      </c>
      <c r="T7" s="11">
        <f t="shared" si="9"/>
        <v>0.74074728001033718</v>
      </c>
    </row>
    <row r="8" spans="1:20" x14ac:dyDescent="0.3">
      <c r="A8" s="5">
        <v>19</v>
      </c>
      <c r="B8" s="7">
        <v>56</v>
      </c>
      <c r="C8" s="5">
        <f t="shared" si="0"/>
        <v>9</v>
      </c>
      <c r="D8" s="7">
        <v>2</v>
      </c>
      <c r="E8" s="7">
        <v>0</v>
      </c>
      <c r="F8" s="13">
        <v>74000</v>
      </c>
      <c r="G8" s="3">
        <f t="shared" si="1"/>
        <v>370</v>
      </c>
      <c r="H8" s="9">
        <v>26000</v>
      </c>
      <c r="I8" s="10">
        <f t="shared" si="2"/>
        <v>48000</v>
      </c>
      <c r="J8" s="12">
        <v>28000</v>
      </c>
      <c r="K8" s="3">
        <f t="shared" si="3"/>
        <v>2333.3333333333335</v>
      </c>
      <c r="L8" s="8">
        <f t="shared" si="10"/>
        <v>3.3405583079268291</v>
      </c>
      <c r="M8" s="3">
        <f t="shared" si="4"/>
        <v>22151.985739750446</v>
      </c>
      <c r="N8" s="11">
        <f t="shared" si="5"/>
        <v>0.29935115864527628</v>
      </c>
      <c r="O8" s="3">
        <f t="shared" si="6"/>
        <v>51848.014260249554</v>
      </c>
      <c r="P8" s="2">
        <f t="shared" si="11"/>
        <v>100</v>
      </c>
      <c r="Q8" s="5">
        <f t="shared" si="12"/>
        <v>7</v>
      </c>
      <c r="R8" s="5">
        <f t="shared" si="7"/>
        <v>4.2857142857142858E-2</v>
      </c>
      <c r="S8" s="3">
        <f t="shared" si="8"/>
        <v>8400</v>
      </c>
      <c r="T8" s="11">
        <f t="shared" si="9"/>
        <v>0.88648648648648654</v>
      </c>
    </row>
    <row r="9" spans="1:20" x14ac:dyDescent="0.3">
      <c r="A9" s="5">
        <v>11</v>
      </c>
      <c r="B9" s="7">
        <v>26</v>
      </c>
      <c r="C9" s="5">
        <f t="shared" si="0"/>
        <v>39</v>
      </c>
      <c r="D9" s="7">
        <v>1</v>
      </c>
      <c r="E9" s="7">
        <v>0</v>
      </c>
      <c r="F9" s="13">
        <v>71545</v>
      </c>
      <c r="G9" s="3">
        <f t="shared" si="1"/>
        <v>357.72499999999997</v>
      </c>
      <c r="H9" s="9">
        <v>56250</v>
      </c>
      <c r="I9" s="10">
        <f t="shared" si="2"/>
        <v>15295</v>
      </c>
      <c r="J9" s="12">
        <v>48000</v>
      </c>
      <c r="K9" s="3">
        <f t="shared" si="3"/>
        <v>4000</v>
      </c>
      <c r="L9" s="8">
        <f t="shared" si="10"/>
        <v>14.79825106534091</v>
      </c>
      <c r="M9" s="3">
        <f t="shared" si="4"/>
        <v>4834.6929433820769</v>
      </c>
      <c r="N9" s="11">
        <f t="shared" si="5"/>
        <v>6.7575553055868015E-2</v>
      </c>
      <c r="O9" s="3">
        <f t="shared" si="6"/>
        <v>66710.307056617923</v>
      </c>
      <c r="P9" s="2">
        <f t="shared" si="11"/>
        <v>222.36769018872641</v>
      </c>
      <c r="Q9" s="5">
        <f t="shared" si="12"/>
        <v>7</v>
      </c>
      <c r="R9" s="6">
        <f t="shared" si="7"/>
        <v>5.5591922547181601E-2</v>
      </c>
      <c r="S9" s="3">
        <f t="shared" si="8"/>
        <v>18678.88597585302</v>
      </c>
      <c r="T9" s="11">
        <f t="shared" si="9"/>
        <v>0.73892115485564303</v>
      </c>
    </row>
    <row r="10" spans="1:20" x14ac:dyDescent="0.3">
      <c r="A10" s="5">
        <v>7</v>
      </c>
      <c r="B10" s="7">
        <v>40</v>
      </c>
      <c r="C10" s="5">
        <f t="shared" si="0"/>
        <v>25</v>
      </c>
      <c r="D10" s="7">
        <v>2</v>
      </c>
      <c r="E10" s="7">
        <v>2</v>
      </c>
      <c r="F10" s="13">
        <v>66205</v>
      </c>
      <c r="G10" s="3">
        <f t="shared" si="1"/>
        <v>331.02499999999998</v>
      </c>
      <c r="H10" s="9">
        <v>37500</v>
      </c>
      <c r="I10" s="10">
        <f t="shared" si="2"/>
        <v>28705</v>
      </c>
      <c r="J10" s="12">
        <v>72000</v>
      </c>
      <c r="K10" s="3">
        <f t="shared" si="3"/>
        <v>6000</v>
      </c>
      <c r="L10" s="8">
        <f t="shared" si="10"/>
        <v>2.991943359375</v>
      </c>
      <c r="M10" s="3">
        <f t="shared" si="4"/>
        <v>22127.758465932271</v>
      </c>
      <c r="N10" s="11">
        <f t="shared" si="5"/>
        <v>0.33423092615259076</v>
      </c>
      <c r="O10" s="3">
        <f t="shared" si="6"/>
        <v>44077.241534067725</v>
      </c>
      <c r="P10" s="2">
        <f t="shared" si="11"/>
        <v>146.92413844689241</v>
      </c>
      <c r="Q10" s="5">
        <f t="shared" si="12"/>
        <v>7</v>
      </c>
      <c r="R10" s="6">
        <f t="shared" si="7"/>
        <v>2.4487356407815401E-2</v>
      </c>
      <c r="S10" s="3">
        <f t="shared" si="8"/>
        <v>12341.627629538963</v>
      </c>
      <c r="T10" s="11">
        <f t="shared" si="9"/>
        <v>0.81358465932272539</v>
      </c>
    </row>
    <row r="11" spans="1:20" x14ac:dyDescent="0.3">
      <c r="A11" s="5">
        <v>18</v>
      </c>
      <c r="B11" s="7">
        <v>35</v>
      </c>
      <c r="C11" s="5">
        <f t="shared" si="0"/>
        <v>30</v>
      </c>
      <c r="D11" s="7">
        <v>2</v>
      </c>
      <c r="E11" s="7">
        <v>0</v>
      </c>
      <c r="F11" s="13">
        <v>61000</v>
      </c>
      <c r="G11" s="3">
        <f t="shared" si="1"/>
        <v>305</v>
      </c>
      <c r="H11" s="9">
        <v>40000</v>
      </c>
      <c r="I11" s="10">
        <f t="shared" si="2"/>
        <v>21000</v>
      </c>
      <c r="J11" s="12">
        <v>48000</v>
      </c>
      <c r="K11" s="3">
        <f t="shared" si="3"/>
        <v>4000</v>
      </c>
      <c r="L11" s="8">
        <f t="shared" si="10"/>
        <v>5.46875</v>
      </c>
      <c r="M11" s="3">
        <f t="shared" si="4"/>
        <v>11154.285714285714</v>
      </c>
      <c r="N11" s="11">
        <f t="shared" si="5"/>
        <v>0.18285714285714286</v>
      </c>
      <c r="O11" s="3">
        <f t="shared" si="6"/>
        <v>49845.71428571429</v>
      </c>
      <c r="P11" s="2">
        <f t="shared" si="11"/>
        <v>166.15238095238098</v>
      </c>
      <c r="Q11" s="5">
        <f t="shared" si="12"/>
        <v>7</v>
      </c>
      <c r="R11" s="6">
        <f t="shared" si="7"/>
        <v>4.1538095238095242E-2</v>
      </c>
      <c r="S11" s="3">
        <f t="shared" si="8"/>
        <v>13956.800000000003</v>
      </c>
      <c r="T11" s="11">
        <f t="shared" si="9"/>
        <v>0.77119999999999989</v>
      </c>
    </row>
    <row r="12" spans="1:20" x14ac:dyDescent="0.3">
      <c r="A12" s="5">
        <v>15</v>
      </c>
      <c r="B12" s="7">
        <v>24</v>
      </c>
      <c r="C12" s="5">
        <f t="shared" si="0"/>
        <v>41</v>
      </c>
      <c r="D12" s="7">
        <v>1</v>
      </c>
      <c r="E12" s="7">
        <v>0</v>
      </c>
      <c r="F12" s="13">
        <v>56000</v>
      </c>
      <c r="G12" s="3">
        <f t="shared" si="1"/>
        <v>280</v>
      </c>
      <c r="H12" s="9">
        <v>48500</v>
      </c>
      <c r="I12" s="10">
        <f t="shared" si="2"/>
        <v>7500</v>
      </c>
      <c r="J12" s="12">
        <v>44000</v>
      </c>
      <c r="K12" s="3">
        <f t="shared" si="3"/>
        <v>3666.6666666666665</v>
      </c>
      <c r="L12" s="8">
        <f t="shared" si="10"/>
        <v>13.034396701388889</v>
      </c>
      <c r="M12" s="3">
        <f t="shared" si="4"/>
        <v>4296.3246618106141</v>
      </c>
      <c r="N12" s="11">
        <f t="shared" si="5"/>
        <v>7.6720083246618109E-2</v>
      </c>
      <c r="O12" s="3">
        <f t="shared" si="6"/>
        <v>51703.675338189387</v>
      </c>
      <c r="P12" s="2">
        <f t="shared" si="11"/>
        <v>172.3455844606313</v>
      </c>
      <c r="Q12" s="5">
        <f t="shared" si="12"/>
        <v>7</v>
      </c>
      <c r="R12" s="6">
        <f t="shared" si="7"/>
        <v>4.7003341216535814E-2</v>
      </c>
      <c r="S12" s="3">
        <f t="shared" si="8"/>
        <v>14477.029094693029</v>
      </c>
      <c r="T12" s="11">
        <f t="shared" si="9"/>
        <v>0.7414816233090531</v>
      </c>
    </row>
    <row r="13" spans="1:20" x14ac:dyDescent="0.3">
      <c r="A13" s="5">
        <v>5</v>
      </c>
      <c r="B13" s="7">
        <v>61</v>
      </c>
      <c r="C13" s="5">
        <f t="shared" si="0"/>
        <v>4</v>
      </c>
      <c r="D13" s="7">
        <v>2</v>
      </c>
      <c r="E13" s="7">
        <v>0</v>
      </c>
      <c r="F13" s="13">
        <v>51878</v>
      </c>
      <c r="G13" s="3">
        <f t="shared" si="1"/>
        <v>259.39</v>
      </c>
      <c r="H13" s="9">
        <f>F13*0.35</f>
        <v>18157.3</v>
      </c>
      <c r="I13" s="10">
        <f t="shared" si="2"/>
        <v>33720.699999999997</v>
      </c>
      <c r="J13" s="12">
        <v>48624</v>
      </c>
      <c r="K13" s="3">
        <f t="shared" si="3"/>
        <v>4052</v>
      </c>
      <c r="L13" s="8">
        <f t="shared" si="10"/>
        <v>2.4745345405910326</v>
      </c>
      <c r="M13" s="3">
        <f t="shared" si="4"/>
        <v>20964.750804249896</v>
      </c>
      <c r="N13" s="11">
        <f t="shared" si="5"/>
        <v>0.4041164039525405</v>
      </c>
      <c r="O13" s="3">
        <f t="shared" si="6"/>
        <v>30913.249195750104</v>
      </c>
      <c r="P13" s="2">
        <f t="shared" si="11"/>
        <v>100</v>
      </c>
      <c r="Q13" s="5">
        <f t="shared" si="12"/>
        <v>4</v>
      </c>
      <c r="R13" s="6">
        <f t="shared" si="7"/>
        <v>2.4679170779861797E-2</v>
      </c>
      <c r="S13" s="3">
        <f t="shared" si="8"/>
        <v>4800</v>
      </c>
      <c r="T13" s="11">
        <f t="shared" si="9"/>
        <v>0.90747523034812438</v>
      </c>
    </row>
    <row r="14" spans="1:20" x14ac:dyDescent="0.3">
      <c r="A14" s="5">
        <v>17</v>
      </c>
      <c r="B14" s="7">
        <v>46</v>
      </c>
      <c r="C14" s="5">
        <f t="shared" si="0"/>
        <v>19</v>
      </c>
      <c r="D14" s="7">
        <v>1</v>
      </c>
      <c r="E14" s="7">
        <v>0</v>
      </c>
      <c r="F14" s="13">
        <v>50000</v>
      </c>
      <c r="G14" s="3">
        <f t="shared" si="1"/>
        <v>250</v>
      </c>
      <c r="H14" s="9">
        <v>20000</v>
      </c>
      <c r="I14" s="10">
        <f t="shared" si="2"/>
        <v>30000</v>
      </c>
      <c r="J14" s="12">
        <v>40000</v>
      </c>
      <c r="K14" s="3">
        <f t="shared" si="3"/>
        <v>3333.3333333333335</v>
      </c>
      <c r="L14" s="8">
        <f t="shared" si="10"/>
        <v>5.197832661290323</v>
      </c>
      <c r="M14" s="3">
        <f t="shared" si="4"/>
        <v>9619.3939393939381</v>
      </c>
      <c r="N14" s="11">
        <f t="shared" si="5"/>
        <v>0.19238787878787877</v>
      </c>
      <c r="O14" s="3">
        <f t="shared" si="6"/>
        <v>40380.606060606064</v>
      </c>
      <c r="P14" s="2">
        <f t="shared" si="11"/>
        <v>134.60202020202021</v>
      </c>
      <c r="Q14" s="5">
        <f t="shared" si="12"/>
        <v>7</v>
      </c>
      <c r="R14" s="6">
        <f t="shared" si="7"/>
        <v>4.0380606060606061E-2</v>
      </c>
      <c r="S14" s="3">
        <f t="shared" si="8"/>
        <v>11306.569696969698</v>
      </c>
      <c r="T14" s="11">
        <f t="shared" si="9"/>
        <v>0.77386860606060603</v>
      </c>
    </row>
    <row r="15" spans="1:20" x14ac:dyDescent="0.3">
      <c r="A15" s="5">
        <v>1</v>
      </c>
      <c r="B15" s="7">
        <v>43</v>
      </c>
      <c r="C15" s="5">
        <f t="shared" si="0"/>
        <v>22</v>
      </c>
      <c r="D15" s="7">
        <v>3</v>
      </c>
      <c r="E15" s="7">
        <v>1</v>
      </c>
      <c r="F15" s="13">
        <v>49100</v>
      </c>
      <c r="G15" s="3">
        <f t="shared" si="1"/>
        <v>245.5</v>
      </c>
      <c r="H15" s="9">
        <v>20000</v>
      </c>
      <c r="I15" s="10">
        <f t="shared" si="2"/>
        <v>29100</v>
      </c>
      <c r="J15" s="12">
        <v>65000</v>
      </c>
      <c r="K15" s="3">
        <f t="shared" si="3"/>
        <v>5416.666666666667</v>
      </c>
      <c r="L15" s="8">
        <f t="shared" si="10"/>
        <v>1.7874581473214286</v>
      </c>
      <c r="M15" s="3">
        <f t="shared" si="4"/>
        <v>27469.17463414634</v>
      </c>
      <c r="N15" s="11">
        <f t="shared" si="5"/>
        <v>0.55945365853658535</v>
      </c>
      <c r="O15" s="3">
        <f t="shared" si="6"/>
        <v>21630.82536585366</v>
      </c>
      <c r="P15" s="2">
        <f t="shared" si="11"/>
        <v>72.1027512195122</v>
      </c>
      <c r="Q15" s="5">
        <f t="shared" si="12"/>
        <v>7</v>
      </c>
      <c r="R15" s="6">
        <f t="shared" si="7"/>
        <v>1.3311277148217636E-2</v>
      </c>
      <c r="S15" s="3">
        <f t="shared" si="8"/>
        <v>6056.6311024390252</v>
      </c>
      <c r="T15" s="11">
        <f t="shared" si="9"/>
        <v>0.87664702439024389</v>
      </c>
    </row>
    <row r="16" spans="1:20" x14ac:dyDescent="0.3">
      <c r="A16" s="5">
        <v>14</v>
      </c>
      <c r="B16" s="7">
        <v>37</v>
      </c>
      <c r="C16" s="5">
        <f t="shared" si="0"/>
        <v>28</v>
      </c>
      <c r="D16" s="7">
        <v>3</v>
      </c>
      <c r="E16" s="7">
        <v>2</v>
      </c>
      <c r="F16" s="13">
        <v>48300</v>
      </c>
      <c r="G16" s="3">
        <f t="shared" si="1"/>
        <v>241.5</v>
      </c>
      <c r="H16" s="9">
        <v>25000</v>
      </c>
      <c r="I16" s="10">
        <f t="shared" si="2"/>
        <v>23300</v>
      </c>
      <c r="J16" s="12">
        <v>38000</v>
      </c>
      <c r="K16" s="3">
        <f t="shared" si="3"/>
        <v>3166.6666666666665</v>
      </c>
      <c r="L16" s="8">
        <f t="shared" si="10"/>
        <v>1.6424005681818181</v>
      </c>
      <c r="M16" s="3">
        <f t="shared" si="4"/>
        <v>29408.172972972974</v>
      </c>
      <c r="N16" s="11">
        <f t="shared" si="5"/>
        <v>0.60886486486486491</v>
      </c>
      <c r="O16" s="3">
        <f t="shared" si="6"/>
        <v>18891.827027027026</v>
      </c>
      <c r="P16" s="2">
        <f t="shared" si="11"/>
        <v>62.972756756756752</v>
      </c>
      <c r="Q16" s="5">
        <f t="shared" si="12"/>
        <v>7</v>
      </c>
      <c r="R16" s="6">
        <f t="shared" si="7"/>
        <v>1.9886133712660028E-2</v>
      </c>
      <c r="S16" s="3">
        <f t="shared" si="8"/>
        <v>5289.7115675675668</v>
      </c>
      <c r="T16" s="11">
        <f t="shared" si="9"/>
        <v>0.89048216216216214</v>
      </c>
    </row>
    <row r="17" spans="1:20" x14ac:dyDescent="0.3">
      <c r="A17" s="5">
        <v>21</v>
      </c>
      <c r="B17" s="7">
        <v>27</v>
      </c>
      <c r="C17" s="5">
        <f t="shared" si="0"/>
        <v>38</v>
      </c>
      <c r="D17" s="7">
        <v>2</v>
      </c>
      <c r="E17" s="7">
        <v>0</v>
      </c>
      <c r="F17" s="13">
        <v>46500</v>
      </c>
      <c r="G17" s="3">
        <f t="shared" si="1"/>
        <v>232.5</v>
      </c>
      <c r="H17" s="9">
        <v>15000</v>
      </c>
      <c r="I17" s="10">
        <f t="shared" si="2"/>
        <v>31500</v>
      </c>
      <c r="J17" s="12">
        <v>25000</v>
      </c>
      <c r="K17" s="3">
        <f t="shared" si="3"/>
        <v>2083.3333333333335</v>
      </c>
      <c r="L17" s="8">
        <f t="shared" si="10"/>
        <v>2.3396809895833335</v>
      </c>
      <c r="M17" s="3">
        <f t="shared" si="4"/>
        <v>19874.504347826085</v>
      </c>
      <c r="N17" s="11">
        <f t="shared" si="5"/>
        <v>0.42740869565217388</v>
      </c>
      <c r="O17" s="3">
        <f t="shared" si="6"/>
        <v>26625.495652173915</v>
      </c>
      <c r="P17" s="2">
        <f t="shared" si="11"/>
        <v>88.751652173913044</v>
      </c>
      <c r="Q17" s="5">
        <f t="shared" si="12"/>
        <v>7</v>
      </c>
      <c r="R17" s="5">
        <f t="shared" si="7"/>
        <v>4.2600793043478261E-2</v>
      </c>
      <c r="S17" s="3">
        <f t="shared" si="8"/>
        <v>7455.1387826086957</v>
      </c>
      <c r="T17" s="11">
        <f t="shared" si="9"/>
        <v>0.83967443478260873</v>
      </c>
    </row>
    <row r="18" spans="1:20" x14ac:dyDescent="0.3">
      <c r="A18" s="5">
        <v>16</v>
      </c>
      <c r="B18" s="7">
        <v>39</v>
      </c>
      <c r="C18" s="5">
        <f t="shared" si="0"/>
        <v>26</v>
      </c>
      <c r="D18" s="7">
        <v>2</v>
      </c>
      <c r="E18" s="7">
        <v>1</v>
      </c>
      <c r="F18" s="13">
        <v>45000</v>
      </c>
      <c r="G18" s="3">
        <f t="shared" si="1"/>
        <v>225</v>
      </c>
      <c r="H18" s="9">
        <v>18000</v>
      </c>
      <c r="I18" s="10">
        <f t="shared" si="2"/>
        <v>27000</v>
      </c>
      <c r="J18" s="12">
        <v>111000</v>
      </c>
      <c r="K18" s="3">
        <f t="shared" si="3"/>
        <v>9250</v>
      </c>
      <c r="L18" s="8">
        <f t="shared" si="10"/>
        <v>2.593994140625</v>
      </c>
      <c r="M18" s="3">
        <f t="shared" si="4"/>
        <v>17347.764705882353</v>
      </c>
      <c r="N18" s="11">
        <f t="shared" si="5"/>
        <v>0.3855058823529412</v>
      </c>
      <c r="O18" s="3">
        <f t="shared" si="6"/>
        <v>27652.235294117647</v>
      </c>
      <c r="P18" s="2">
        <f t="shared" si="11"/>
        <v>329.19327731092437</v>
      </c>
      <c r="Q18" s="5">
        <f t="shared" si="12"/>
        <v>7</v>
      </c>
      <c r="R18" s="6">
        <f t="shared" si="7"/>
        <v>3.5588462411991824E-2</v>
      </c>
      <c r="S18" s="3">
        <f t="shared" si="8"/>
        <v>27652.23529411765</v>
      </c>
      <c r="T18" s="11">
        <f t="shared" si="9"/>
        <v>0.38550588235294114</v>
      </c>
    </row>
    <row r="19" spans="1:20" x14ac:dyDescent="0.3">
      <c r="A19" s="5">
        <v>9</v>
      </c>
      <c r="B19" s="7">
        <v>52</v>
      </c>
      <c r="C19" s="5">
        <f t="shared" si="0"/>
        <v>13</v>
      </c>
      <c r="D19" s="7">
        <v>2</v>
      </c>
      <c r="E19" s="7">
        <v>0</v>
      </c>
      <c r="F19" s="13">
        <v>37109</v>
      </c>
      <c r="G19" s="3">
        <f t="shared" si="1"/>
        <v>185.54499999999999</v>
      </c>
      <c r="H19" s="9">
        <v>16000</v>
      </c>
      <c r="I19" s="10">
        <f t="shared" si="2"/>
        <v>21109</v>
      </c>
      <c r="J19" s="12">
        <v>54000</v>
      </c>
      <c r="K19" s="3">
        <f t="shared" si="3"/>
        <v>4500</v>
      </c>
      <c r="L19" s="8">
        <f t="shared" si="10"/>
        <v>2.3094383445945947</v>
      </c>
      <c r="M19" s="3">
        <f t="shared" si="4"/>
        <v>16068.409051428571</v>
      </c>
      <c r="N19" s="11">
        <f t="shared" si="5"/>
        <v>0.43300571428571427</v>
      </c>
      <c r="O19" s="3">
        <f t="shared" si="6"/>
        <v>21040.590948571429</v>
      </c>
      <c r="P19" s="2">
        <f t="shared" si="11"/>
        <v>100</v>
      </c>
      <c r="Q19" s="5">
        <f t="shared" si="12"/>
        <v>7</v>
      </c>
      <c r="R19" s="6">
        <f t="shared" si="7"/>
        <v>2.2222222222222223E-2</v>
      </c>
      <c r="S19" s="3">
        <f t="shared" si="8"/>
        <v>8400</v>
      </c>
      <c r="T19" s="11">
        <f t="shared" si="9"/>
        <v>0.77363981783394864</v>
      </c>
    </row>
    <row r="20" spans="1:20" x14ac:dyDescent="0.3">
      <c r="A20" s="5">
        <v>2</v>
      </c>
      <c r="B20" s="7">
        <v>23</v>
      </c>
      <c r="C20" s="5">
        <f t="shared" si="0"/>
        <v>42</v>
      </c>
      <c r="D20" s="7">
        <v>1</v>
      </c>
      <c r="E20" s="7">
        <v>0</v>
      </c>
      <c r="F20" s="13">
        <v>35373</v>
      </c>
      <c r="G20" s="3">
        <f t="shared" si="1"/>
        <v>176.86500000000001</v>
      </c>
      <c r="H20" s="9">
        <f>F20 * 0.6</f>
        <v>21223.8</v>
      </c>
      <c r="I20" s="10">
        <f t="shared" si="2"/>
        <v>14149.2</v>
      </c>
      <c r="J20" s="12">
        <v>38853</v>
      </c>
      <c r="K20" s="3">
        <f t="shared" si="3"/>
        <v>3237.75</v>
      </c>
      <c r="L20" s="8">
        <f t="shared" si="10"/>
        <v>6.3672912597656248</v>
      </c>
      <c r="M20" s="3">
        <f t="shared" si="4"/>
        <v>5555.4235791786368</v>
      </c>
      <c r="N20" s="11">
        <f t="shared" si="5"/>
        <v>0.15705265539192709</v>
      </c>
      <c r="O20" s="3">
        <f t="shared" si="6"/>
        <v>29817.576420821362</v>
      </c>
      <c r="P20" s="2">
        <f t="shared" si="11"/>
        <v>99.391921402737879</v>
      </c>
      <c r="Q20" s="5">
        <f t="shared" si="12"/>
        <v>7</v>
      </c>
      <c r="R20" s="6">
        <f t="shared" si="7"/>
        <v>3.0697836893749636E-2</v>
      </c>
      <c r="S20" s="3">
        <f t="shared" si="8"/>
        <v>8348.9213978299813</v>
      </c>
      <c r="T20" s="11">
        <f t="shared" si="9"/>
        <v>0.7639747435097396</v>
      </c>
    </row>
    <row r="21" spans="1:20" x14ac:dyDescent="0.3">
      <c r="A21" s="5">
        <v>13</v>
      </c>
      <c r="B21" s="7">
        <v>59</v>
      </c>
      <c r="C21" s="5">
        <f t="shared" si="0"/>
        <v>6</v>
      </c>
      <c r="D21" s="7">
        <v>2</v>
      </c>
      <c r="E21" s="7">
        <v>0</v>
      </c>
      <c r="F21" s="13">
        <v>31500</v>
      </c>
      <c r="G21" s="3">
        <f t="shared" si="1"/>
        <v>157.5</v>
      </c>
      <c r="H21" s="9">
        <v>14000</v>
      </c>
      <c r="I21" s="10">
        <f t="shared" si="2"/>
        <v>17500</v>
      </c>
      <c r="J21" s="12">
        <v>40000</v>
      </c>
      <c r="K21" s="3">
        <f t="shared" si="3"/>
        <v>3333.3333333333335</v>
      </c>
      <c r="L21" s="8">
        <f t="shared" si="10"/>
        <v>1.9309303977272727</v>
      </c>
      <c r="M21" s="3">
        <f t="shared" si="4"/>
        <v>16313.379310344828</v>
      </c>
      <c r="N21" s="11">
        <f t="shared" si="5"/>
        <v>0.51788505747126434</v>
      </c>
      <c r="O21" s="3">
        <f t="shared" si="6"/>
        <v>15186.620689655172</v>
      </c>
      <c r="P21" s="2">
        <f t="shared" si="11"/>
        <v>100</v>
      </c>
      <c r="Q21" s="5">
        <f t="shared" si="12"/>
        <v>7</v>
      </c>
      <c r="R21" s="6">
        <f t="shared" si="7"/>
        <v>0.03</v>
      </c>
      <c r="S21" s="3">
        <f t="shared" si="8"/>
        <v>8400</v>
      </c>
      <c r="T21" s="11">
        <f t="shared" si="9"/>
        <v>0.73333333333333339</v>
      </c>
    </row>
    <row r="22" spans="1:20" x14ac:dyDescent="0.3">
      <c r="A22" s="5">
        <v>22</v>
      </c>
      <c r="B22" s="7">
        <v>28</v>
      </c>
      <c r="C22" s="5">
        <f t="shared" si="0"/>
        <v>37</v>
      </c>
      <c r="D22" s="7">
        <v>1</v>
      </c>
      <c r="E22" s="7">
        <v>0</v>
      </c>
      <c r="F22" s="13">
        <v>28000</v>
      </c>
      <c r="G22" s="3">
        <f t="shared" si="1"/>
        <v>140</v>
      </c>
      <c r="H22" s="9">
        <v>23000</v>
      </c>
      <c r="I22" s="10">
        <f t="shared" si="2"/>
        <v>5000</v>
      </c>
      <c r="J22" s="12">
        <v>35000</v>
      </c>
      <c r="K22" s="3">
        <f t="shared" si="3"/>
        <v>2916.6666666666665</v>
      </c>
      <c r="L22" s="8">
        <f t="shared" si="10"/>
        <v>6.2725360576923075</v>
      </c>
      <c r="M22" s="3">
        <f t="shared" si="4"/>
        <v>4463.9041916167662</v>
      </c>
      <c r="N22" s="11">
        <f t="shared" si="5"/>
        <v>0.15942514970059879</v>
      </c>
      <c r="O22" s="3">
        <f t="shared" si="6"/>
        <v>23536.095808383234</v>
      </c>
      <c r="P22" s="2">
        <f t="shared" si="11"/>
        <v>78.453652694610781</v>
      </c>
      <c r="Q22" s="5">
        <f t="shared" si="12"/>
        <v>7</v>
      </c>
      <c r="R22" s="5">
        <f t="shared" si="7"/>
        <v>2.6898395209580841E-2</v>
      </c>
      <c r="S22" s="3">
        <f t="shared" si="8"/>
        <v>6590.1068263473053</v>
      </c>
      <c r="T22" s="11">
        <f t="shared" si="9"/>
        <v>0.76463904191616772</v>
      </c>
    </row>
    <row r="23" spans="1:20" x14ac:dyDescent="0.3">
      <c r="A23" s="5">
        <v>10</v>
      </c>
      <c r="B23" s="7">
        <v>25</v>
      </c>
      <c r="C23" s="5">
        <f t="shared" si="0"/>
        <v>40</v>
      </c>
      <c r="D23" s="7">
        <v>2</v>
      </c>
      <c r="E23" s="7">
        <v>0</v>
      </c>
      <c r="F23" s="13">
        <v>26487</v>
      </c>
      <c r="G23" s="3">
        <f t="shared" si="1"/>
        <v>132.435</v>
      </c>
      <c r="H23" s="9">
        <v>12000</v>
      </c>
      <c r="I23" s="10">
        <f t="shared" si="2"/>
        <v>14487</v>
      </c>
      <c r="J23" s="12">
        <v>31300</v>
      </c>
      <c r="K23" s="3">
        <f t="shared" si="3"/>
        <v>2608.3333333333335</v>
      </c>
      <c r="L23" s="8">
        <f t="shared" si="10"/>
        <v>2.22900390625</v>
      </c>
      <c r="M23" s="3">
        <f t="shared" si="4"/>
        <v>11882.886308871852</v>
      </c>
      <c r="N23" s="11">
        <f t="shared" si="5"/>
        <v>0.44863088718510408</v>
      </c>
      <c r="O23" s="3">
        <f t="shared" si="6"/>
        <v>14604.113691128148</v>
      </c>
      <c r="P23" s="2">
        <f t="shared" si="11"/>
        <v>48.680378970427164</v>
      </c>
      <c r="Q23" s="5">
        <f t="shared" si="12"/>
        <v>7</v>
      </c>
      <c r="R23" s="6">
        <f t="shared" si="7"/>
        <v>1.8663404078119041E-2</v>
      </c>
      <c r="S23" s="3">
        <f t="shared" si="8"/>
        <v>4089.1518335158817</v>
      </c>
      <c r="T23" s="11">
        <f t="shared" si="9"/>
        <v>0.84561664841182915</v>
      </c>
    </row>
    <row r="24" spans="1:20" x14ac:dyDescent="0.3">
      <c r="B24" s="7"/>
      <c r="F24" s="14"/>
      <c r="H24" s="15"/>
      <c r="J24" s="16"/>
      <c r="L24" s="8"/>
    </row>
    <row r="25" spans="1:20" x14ac:dyDescent="0.3">
      <c r="B25" s="7"/>
      <c r="H25" s="15"/>
      <c r="J25" s="16"/>
      <c r="L25" s="8"/>
    </row>
    <row r="26" spans="1:20" x14ac:dyDescent="0.3">
      <c r="B26" s="7"/>
      <c r="H26" s="15"/>
      <c r="J26" s="16"/>
      <c r="M26" s="2"/>
    </row>
    <row r="27" spans="1:20" x14ac:dyDescent="0.3">
      <c r="B27" s="7"/>
      <c r="H27" s="15"/>
      <c r="J27" s="16"/>
    </row>
    <row r="28" spans="1:20" x14ac:dyDescent="0.3">
      <c r="B28" s="7"/>
      <c r="H28" s="15"/>
      <c r="J28" s="16"/>
    </row>
    <row r="29" spans="1:20" x14ac:dyDescent="0.3">
      <c r="B29" s="7"/>
      <c r="H29" s="15"/>
      <c r="J29" s="16"/>
    </row>
    <row r="30" spans="1:20" x14ac:dyDescent="0.3">
      <c r="J30" s="16"/>
    </row>
    <row r="31" spans="1:20" x14ac:dyDescent="0.3">
      <c r="J31" s="16"/>
    </row>
    <row r="32" spans="1:20" x14ac:dyDescent="0.3">
      <c r="J32" s="16"/>
    </row>
  </sheetData>
  <sheetProtection sheet="1" objects="1" scenarios="1"/>
  <sortState xmlns:xlrd2="http://schemas.microsoft.com/office/spreadsheetml/2017/richdata2" ref="A2:T23">
    <sortCondition descending="1" ref="F2:F23"/>
    <sortCondition descending="1" ref="J2:J23"/>
  </sortState>
  <conditionalFormatting sqref="B2:B7">
    <cfRule type="cellIs" dxfId="6" priority="7" operator="greaterThan">
      <formula>59</formula>
    </cfRule>
  </conditionalFormatting>
  <conditionalFormatting sqref="B2:B11">
    <cfRule type="cellIs" dxfId="5" priority="6" operator="greaterThan">
      <formula>59</formula>
    </cfRule>
  </conditionalFormatting>
  <conditionalFormatting sqref="E2:E23">
    <cfRule type="cellIs" dxfId="4" priority="5" operator="greaterThan">
      <formula>1</formula>
    </cfRule>
  </conditionalFormatting>
  <conditionalFormatting sqref="D2:D23">
    <cfRule type="cellIs" dxfId="3" priority="4" operator="greaterThan">
      <formula>2</formula>
    </cfRule>
  </conditionalFormatting>
  <conditionalFormatting sqref="B4">
    <cfRule type="cellIs" dxfId="2" priority="3" operator="greaterThan">
      <formula>59</formula>
    </cfRule>
  </conditionalFormatting>
  <conditionalFormatting sqref="B2:B31">
    <cfRule type="cellIs" dxfId="1" priority="2" operator="greaterThan">
      <formula>59</formula>
    </cfRule>
  </conditionalFormatting>
  <conditionalFormatting sqref="T2:T23">
    <cfRule type="cellIs" dxfId="0" priority="1" operator="equal">
      <formula>1</formula>
    </cfRule>
  </conditionalFormatting>
  <pageMargins left="0.7" right="0.7" top="0.75" bottom="0.75" header="0.3" footer="0.3"/>
  <pageSetup orientation="portrait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FD0D1471-79DE-4366-A191-96FC3A61224F}">
  <ds:schemaRefs/>
</ds:datastoreItem>
</file>

<file path=customXml/itemProps2.xml><?xml version="1.0" encoding="utf-8"?>
<ds:datastoreItem xmlns:ds="http://schemas.openxmlformats.org/officeDocument/2006/customXml" ds:itemID="{9C77EC71-21B5-4B26-A031-C42F480AB9F3}">
  <ds:schemaRefs/>
</ds:datastoreItem>
</file>

<file path=customXml/itemProps3.xml><?xml version="1.0" encoding="utf-8"?>
<ds:datastoreItem xmlns:ds="http://schemas.openxmlformats.org/officeDocument/2006/customXml" ds:itemID="{2DDF8822-1641-45EB-A8A0-379256679106}">
  <ds:schemaRefs/>
</ds:datastoreItem>
</file>

<file path=customXml/itemProps4.xml><?xml version="1.0" encoding="utf-8"?>
<ds:datastoreItem xmlns:ds="http://schemas.openxmlformats.org/officeDocument/2006/customXml" ds:itemID="{410B662A-8169-48ED-974A-AC25F42EFDAE}">
  <ds:schemaRefs/>
</ds:datastoreItem>
</file>

<file path=customXml/itemProps5.xml><?xml version="1.0" encoding="utf-8"?>
<ds:datastoreItem xmlns:ds="http://schemas.openxmlformats.org/officeDocument/2006/customXml" ds:itemID="{67D667BA-78D5-4277-90A5-DC2FBC584676}">
  <ds:schemaRefs/>
</ds:datastoreItem>
</file>

<file path=customXml/itemProps6.xml><?xml version="1.0" encoding="utf-8"?>
<ds:datastoreItem xmlns:ds="http://schemas.openxmlformats.org/officeDocument/2006/customXml" ds:itemID="{B4E8BA84-C7AB-4E73-AF3B-42D0DC2C228E}">
  <ds:schemaRefs/>
</ds:datastoreItem>
</file>

<file path=customXml/itemProps7.xml><?xml version="1.0" encoding="utf-8"?>
<ds:datastoreItem xmlns:ds="http://schemas.openxmlformats.org/officeDocument/2006/customXml" ds:itemID="{3137A55E-D1CD-4153-9517-7AFFD26DAED1}">
  <ds:schemaRefs/>
</ds:datastoreItem>
</file>

<file path=customXml/itemProps8.xml><?xml version="1.0" encoding="utf-8"?>
<ds:datastoreItem xmlns:ds="http://schemas.openxmlformats.org/officeDocument/2006/customXml" ds:itemID="{37B6F464-6376-466D-A35E-4CBE41862591}">
  <ds:schemaRefs/>
</ds:datastoreItem>
</file>

<file path=customXml/itemProps9.xml><?xml version="1.0" encoding="utf-8"?>
<ds:datastoreItem xmlns:ds="http://schemas.openxmlformats.org/officeDocument/2006/customXml" ds:itemID="{E7224498-EEA3-46E0-82DE-2159B746197C}">
  <ds:schemaRefs/>
</ds:datastoreItem>
</file>

<file path=customXml/itemProps10.xml><?xml version="1.0" encoding="utf-8"?>
<ds:datastoreItem xmlns:ds="http://schemas.openxmlformats.org/officeDocument/2006/customXml" ds:itemID="{6D9F0916-30A3-41D5-A686-248D70149CE9}">
  <ds:schemaRefs/>
</ds:datastoreItem>
</file>

<file path=customXml/itemProps11.xml><?xml version="1.0" encoding="utf-8"?>
<ds:datastoreItem xmlns:ds="http://schemas.openxmlformats.org/officeDocument/2006/customXml" ds:itemID="{59E84545-2EEB-404E-B15C-94B0791A55F0}">
  <ds:schemaRefs/>
</ds:datastoreItem>
</file>

<file path=customXml/itemProps12.xml><?xml version="1.0" encoding="utf-8"?>
<ds:datastoreItem xmlns:ds="http://schemas.openxmlformats.org/officeDocument/2006/customXml" ds:itemID="{46050336-6B16-45EC-92A2-406A4008BAF5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61C77E23-DCD0-4FB5-9939-7F67A7CCBC1F}">
  <ds:schemaRefs/>
</ds:datastoreItem>
</file>

<file path=customXml/itemProps14.xml><?xml version="1.0" encoding="utf-8"?>
<ds:datastoreItem xmlns:ds="http://schemas.openxmlformats.org/officeDocument/2006/customXml" ds:itemID="{A616DD98-F8B8-4D56-AA69-1A919679D611}">
  <ds:schemaRefs/>
</ds:datastoreItem>
</file>

<file path=customXml/itemProps15.xml><?xml version="1.0" encoding="utf-8"?>
<ds:datastoreItem xmlns:ds="http://schemas.openxmlformats.org/officeDocument/2006/customXml" ds:itemID="{3114F98E-7FD1-41C5-A432-B1A4AF63BBA5}">
  <ds:schemaRefs/>
</ds:datastoreItem>
</file>

<file path=customXml/itemProps16.xml><?xml version="1.0" encoding="utf-8"?>
<ds:datastoreItem xmlns:ds="http://schemas.openxmlformats.org/officeDocument/2006/customXml" ds:itemID="{EEDB563B-0F32-4BC3-8BDB-06A7C4958586}">
  <ds:schemaRefs/>
</ds:datastoreItem>
</file>

<file path=customXml/itemProps17.xml><?xml version="1.0" encoding="utf-8"?>
<ds:datastoreItem xmlns:ds="http://schemas.openxmlformats.org/officeDocument/2006/customXml" ds:itemID="{C237C3D4-981D-42FE-BEB9-FA9EF20B56F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Data entry</vt:lpstr>
      <vt:lpstr>Borrowers Helped</vt:lpstr>
      <vt:lpstr>Backend</vt:lpstr>
      <vt:lpstr>Flowchart</vt:lpstr>
      <vt:lpstr>US Trustee's Office</vt:lpstr>
      <vt:lpstr>FY2021 Median Incomes</vt:lpstr>
      <vt:lpstr>Federal Poverty Levels 2021</vt:lpstr>
      <vt:lpstr>Definitions</vt:lpstr>
      <vt:lpstr>Old Calculations</vt:lpstr>
      <vt:lpstr>Borrower scatter plot</vt:lpstr>
      <vt:lpstr>Box-and-Whisker plot</vt:lpstr>
      <vt:lpstr>Table One</vt:lpstr>
      <vt:lpstr>Table Two</vt:lpstr>
      <vt:lpstr>'Data entry'!Print_Area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2026-09-07T22:04:36Z</cp:lastPrinted>
  <dcterms:created xsi:type="dcterms:W3CDTF">2021-08-20T02:45:01Z</dcterms:created>
  <dcterms:modified xsi:type="dcterms:W3CDTF">2026-09-07T23:54:20Z</dcterms:modified>
</cp:coreProperties>
</file>