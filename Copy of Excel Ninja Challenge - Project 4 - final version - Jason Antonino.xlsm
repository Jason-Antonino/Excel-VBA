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drawings/drawing3.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088f3e76e1014375/DOCUMENTS/EDUCATION/LEARN TO CODE/Actuary Accelerator Community/AAC - Excel Ninja Challenge June 2021 (Project 4)/"/>
    </mc:Choice>
  </mc:AlternateContent>
  <xr:revisionPtr revIDLastSave="0" documentId="8_{34DD9253-47D4-4971-8DE5-F8CBB6EC6EF3}" xr6:coauthVersionLast="47" xr6:coauthVersionMax="47" xr10:uidLastSave="{00000000-0000-0000-0000-000000000000}"/>
  <bookViews>
    <workbookView xWindow="-120" yWindow="-120" windowWidth="29040" windowHeight="15840" xr2:uid="{EFDB60B8-A7ED-0541-A541-3CAD6F5C4C90}"/>
  </bookViews>
  <sheets>
    <sheet name="PolicyHolders" sheetId="1" r:id="rId1"/>
    <sheet name="Inputs" sheetId="3" r:id="rId2"/>
    <sheet name="Formulas" sheetId="4" r:id="rId3"/>
    <sheet name="Tables" sheetId="6" r:id="rId4"/>
    <sheet name="Calculations" sheetId="8" r:id="rId5"/>
    <sheet name="Chart1" sheetId="9" r:id="rId6"/>
    <sheet name="Instructions" sheetId="2" r:id="rId7"/>
  </sheets>
  <definedNames>
    <definedName name="_xlchart.v1.0" hidden="1">PolicyHolders!$C$1</definedName>
    <definedName name="_xlchart.v1.1" hidden="1">PolicyHolders!$C$2:$C$101</definedName>
    <definedName name="_xlchart.v1.2" hidden="1">PolicyHolders!$C$68:$C$101</definedName>
    <definedName name="_xlchart.v1.3" hidden="1">PolicyHolders!$E$1</definedName>
    <definedName name="_xlchart.v1.4" hidden="1">PolicyHolders!$E$2:$E$101</definedName>
    <definedName name="Age_Decade" localSheetId="3">Tables!$A$10:$B$60</definedName>
    <definedName name="Probability">Tables!$B$2:$F$4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4" l="1"/>
  <c r="E4" i="4"/>
  <c r="E5" i="4"/>
  <c r="E6" i="4"/>
  <c r="E7" i="4"/>
  <c r="E8" i="4"/>
  <c r="E9" i="4"/>
  <c r="E10" i="4"/>
  <c r="E11" i="4"/>
  <c r="E12" i="4"/>
  <c r="E13" i="4"/>
  <c r="E14" i="4"/>
  <c r="E15" i="4"/>
  <c r="E16" i="4"/>
  <c r="E17" i="4"/>
  <c r="E2" i="4"/>
  <c r="D3" i="4"/>
  <c r="D4" i="4"/>
  <c r="D5" i="4"/>
  <c r="D6" i="4"/>
  <c r="D7" i="4"/>
  <c r="D8" i="4"/>
  <c r="D9" i="4"/>
  <c r="D10" i="4"/>
  <c r="D11" i="4"/>
  <c r="D12" i="4"/>
  <c r="D13" i="4"/>
  <c r="D14" i="4"/>
  <c r="D15" i="4"/>
  <c r="D16" i="4"/>
  <c r="D17" i="4"/>
  <c r="D2" i="4"/>
  <c r="A4" i="4"/>
  <c r="A5" i="4"/>
  <c r="A6" i="4"/>
  <c r="A7" i="4"/>
  <c r="A8" i="4" s="1"/>
  <c r="A9" i="4" s="1"/>
  <c r="A10" i="4" s="1"/>
  <c r="A11" i="4" s="1"/>
  <c r="A12" i="4" s="1"/>
  <c r="A13" i="4" s="1"/>
  <c r="A14" i="4" s="1"/>
  <c r="A15" i="4" s="1"/>
  <c r="A16" i="4" s="1"/>
  <c r="A17" i="4" s="1"/>
  <c r="F4" i="6"/>
  <c r="E4" i="6"/>
  <c r="D4" i="6"/>
  <c r="C4" i="6"/>
  <c r="B4" i="6"/>
  <c r="B4" i="4" l="1"/>
  <c r="B5" i="4" s="1"/>
  <c r="B6" i="4" s="1"/>
  <c r="B7" i="4" s="1"/>
  <c r="B8" i="4" s="1"/>
  <c r="B9" i="4" s="1"/>
  <c r="B10" i="4" s="1"/>
  <c r="B11" i="4" s="1"/>
  <c r="B12" i="4" s="1"/>
  <c r="B13" i="4" s="1"/>
  <c r="B14" i="4" s="1"/>
  <c r="B15" i="4" s="1"/>
  <c r="B16" i="4" s="1"/>
  <c r="B17" i="4" s="1"/>
  <c r="C3" i="4"/>
  <c r="C4" i="4" s="1"/>
  <c r="B3" i="4"/>
  <c r="A3" i="4"/>
  <c r="B22" i="4"/>
  <c r="D34" i="4" s="1"/>
  <c r="C5" i="4" l="1"/>
  <c r="C6" i="4" l="1"/>
  <c r="C7" i="4" l="1"/>
  <c r="C8" i="4" l="1"/>
  <c r="C9" i="4" l="1"/>
  <c r="C10" i="4" l="1"/>
  <c r="C11" i="4" l="1"/>
  <c r="C12" i="4" l="1"/>
  <c r="C13" i="4" l="1"/>
  <c r="C14" i="4" l="1"/>
  <c r="C15" i="4" l="1"/>
  <c r="C16" i="4" l="1"/>
  <c r="C17" i="4" l="1"/>
</calcChain>
</file>

<file path=xl/sharedStrings.xml><?xml version="1.0" encoding="utf-8"?>
<sst xmlns="http://schemas.openxmlformats.org/spreadsheetml/2006/main" count="316" uniqueCount="158">
  <si>
    <t>Name</t>
  </si>
  <si>
    <t>Gender</t>
  </si>
  <si>
    <t>Age</t>
  </si>
  <si>
    <t>Condition</t>
  </si>
  <si>
    <t>Female</t>
  </si>
  <si>
    <t>Male</t>
  </si>
  <si>
    <t>Policyholder #1</t>
  </si>
  <si>
    <t>Policyholder #2</t>
  </si>
  <si>
    <t>Policyholder #3</t>
  </si>
  <si>
    <t>Policyholder #4</t>
  </si>
  <si>
    <t>Policyholder #5</t>
  </si>
  <si>
    <t>Policyholder #6</t>
  </si>
  <si>
    <t>Policyholder #7</t>
  </si>
  <si>
    <t>Policyholder #8</t>
  </si>
  <si>
    <t>Policyholder #9</t>
  </si>
  <si>
    <t>Policyholder #10</t>
  </si>
  <si>
    <t>Policyholder #11</t>
  </si>
  <si>
    <t>Policyholder #12</t>
  </si>
  <si>
    <t>Policyholder #13</t>
  </si>
  <si>
    <t>Policyholder #14</t>
  </si>
  <si>
    <t>Policyholder #15</t>
  </si>
  <si>
    <t>Policyholder #16</t>
  </si>
  <si>
    <t>Policyholder #17</t>
  </si>
  <si>
    <t>Policyholder #18</t>
  </si>
  <si>
    <t>Policyholder #19</t>
  </si>
  <si>
    <t>Policyholder #20</t>
  </si>
  <si>
    <t>Policyholder #21</t>
  </si>
  <si>
    <t>Policyholder #22</t>
  </si>
  <si>
    <t>Policyholder #23</t>
  </si>
  <si>
    <t>Policyholder #24</t>
  </si>
  <si>
    <t>Policyholder #25</t>
  </si>
  <si>
    <t>Policyholder #26</t>
  </si>
  <si>
    <t>Policyholder #27</t>
  </si>
  <si>
    <t>Policyholder #28</t>
  </si>
  <si>
    <t>Policyholder #29</t>
  </si>
  <si>
    <t>Policyholder #30</t>
  </si>
  <si>
    <t>Policyholder #31</t>
  </si>
  <si>
    <t>Policyholder #32</t>
  </si>
  <si>
    <t>Policyholder #33</t>
  </si>
  <si>
    <t>Policyholder #34</t>
  </si>
  <si>
    <t>Policyholder #35</t>
  </si>
  <si>
    <t>Policyholder #36</t>
  </si>
  <si>
    <t>Policyholder #37</t>
  </si>
  <si>
    <t>Policyholder #38</t>
  </si>
  <si>
    <t>Policyholder #39</t>
  </si>
  <si>
    <t>Policyholder #40</t>
  </si>
  <si>
    <t>Policyholder #41</t>
  </si>
  <si>
    <t>Policyholder #42</t>
  </si>
  <si>
    <t>Policyholder #43</t>
  </si>
  <si>
    <t>Policyholder #44</t>
  </si>
  <si>
    <t>Policyholder #45</t>
  </si>
  <si>
    <t>Policyholder #46</t>
  </si>
  <si>
    <t>Policyholder #47</t>
  </si>
  <si>
    <t>Policyholder #48</t>
  </si>
  <si>
    <t>Policyholder #49</t>
  </si>
  <si>
    <t>Policyholder #50</t>
  </si>
  <si>
    <t>Policyholder #51</t>
  </si>
  <si>
    <t>Policyholder #52</t>
  </si>
  <si>
    <t>Policyholder #53</t>
  </si>
  <si>
    <t>Policyholder #54</t>
  </si>
  <si>
    <t>Policyholder #55</t>
  </si>
  <si>
    <t>Policyholder #56</t>
  </si>
  <si>
    <t>Policyholder #57</t>
  </si>
  <si>
    <t>Policyholder #58</t>
  </si>
  <si>
    <t>Policyholder #59</t>
  </si>
  <si>
    <t>Policyholder #60</t>
  </si>
  <si>
    <t>Policyholder #61</t>
  </si>
  <si>
    <t>Policyholder #62</t>
  </si>
  <si>
    <t>Policyholder #63</t>
  </si>
  <si>
    <t>Policyholder #64</t>
  </si>
  <si>
    <t>Policyholder #65</t>
  </si>
  <si>
    <t>Policyholder #66</t>
  </si>
  <si>
    <t>Policyholder #67</t>
  </si>
  <si>
    <t>Policyholder #68</t>
  </si>
  <si>
    <t>Policyholder #69</t>
  </si>
  <si>
    <t>Policyholder #70</t>
  </si>
  <si>
    <t>Policyholder #71</t>
  </si>
  <si>
    <t>Policyholder #72</t>
  </si>
  <si>
    <t>Policyholder #73</t>
  </si>
  <si>
    <t>Policyholder #74</t>
  </si>
  <si>
    <t>Policyholder #75</t>
  </si>
  <si>
    <t>Policyholder #76</t>
  </si>
  <si>
    <t>Policyholder #77</t>
  </si>
  <si>
    <t>Policyholder #78</t>
  </si>
  <si>
    <t>Policyholder #79</t>
  </si>
  <si>
    <t>Policyholder #80</t>
  </si>
  <si>
    <t>Policyholder #81</t>
  </si>
  <si>
    <t>Policyholder #82</t>
  </si>
  <si>
    <t>Policyholder #83</t>
  </si>
  <si>
    <t>Policyholder #84</t>
  </si>
  <si>
    <t>Policyholder #85</t>
  </si>
  <si>
    <t>Policyholder #86</t>
  </si>
  <si>
    <t>Policyholder #87</t>
  </si>
  <si>
    <t>Policyholder #88</t>
  </si>
  <si>
    <t>Policyholder #89</t>
  </si>
  <si>
    <t>Policyholder #90</t>
  </si>
  <si>
    <t>Policyholder #91</t>
  </si>
  <si>
    <t>Policyholder #92</t>
  </si>
  <si>
    <t>Policyholder #93</t>
  </si>
  <si>
    <t>Policyholder #94</t>
  </si>
  <si>
    <t>Policyholder #95</t>
  </si>
  <si>
    <t>Policyholder #96</t>
  </si>
  <si>
    <t>Policyholder #97</t>
  </si>
  <si>
    <t>Policyholder #98</t>
  </si>
  <si>
    <t>Policyholder #99</t>
  </si>
  <si>
    <t>Policyholder #100</t>
  </si>
  <si>
    <t>This project will build upon your completed version of Project #3 (the first project you completed in the Excel Ninja Challenge).</t>
  </si>
  <si>
    <t>The same insurance company provides you with data for 100 different policyholders that includes their age, gender and health condition. Each of these policyholders have purchased the same health care policy as described in Project #3.</t>
  </si>
  <si>
    <t>Note that health condition is provided from the insurance company as follows:</t>
  </si>
  <si>
    <t>Unhealthy = 1</t>
  </si>
  <si>
    <t>Healthy = 2</t>
  </si>
  <si>
    <t>Download the policyholder data here.</t>
  </si>
  <si>
    <t>Your Task</t>
  </si>
  <si>
    <t>Your task is to calculate the total projected claims for each of the 100 policyholders using VBA programming.</t>
  </si>
  <si>
    <t>Your program should display the total projected claims for each policyholder to the right of the corresponding data for that policyholder. So, you’ll have 4 columns of data, and then the 5th column will contain the total projected claims calculation for each policyholder.</t>
  </si>
  <si>
    <t>Need some VBA review? Watch Excel Sessions 6 and 7!</t>
  </si>
  <si>
    <r>
      <t>** </t>
    </r>
    <r>
      <rPr>
        <b/>
        <sz val="13"/>
        <color rgb="FF000000"/>
        <rFont val="Open Sans"/>
        <family val="2"/>
      </rPr>
      <t>NOTE:</t>
    </r>
    <r>
      <rPr>
        <sz val="13"/>
        <color rgb="FF000000"/>
        <rFont val="Open Sans"/>
        <family val="2"/>
      </rPr>
      <t> You will need to create a copy of the project you previously completed and add onto it for this project.  At the end of the Ninja Challenge, you should have 2 separate project files to submit; one for the first project (aka AAC Excel Project # 3), and one for the second project (aka AAC Excel Project # 4).**</t>
    </r>
  </si>
  <si>
    <t>How to Calculate Total Projected Claims</t>
  </si>
  <si>
    <t>To calculate total projected claims for a policyholder, add up the projected claim amount from each of the 25 years of the policy.</t>
  </si>
  <si>
    <t>Health</t>
  </si>
  <si>
    <t>Healthy</t>
  </si>
  <si>
    <t>Year</t>
  </si>
  <si>
    <t>Policy Year</t>
  </si>
  <si>
    <t>Age Range</t>
  </si>
  <si>
    <t>Expected Claims</t>
  </si>
  <si>
    <t>D2 =</t>
  </si>
  <si>
    <t>=VLOOKUP(C2,Age_Decades,2,FALSE)</t>
  </si>
  <si>
    <t>E2 =</t>
  </si>
  <si>
    <t>[claims] =</t>
  </si>
  <si>
    <t>Profit =</t>
  </si>
  <si>
    <t>Premiums rec'vd - Claims filed - overhead</t>
  </si>
  <si>
    <t>PROF</t>
  </si>
  <si>
    <t>Let overhead = 1.4*[claims]</t>
  </si>
  <si>
    <t>GROS</t>
  </si>
  <si>
    <t>CLMS</t>
  </si>
  <si>
    <t>[gross premiums] - [claims] - 1.4*[claims]</t>
  </si>
  <si>
    <t>OVHD</t>
  </si>
  <si>
    <t>2.4*[claims] + Profit = [gross premiums]</t>
  </si>
  <si>
    <t>Let Profit = 3*[claims]</t>
  </si>
  <si>
    <t xml:space="preserve">2.4*[claims] + 3*[claims] = [gross premiums] </t>
  </si>
  <si>
    <t>[gross premiums] = 5.4 * [claims]</t>
  </si>
  <si>
    <t>Suggested annual premium (SAP)</t>
  </si>
  <si>
    <t>Unhealthy</t>
  </si>
  <si>
    <t>Sex</t>
  </si>
  <si>
    <t xml:space="preserve">Claim Probabilities </t>
  </si>
  <si>
    <t>Claim Amounts</t>
  </si>
  <si>
    <t>Sex | Age</t>
  </si>
  <si>
    <t>20s</t>
  </si>
  <si>
    <t>30s</t>
  </si>
  <si>
    <t>40s</t>
  </si>
  <si>
    <t>50s</t>
  </si>
  <si>
    <t>60s</t>
  </si>
  <si>
    <t>average claim</t>
  </si>
  <si>
    <t>The probability of making a claim is 50% more for those that are considered unhealthy.</t>
  </si>
  <si>
    <t>In order to calculate the expected claim amount in a month for a specific policy holder, you should use the following formula:</t>
  </si>
  <si>
    <t>(Average claim amount) x (probability of making a claim in that month)</t>
  </si>
  <si>
    <t>Decade</t>
  </si>
  <si>
    <t>=IF(Inputs!$B$4="Male",(HLOOKUP(D2,Probability,2,FALSE)*(Tables!$J$2*12)),(HLOOKUP(D2,Probability,3,FALSE)*(Tables!$J$3*12))) * IF(Inputs!$B$5="Unhealthy",1.5,1)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</si>
</sst>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8" formatCode="&quot;$&quot;#,##0.00_);[Red]\(&quot;$&quot;#,##0.00\)"/>
    <numFmt numFmtId="44" formatCode="_(&quot;$&quot;* #,##0.00_);_(&quot;$&quot;* \(#,##0.00\);_(&quot;$&quot;* &quot;-&quot;??_);_(@_)"/>
    <numFmt numFmtId="164" formatCode="0.000"/>
    <numFmt numFmtId="165" formatCode="0.00000000000000000"/>
    <numFmt numFmtId="166" formatCode="&quot;$&quot;#,##0.00"/>
  </numFmts>
  <fonts count="23"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8"/>
      <name val="Calibri"/>
      <family val="2"/>
      <scheme val="minor"/>
    </font>
    <font>
      <sz val="13"/>
      <color rgb="FF000000"/>
      <name val="Open Sans"/>
      <family val="2"/>
    </font>
    <font>
      <b/>
      <sz val="20"/>
      <color rgb="FF05C7E2"/>
      <name val="Open Sans"/>
      <family val="2"/>
    </font>
    <font>
      <b/>
      <sz val="13"/>
      <color rgb="FF000000"/>
      <name val="Open Sans"/>
      <family val="2"/>
    </font>
    <font>
      <u/>
      <sz val="12"/>
      <color theme="10"/>
      <name val="Calibri"/>
      <family val="2"/>
      <scheme val="minor"/>
    </font>
    <font>
      <sz val="11"/>
      <color theme="1"/>
      <name val="Open Sans"/>
      <family val="2"/>
    </font>
    <font>
      <b/>
      <sz val="11"/>
      <color theme="1"/>
      <name val="Calibri"/>
      <family val="2"/>
      <scheme val="minor"/>
    </font>
    <font>
      <sz val="14"/>
      <color theme="1"/>
      <name val="Open Sans"/>
      <family val="2"/>
    </font>
    <font>
      <sz val="12"/>
      <color theme="1"/>
      <name val="Open Sans"/>
      <family val="2"/>
    </font>
    <font>
      <b/>
      <sz val="12"/>
      <color theme="1"/>
      <name val="Open Sans"/>
      <family val="2"/>
    </font>
    <font>
      <b/>
      <sz val="10"/>
      <color theme="1"/>
      <name val="Open Sans"/>
      <family val="2"/>
    </font>
    <font>
      <sz val="10"/>
      <color theme="1"/>
      <name val="Open Sans"/>
      <family val="2"/>
    </font>
    <font>
      <b/>
      <sz val="12"/>
      <color rgb="FF000000"/>
      <name val="Open Sans"/>
      <family val="2"/>
    </font>
    <font>
      <sz val="12"/>
      <color rgb="FF000000"/>
      <name val="Open Sans"/>
      <family val="2"/>
    </font>
    <font>
      <b/>
      <sz val="11"/>
      <color theme="1"/>
      <name val="Open Sans"/>
      <family val="2"/>
    </font>
    <font>
      <b/>
      <sz val="12"/>
      <name val="Calibri"/>
      <family val="2"/>
      <scheme val="minor"/>
    </font>
    <font>
      <sz val="12"/>
      <name val="Calibri"/>
      <family val="2"/>
      <scheme val="minor"/>
    </font>
    <font>
      <sz val="14"/>
      <color rgb="FF000000"/>
      <name val="Arial"/>
      <family val="2"/>
    </font>
  </fonts>
  <fills count="7">
    <fill>
      <patternFill patternType="none"/>
    </fill>
    <fill>
      <patternFill patternType="gray125"/>
    </fill>
    <fill>
      <patternFill patternType="solid">
        <fgColor theme="9" tint="0.39997558519241921"/>
        <bgColor indexed="64"/>
      </patternFill>
    </fill>
    <fill>
      <patternFill patternType="solid">
        <fgColor theme="8" tint="0.39997558519241921"/>
        <bgColor indexed="64"/>
      </patternFill>
    </fill>
    <fill>
      <patternFill patternType="solid">
        <fgColor rgb="FFFFFFFF"/>
        <bgColor indexed="64"/>
      </patternFill>
    </fill>
    <fill>
      <patternFill patternType="solid">
        <fgColor rgb="FFFFFF00"/>
        <bgColor indexed="64"/>
      </patternFill>
    </fill>
    <fill>
      <patternFill patternType="solid">
        <fgColor rgb="FFFFC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9" fillId="0" borderId="0" applyNumberFormat="0" applyFill="0" applyBorder="0" applyAlignment="0" applyProtection="0"/>
    <xf numFmtId="0" fontId="3" fillId="0" borderId="0"/>
    <xf numFmtId="44" fontId="3" fillId="0" borderId="0" applyFont="0" applyFill="0" applyBorder="0" applyAlignment="0" applyProtection="0"/>
    <xf numFmtId="0" fontId="2" fillId="0" borderId="0"/>
  </cellStyleXfs>
  <cellXfs count="53">
    <xf numFmtId="0" fontId="0" fillId="0" borderId="0" xfId="0"/>
    <xf numFmtId="0" fontId="4" fillId="0" borderId="0" xfId="0" applyFont="1"/>
    <xf numFmtId="0" fontId="6" fillId="0" borderId="0" xfId="0" applyFont="1" applyAlignment="1">
      <alignment horizontal="left" vertical="center" wrapText="1"/>
    </xf>
    <xf numFmtId="0" fontId="9" fillId="0" borderId="0" xfId="1" applyAlignment="1">
      <alignment horizontal="left" vertical="center" wrapText="1"/>
    </xf>
    <xf numFmtId="0" fontId="7" fillId="0" borderId="0" xfId="0" applyFont="1" applyAlignment="1">
      <alignment horizontal="left" vertical="center" wrapText="1"/>
    </xf>
    <xf numFmtId="0" fontId="4" fillId="0" borderId="0" xfId="0" applyFont="1" applyAlignment="1">
      <alignment horizontal="center"/>
    </xf>
    <xf numFmtId="0" fontId="0" fillId="0" borderId="0" xfId="0" applyAlignment="1">
      <alignment horizontal="center"/>
    </xf>
    <xf numFmtId="0" fontId="4" fillId="0" borderId="0" xfId="0" applyFont="1" applyAlignment="1">
      <alignment horizontal="left"/>
    </xf>
    <xf numFmtId="0" fontId="0" fillId="0" borderId="0" xfId="0" applyAlignment="1">
      <alignment horizontal="left"/>
    </xf>
    <xf numFmtId="0" fontId="10" fillId="0" borderId="1" xfId="2" applyFont="1" applyBorder="1"/>
    <xf numFmtId="0" fontId="10" fillId="0" borderId="0" xfId="2" applyFont="1"/>
    <xf numFmtId="0" fontId="10" fillId="0" borderId="0" xfId="2" applyFont="1" applyProtection="1">
      <protection locked="0"/>
    </xf>
    <xf numFmtId="0" fontId="3" fillId="0" borderId="0" xfId="2" applyAlignment="1" applyProtection="1">
      <alignment horizontal="center"/>
      <protection locked="0"/>
    </xf>
    <xf numFmtId="0" fontId="10" fillId="0" borderId="0" xfId="2" applyFont="1" applyAlignment="1" applyProtection="1">
      <alignment horizontal="center"/>
      <protection locked="0"/>
    </xf>
    <xf numFmtId="8" fontId="10" fillId="0" borderId="0" xfId="2" applyNumberFormat="1" applyFont="1" applyAlignment="1" applyProtection="1">
      <alignment horizontal="center"/>
      <protection locked="0"/>
    </xf>
    <xf numFmtId="0" fontId="10" fillId="0" borderId="0" xfId="2" applyFont="1" applyAlignment="1" applyProtection="1">
      <alignment horizontal="left"/>
      <protection locked="0"/>
    </xf>
    <xf numFmtId="0" fontId="10" fillId="0" borderId="0" xfId="4" applyFont="1"/>
    <xf numFmtId="0" fontId="14" fillId="0" borderId="1" xfId="4" applyFont="1" applyBorder="1" applyAlignment="1">
      <alignment horizontal="right"/>
    </xf>
    <xf numFmtId="0" fontId="8" fillId="4" borderId="1" xfId="4" applyFont="1" applyFill="1" applyBorder="1" applyAlignment="1">
      <alignment horizontal="left" vertical="center" wrapText="1" indent="2"/>
    </xf>
    <xf numFmtId="0" fontId="15" fillId="0" borderId="1" xfId="4" applyFont="1" applyBorder="1" applyAlignment="1">
      <alignment horizontal="left" indent="1"/>
    </xf>
    <xf numFmtId="6" fontId="10" fillId="5" borderId="1" xfId="4" applyNumberFormat="1" applyFont="1" applyFill="1" applyBorder="1"/>
    <xf numFmtId="0" fontId="16" fillId="0" borderId="1" xfId="4" applyFont="1" applyBorder="1"/>
    <xf numFmtId="0" fontId="17" fillId="4" borderId="1" xfId="4" applyFont="1" applyFill="1" applyBorder="1" applyAlignment="1">
      <alignment horizontal="left" vertical="center" wrapText="1" indent="2"/>
    </xf>
    <xf numFmtId="10" fontId="18" fillId="4" borderId="1" xfId="4" applyNumberFormat="1" applyFont="1" applyFill="1" applyBorder="1" applyAlignment="1">
      <alignment horizontal="left" vertical="center" wrapText="1" indent="2"/>
    </xf>
    <xf numFmtId="164" fontId="10" fillId="0" borderId="0" xfId="4" applyNumberFormat="1" applyFont="1"/>
    <xf numFmtId="0" fontId="16" fillId="0" borderId="0" xfId="4" applyFont="1"/>
    <xf numFmtId="2" fontId="10" fillId="0" borderId="0" xfId="4" applyNumberFormat="1" applyFont="1"/>
    <xf numFmtId="0" fontId="19" fillId="6" borderId="3" xfId="4" applyFont="1" applyFill="1" applyBorder="1" applyAlignment="1">
      <alignment horizontal="center"/>
    </xf>
    <xf numFmtId="0" fontId="19" fillId="6" borderId="4" xfId="4" applyFont="1" applyFill="1" applyBorder="1" applyAlignment="1">
      <alignment horizontal="center"/>
    </xf>
    <xf numFmtId="165" fontId="10" fillId="0" borderId="0" xfId="4" applyNumberFormat="1" applyFont="1"/>
    <xf numFmtId="0" fontId="19" fillId="0" borderId="5" xfId="4" applyFont="1" applyBorder="1"/>
    <xf numFmtId="0" fontId="19" fillId="0" borderId="0" xfId="4" applyFont="1"/>
    <xf numFmtId="0" fontId="10" fillId="0" borderId="6" xfId="4" applyFont="1" applyBorder="1" applyAlignment="1">
      <alignment horizontal="center"/>
    </xf>
    <xf numFmtId="0" fontId="10" fillId="0" borderId="7" xfId="4" applyFont="1" applyBorder="1" applyAlignment="1">
      <alignment horizontal="center"/>
    </xf>
    <xf numFmtId="0" fontId="10" fillId="0" borderId="8" xfId="4" applyFont="1" applyBorder="1"/>
    <xf numFmtId="0" fontId="10" fillId="0" borderId="9" xfId="4" applyFont="1" applyBorder="1"/>
    <xf numFmtId="0" fontId="10" fillId="0" borderId="10" xfId="4" applyFont="1" applyBorder="1" applyAlignment="1">
      <alignment horizontal="center"/>
    </xf>
    <xf numFmtId="0" fontId="10" fillId="0" borderId="11" xfId="4" applyFont="1" applyBorder="1" applyAlignment="1">
      <alignment horizontal="center"/>
    </xf>
    <xf numFmtId="0" fontId="10" fillId="0" borderId="0" xfId="2" quotePrefix="1" applyFont="1" applyProtection="1">
      <protection locked="0"/>
    </xf>
    <xf numFmtId="0" fontId="3" fillId="0" borderId="0" xfId="2" applyProtection="1">
      <protection locked="0"/>
    </xf>
    <xf numFmtId="0" fontId="3" fillId="0" borderId="0" xfId="2" quotePrefix="1" applyProtection="1">
      <protection locked="0"/>
    </xf>
    <xf numFmtId="0" fontId="3" fillId="0" borderId="0" xfId="2" applyAlignment="1" applyProtection="1">
      <alignment horizontal="center"/>
    </xf>
    <xf numFmtId="44" fontId="10" fillId="0" borderId="0" xfId="3" applyFont="1" applyAlignment="1" applyProtection="1">
      <alignment horizontal="center"/>
    </xf>
    <xf numFmtId="44" fontId="10" fillId="0" borderId="0" xfId="2" applyNumberFormat="1" applyFont="1" applyAlignment="1" applyProtection="1">
      <alignment horizontal="center"/>
    </xf>
    <xf numFmtId="0" fontId="1" fillId="0" borderId="0" xfId="2" applyFont="1" applyAlignment="1" applyProtection="1">
      <alignment horizontal="center"/>
    </xf>
    <xf numFmtId="0" fontId="11" fillId="0" borderId="0" xfId="2" quotePrefix="1" applyFont="1" applyAlignment="1" applyProtection="1">
      <alignment horizontal="center"/>
    </xf>
    <xf numFmtId="0" fontId="1" fillId="0" borderId="0" xfId="2" quotePrefix="1" applyFont="1" applyAlignment="1" applyProtection="1">
      <alignment horizontal="center"/>
    </xf>
    <xf numFmtId="166" fontId="0" fillId="0" borderId="0" xfId="0" applyNumberFormat="1"/>
    <xf numFmtId="0" fontId="20" fillId="0" borderId="0" xfId="0" applyFont="1" applyAlignment="1">
      <alignment horizontal="center"/>
    </xf>
    <xf numFmtId="0" fontId="21" fillId="0" borderId="0" xfId="0" applyFont="1" applyAlignment="1">
      <alignment horizontal="center"/>
    </xf>
    <xf numFmtId="0" fontId="12" fillId="2" borderId="2" xfId="4" applyFont="1" applyFill="1" applyBorder="1" applyAlignment="1">
      <alignment horizontal="center"/>
    </xf>
    <xf numFmtId="0" fontId="13" fillId="3" borderId="1" xfId="4" applyFont="1" applyFill="1" applyBorder="1" applyAlignment="1">
      <alignment horizontal="center"/>
    </xf>
    <xf numFmtId="0" fontId="22" fillId="0" borderId="0" xfId="0" applyFont="1"/>
  </cellXfs>
  <cellStyles count="5">
    <cellStyle name="Currency 2" xfId="3" xr:uid="{B0E42853-E044-41F1-914A-3822D1847EA7}"/>
    <cellStyle name="Hyperlink" xfId="1" builtinId="8"/>
    <cellStyle name="Normal" xfId="0" builtinId="0"/>
    <cellStyle name="Normal 2" xfId="2" xr:uid="{7875C5B8-D42C-4B17-AE88-6A8B84817A69}"/>
    <cellStyle name="Normal 3" xfId="4" xr:uid="{874D3A25-D788-4BF7-889F-032629514B33}"/>
  </cellStyles>
  <dxfs count="7">
    <dxf>
      <font>
        <b val="0"/>
        <strike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protection locked="0" hidden="0"/>
    </dxf>
    <dxf>
      <font>
        <b val="0"/>
        <strike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protection locked="0" hidden="0"/>
    </dxf>
    <dxf>
      <font>
        <strike val="0"/>
        <outline val="0"/>
        <shadow val="0"/>
        <u val="none"/>
        <vertAlign val="baseline"/>
        <sz val="11"/>
        <color theme="1"/>
        <name val="Calibri"/>
        <family val="2"/>
        <scheme val="minor"/>
      </font>
      <alignment horizontal="center" vertical="bottom" textRotation="0" wrapText="0" indent="0" justifyLastLine="0" shrinkToFit="0" readingOrder="0"/>
      <protection locked="0" hidden="0"/>
    </dxf>
    <dxf>
      <font>
        <strike val="0"/>
        <outline val="0"/>
        <shadow val="0"/>
        <u val="none"/>
        <vertAlign val="baseline"/>
        <sz val="11"/>
        <color theme="1"/>
        <name val="Calibri"/>
        <family val="2"/>
        <scheme val="minor"/>
      </font>
      <alignment horizontal="center" vertical="bottom" textRotation="0" wrapText="0" indent="0" justifyLastLine="0" shrinkToFit="0" readingOrder="0"/>
      <protection locked="0" hidden="0"/>
    </dxf>
    <dxf>
      <font>
        <strike val="0"/>
        <outline val="0"/>
        <shadow val="0"/>
        <u val="none"/>
        <vertAlign val="baseline"/>
        <sz val="11"/>
        <color theme="1"/>
        <name val="Calibri"/>
        <family val="2"/>
        <scheme val="minor"/>
      </font>
      <alignment horizontal="center" vertical="bottom" textRotation="0" wrapText="0" indent="0" justifyLastLine="0" shrinkToFit="0" readingOrder="0"/>
      <protection locked="0" hidden="0"/>
    </dxf>
    <dxf>
      <font>
        <strike val="0"/>
        <outline val="0"/>
        <shadow val="0"/>
        <u val="none"/>
        <vertAlign val="baseline"/>
        <sz val="11"/>
        <color theme="1"/>
        <name val="Calibri"/>
        <family val="2"/>
        <scheme val="minor"/>
      </font>
      <alignment horizontal="center" vertical="bottom" textRotation="0" wrapText="0" indent="0" justifyLastLine="0" shrinkToFit="0" readingOrder="0"/>
      <protection locked="0" hidden="0"/>
    </dxf>
    <dxf>
      <font>
        <strike val="0"/>
        <outline val="0"/>
        <shadow val="0"/>
        <u val="none"/>
        <vertAlign val="baseline"/>
        <sz val="11"/>
        <color theme="1"/>
        <name val="Calibri"/>
        <family val="2"/>
        <scheme val="minor"/>
      </font>
      <alignment horizontal="center" vertical="bottom"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6.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0"/>
    <c:plotArea>
      <c:layout/>
      <c:barChart>
        <c:barDir val="col"/>
        <c:grouping val="clustered"/>
        <c:varyColors val="0"/>
        <c:dLbls>
          <c:showLegendKey val="0"/>
          <c:showVal val="0"/>
          <c:showCatName val="0"/>
          <c:showSerName val="0"/>
          <c:showPercent val="0"/>
          <c:showBubbleSize val="0"/>
        </c:dLbls>
        <c:gapWidth val="150"/>
        <c:axId val="1"/>
        <c:axId val="2"/>
      </c:barChart>
      <c:catAx>
        <c:axId val="1"/>
        <c:scaling>
          <c:orientation val="minMax"/>
        </c:scaling>
        <c:delete val="0"/>
        <c:axPos val="b"/>
        <c:majorTickMark val="out"/>
        <c:minorTickMark val="none"/>
        <c:tickLblPos val="nextTo"/>
        <c:crossAx val="2"/>
        <c:crosses val="autoZero"/>
        <c:auto val="1"/>
        <c:lblAlgn val="ctr"/>
        <c:lblOffset val="100"/>
        <c:noMultiLvlLbl val="0"/>
      </c:catAx>
      <c:valAx>
        <c:axId val="2"/>
        <c:scaling>
          <c:orientation val="minMax"/>
        </c:scaling>
        <c:delete val="0"/>
        <c:axPos val="l"/>
        <c:majorGridlines/>
        <c:majorTickMark val="out"/>
        <c:minorTickMark val="none"/>
        <c:tickLblPos val="nextTo"/>
        <c:crossAx val="1"/>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_xlchart.v1.1</cx:f>
      </cx:numDim>
    </cx:data>
    <cx:data id="1">
      <cx:numDim type="val">
        <cx:f>_xlchart.v1.4</cx:f>
      </cx:numDim>
    </cx:data>
  </cx:chartData>
  <cx:chart>
    <cx:title pos="t" align="ctr" overlay="0"/>
    <cx:plotArea>
      <cx:plotAreaRegion>
        <cx:series layoutId="clusteredColumn" uniqueId="{FD5CE361-70BD-4916-BE7F-950ECD422FE4}" formatIdx="0">
          <cx:tx>
            <cx:txData>
              <cx:f>_xlchart.v1.0</cx:f>
              <cx:v>Age</cx:v>
            </cx:txData>
          </cx:tx>
          <cx:dataId val="0"/>
          <cx:layoutPr>
            <cx:binning intervalClosed="r"/>
          </cx:layoutPr>
        </cx:series>
        <cx:series layoutId="clusteredColumn" hidden="1" uniqueId="{96EC0B7C-FBC5-4EBD-A393-C7BDEEAC7E10}" formatIdx="1">
          <cx:tx>
            <cx:txData>
              <cx:f>_xlchart.v1.3</cx:f>
              <cx:v/>
            </cx:txData>
          </cx:tx>
          <cx:dataId val="1"/>
          <cx:layoutPr>
            <cx:binning intervalClosed="r"/>
          </cx:layoutPr>
        </cx:series>
      </cx:plotAreaRegion>
      <cx:axis id="0">
        <cx:catScaling gapWidth="0"/>
        <cx:tickLabels/>
      </cx:axis>
      <cx:axis id="1">
        <cx:valScaling max="35"/>
        <cx:majorGridlines/>
        <cx:tickLabels/>
        <cx:numFmt formatCode="[$$-en-US]#,##0.00" sourceLinked="0"/>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239ACE-1780-4277-B6B1-0DCFF339E830}">
  <sheetPr codeName="Chart1"/>
  <sheetViews>
    <sheetView zoomScale="114" workbookViewId="0" zoomToFit="1"/>
  </sheetViews>
  <pageMargins left="0.7" right="0.7" top="0.75" bottom="0.75" header="0.3" footer="0.3"/>
  <drawing r:id="rId1"/>
</chartsheet>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5</xdr:col>
      <xdr:colOff>371476</xdr:colOff>
      <xdr:row>1</xdr:row>
      <xdr:rowOff>47624</xdr:rowOff>
    </xdr:from>
    <xdr:to>
      <xdr:col>7</xdr:col>
      <xdr:colOff>733426</xdr:colOff>
      <xdr:row>6</xdr:row>
      <xdr:rowOff>114299</xdr:rowOff>
    </xdr:to>
    <xdr:sp macro="[0]!Calculate" textlink="">
      <xdr:nvSpPr>
        <xdr:cNvPr id="2" name="Rectangle: Rounded Corners 1">
          <a:extLst>
            <a:ext uri="{FF2B5EF4-FFF2-40B4-BE49-F238E27FC236}">
              <a16:creationId xmlns:a16="http://schemas.microsoft.com/office/drawing/2014/main" id="{E271491B-1010-43D6-9D90-B86EF3AB3819}"/>
            </a:ext>
          </a:extLst>
        </xdr:cNvPr>
        <xdr:cNvSpPr/>
      </xdr:nvSpPr>
      <xdr:spPr>
        <a:xfrm>
          <a:off x="4743451" y="285749"/>
          <a:ext cx="2038350" cy="1076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latin typeface="Tahoma" panose="020B0604030504040204" pitchFamily="34" charset="0"/>
              <a:ea typeface="Tahoma" panose="020B0604030504040204" pitchFamily="34" charset="0"/>
              <a:cs typeface="Tahoma" panose="020B0604030504040204" pitchFamily="34" charset="0"/>
            </a:rPr>
            <a:t>Calculate Projected Claims</a:t>
          </a:r>
          <a:endParaRPr lang="en-US" sz="16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5</xdr:col>
      <xdr:colOff>390524</xdr:colOff>
      <xdr:row>8</xdr:row>
      <xdr:rowOff>47625</xdr:rowOff>
    </xdr:from>
    <xdr:to>
      <xdr:col>7</xdr:col>
      <xdr:colOff>752475</xdr:colOff>
      <xdr:row>13</xdr:row>
      <xdr:rowOff>180975</xdr:rowOff>
    </xdr:to>
    <xdr:sp macro="[0]!ClearColumns" textlink="">
      <xdr:nvSpPr>
        <xdr:cNvPr id="3" name="Rectangle: Rounded Corners 2">
          <a:extLst>
            <a:ext uri="{FF2B5EF4-FFF2-40B4-BE49-F238E27FC236}">
              <a16:creationId xmlns:a16="http://schemas.microsoft.com/office/drawing/2014/main" id="{18149386-EC42-40E3-BAE8-DE4348464101}"/>
            </a:ext>
          </a:extLst>
        </xdr:cNvPr>
        <xdr:cNvSpPr/>
      </xdr:nvSpPr>
      <xdr:spPr>
        <a:xfrm>
          <a:off x="4762499" y="1685925"/>
          <a:ext cx="1876426" cy="1133475"/>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000" b="1"/>
            <a:t>CLEAR TABLE</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0" y="0"/>
    <xdr:ext cx="8664408" cy="6291513"/>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93C8B422-6B5A-4705-A1BA-A846A20B0562}"/>
                </a:ext>
              </a:extLst>
            </xdr:cNvPr>
            <xdr:cNvGraphicFramePr>
              <a:graphicFrameLock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graphicFrame macro="">
          <xdr:nvGraphicFramePr>
            <xdr:cNvPr id="0" nam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mc:Fallback>
    </mc:AlternateContent>
    <xdr:clientData/>
  </xdr:absolute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Rectangle 1">
          <a:extLst xmlns:a="http://schemas.openxmlformats.org/drawingml/2006/main">
            <a:ext uri="{FF2B5EF4-FFF2-40B4-BE49-F238E27FC236}">
              <a16:creationId xmlns:a16="http://schemas.microsoft.com/office/drawing/2014/main" id="{B99755F4-E3E2-4423-BBA8-D797FD8F6325}"/>
            </a:ext>
          </a:extLst>
        </cdr:cNvPr>
        <cdr:cNvSpPr>
          <a:spLocks xmlns:a="http://schemas.openxmlformats.org/drawingml/2006/main" noTextEdit="1"/>
        </cdr:cNvSpPr>
      </cdr:nvSpPr>
      <cdr:spPr>
        <a:xfrm xmlns:a="http://schemas.openxmlformats.org/drawingml/2006/main">
          <a:off x="0" y="0"/>
          <a:ext cx="8664408" cy="6291513"/>
        </a:xfrm>
        <a:prstGeom xmlns:a="http://schemas.openxmlformats.org/drawingml/2006/main" prst="rect">
          <a:avLst/>
        </a:prstGeom>
        <a:solidFill xmlns:a="http://schemas.openxmlformats.org/drawingml/2006/main">
          <a:prstClr val="white"/>
        </a:solidFill>
        <a:ln xmlns:a="http://schemas.openxmlformats.org/drawingml/2006/main" w="1">
          <a:solidFill>
            <a:prstClr val="green"/>
          </a:solidFill>
        </a:ln>
      </cdr:spPr>
      <cdr:txBody>
        <a:bodyPr xmlns:a="http://schemas.openxmlformats.org/drawingml/2006/main" vertOverflow="clip" horzOverflow="clip"/>
        <a:lstStyle xmlns:a="http://schemas.openxmlformats.org/drawingml/2006/main"/>
        <a:p xmlns:a="http://schemas.openxmlformats.org/drawingml/2006/main">
          <a:r>
            <a:rPr lang="en-US" sz="1100"/>
            <a:t>This chart isn't available in your version of Excel.
Editing this shape or saving this workbook into a different file format will permanently break the chart.</a:t>
          </a:r>
        </a:p>
      </cdr:txBody>
    </cdr:sp>
  </cdr:relSizeAnchor>
</c:userShap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99F562-4761-4840-8E83-520B45D5B45B}" name="Table1" displayName="Table1" ref="A1:E17" totalsRowShown="0" headerRowDxfId="6" dataDxfId="5" headerRowCellStyle="Normal" dataCellStyle="Normal">
  <tableColumns count="5">
    <tableColumn id="5" xr3:uid="{9AA400FD-009E-40FF-84C7-595DC842095E}" name="Year" dataDxfId="4" dataCellStyle="Normal"/>
    <tableColumn id="2" xr3:uid="{5855C99B-4BFB-4892-9EE2-DFEB33D55BA2}" name="Policy Year" dataDxfId="3" dataCellStyle="Normal"/>
    <tableColumn id="1" xr3:uid="{BE63125A-D1CC-4AD9-9603-0316763B7232}" name="Age" dataDxfId="2" dataCellStyle="Normal"/>
    <tableColumn id="3" xr3:uid="{DED9B961-688E-453F-8725-5CD031F6986D}" name="Age Range" dataDxfId="1" dataCellStyle="Normal">
      <calculatedColumnFormula>VLOOKUP(C2,Tables!Age_Decade,2,FALSE)</calculatedColumnFormula>
    </tableColumn>
    <tableColumn id="4" xr3:uid="{A3CE2302-9109-40D9-BD67-D1A722D2CDE4}" name="Expected Claims" dataDxfId="0" dataCellStyle="Normal">
      <calculatedColumnFormula>IF(Inputs!$B$2="Male",(HLOOKUP(D2,Probability,2,FALSE)*(Tables!$I$2*12)),(HLOOKUP(D2,Probability,3,FALSE)*(Tables!$I$3*12))) * IF(Inputs!$B$3="Unhealthy",1.5,1)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hyperlink" Target="https://etchedactuarial.com/aac-excel-sessions/" TargetMode="External"/><Relationship Id="rId2" Type="http://schemas.openxmlformats.org/officeDocument/2006/relationships/hyperlink" Target="https://examanalysis.s3.amazonaws.com/Excel%20Ninja%20Challenge/Excel%20Project%20%23%204/Project%204%20-%20Policyholder%20Data.xlsx" TargetMode="External"/><Relationship Id="rId1" Type="http://schemas.openxmlformats.org/officeDocument/2006/relationships/hyperlink" Target="https://etchedactuarial.com/aac_excel_proj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99FFE-44A9-934D-AC22-B3377C24119F}">
  <sheetPr codeName="Sheet1"/>
  <dimension ref="A1:O107"/>
  <sheetViews>
    <sheetView tabSelected="1" workbookViewId="0">
      <pane ySplit="1" topLeftCell="A2" activePane="bottomLeft" state="frozen"/>
      <selection pane="bottomLeft" activeCell="A2" sqref="A2"/>
    </sheetView>
  </sheetViews>
  <sheetFormatPr defaultColWidth="11" defaultRowHeight="15.75" x14ac:dyDescent="0.25"/>
  <cols>
    <col min="1" max="1" width="15.375" bestFit="1" customWidth="1"/>
    <col min="2" max="2" width="6.75" style="8" bestFit="1" customWidth="1"/>
    <col min="3" max="3" width="5.875" style="49" bestFit="1" customWidth="1"/>
    <col min="4" max="4" width="9.25" style="6" bestFit="1" customWidth="1"/>
    <col min="5" max="5" width="20.125" bestFit="1" customWidth="1"/>
    <col min="6" max="6" width="8.875" bestFit="1" customWidth="1"/>
    <col min="10" max="10" width="13.75" customWidth="1"/>
  </cols>
  <sheetData>
    <row r="1" spans="1:15" s="1" customFormat="1" ht="18.75" customHeight="1" x14ac:dyDescent="0.25">
      <c r="A1" s="1" t="s">
        <v>0</v>
      </c>
      <c r="B1" s="7" t="s">
        <v>143</v>
      </c>
      <c r="C1" s="48" t="s">
        <v>2</v>
      </c>
      <c r="D1" s="5" t="s">
        <v>3</v>
      </c>
      <c r="F1"/>
    </row>
    <row r="2" spans="1:15" ht="18" x14ac:dyDescent="0.25">
      <c r="A2" t="s">
        <v>6</v>
      </c>
      <c r="B2" s="8" t="s">
        <v>4</v>
      </c>
      <c r="C2" s="49">
        <v>63</v>
      </c>
      <c r="D2" s="6">
        <v>1</v>
      </c>
      <c r="E2" s="47"/>
      <c r="O2" s="52"/>
    </row>
    <row r="3" spans="1:15" x14ac:dyDescent="0.25">
      <c r="A3" t="s">
        <v>7</v>
      </c>
      <c r="B3" s="8" t="s">
        <v>5</v>
      </c>
      <c r="C3" s="49">
        <v>67</v>
      </c>
      <c r="D3" s="6">
        <v>2</v>
      </c>
      <c r="E3" s="47"/>
    </row>
    <row r="4" spans="1:15" ht="18" x14ac:dyDescent="0.25">
      <c r="A4" t="s">
        <v>8</v>
      </c>
      <c r="B4" s="8" t="s">
        <v>4</v>
      </c>
      <c r="C4" s="49">
        <v>59</v>
      </c>
      <c r="D4" s="6">
        <v>1</v>
      </c>
      <c r="E4" s="47"/>
      <c r="O4" s="52"/>
    </row>
    <row r="5" spans="1:15" x14ac:dyDescent="0.25">
      <c r="A5" t="s">
        <v>9</v>
      </c>
      <c r="B5" s="8" t="s">
        <v>5</v>
      </c>
      <c r="C5" s="49">
        <v>36</v>
      </c>
      <c r="D5" s="6">
        <v>1</v>
      </c>
      <c r="E5" s="47"/>
    </row>
    <row r="6" spans="1:15" x14ac:dyDescent="0.25">
      <c r="A6" t="s">
        <v>10</v>
      </c>
      <c r="B6" s="8" t="s">
        <v>4</v>
      </c>
      <c r="C6" s="49">
        <v>54</v>
      </c>
      <c r="D6" s="6">
        <v>2</v>
      </c>
      <c r="E6" s="47"/>
    </row>
    <row r="7" spans="1:15" x14ac:dyDescent="0.25">
      <c r="A7" t="s">
        <v>11</v>
      </c>
      <c r="B7" s="8" t="s">
        <v>5</v>
      </c>
      <c r="C7" s="49">
        <v>23</v>
      </c>
      <c r="D7" s="6">
        <v>1</v>
      </c>
      <c r="E7" s="47"/>
    </row>
    <row r="8" spans="1:15" x14ac:dyDescent="0.25">
      <c r="A8" t="s">
        <v>12</v>
      </c>
      <c r="B8" s="8" t="s">
        <v>5</v>
      </c>
      <c r="C8" s="49">
        <v>46</v>
      </c>
      <c r="D8" s="6">
        <v>2</v>
      </c>
      <c r="E8" s="47"/>
    </row>
    <row r="9" spans="1:15" x14ac:dyDescent="0.25">
      <c r="A9" t="s">
        <v>13</v>
      </c>
      <c r="B9" s="8" t="s">
        <v>4</v>
      </c>
      <c r="C9" s="49">
        <v>49</v>
      </c>
      <c r="D9" s="6">
        <v>2</v>
      </c>
      <c r="E9" s="47"/>
    </row>
    <row r="10" spans="1:15" x14ac:dyDescent="0.25">
      <c r="A10" t="s">
        <v>14</v>
      </c>
      <c r="B10" s="8" t="s">
        <v>4</v>
      </c>
      <c r="C10" s="49">
        <v>61</v>
      </c>
      <c r="D10" s="6">
        <v>2</v>
      </c>
      <c r="E10" s="47"/>
    </row>
    <row r="11" spans="1:15" x14ac:dyDescent="0.25">
      <c r="A11" t="s">
        <v>15</v>
      </c>
      <c r="B11" s="8" t="s">
        <v>4</v>
      </c>
      <c r="C11" s="49">
        <v>67</v>
      </c>
      <c r="D11" s="6">
        <v>1</v>
      </c>
      <c r="E11" s="47"/>
    </row>
    <row r="12" spans="1:15" x14ac:dyDescent="0.25">
      <c r="A12" t="s">
        <v>16</v>
      </c>
      <c r="B12" s="8" t="s">
        <v>5</v>
      </c>
      <c r="C12" s="49">
        <v>21</v>
      </c>
      <c r="D12" s="6">
        <v>1</v>
      </c>
      <c r="E12" s="47"/>
    </row>
    <row r="13" spans="1:15" x14ac:dyDescent="0.25">
      <c r="A13" t="s">
        <v>17</v>
      </c>
      <c r="B13" s="8" t="s">
        <v>5</v>
      </c>
      <c r="C13" s="49">
        <v>41</v>
      </c>
      <c r="D13" s="6">
        <v>1</v>
      </c>
      <c r="E13" s="47"/>
    </row>
    <row r="14" spans="1:15" x14ac:dyDescent="0.25">
      <c r="A14" t="s">
        <v>18</v>
      </c>
      <c r="B14" s="8" t="s">
        <v>4</v>
      </c>
      <c r="C14" s="49">
        <v>32</v>
      </c>
      <c r="D14" s="6">
        <v>1</v>
      </c>
      <c r="E14" s="47"/>
    </row>
    <row r="15" spans="1:15" x14ac:dyDescent="0.25">
      <c r="A15" t="s">
        <v>19</v>
      </c>
      <c r="B15" s="8" t="s">
        <v>4</v>
      </c>
      <c r="C15" s="49">
        <v>43</v>
      </c>
      <c r="D15" s="6">
        <v>1</v>
      </c>
      <c r="E15" s="47"/>
    </row>
    <row r="16" spans="1:15" x14ac:dyDescent="0.25">
      <c r="A16" t="s">
        <v>20</v>
      </c>
      <c r="B16" s="8" t="s">
        <v>4</v>
      </c>
      <c r="C16" s="49">
        <v>55</v>
      </c>
      <c r="D16" s="6">
        <v>1</v>
      </c>
      <c r="E16" s="47"/>
    </row>
    <row r="17" spans="1:5" x14ac:dyDescent="0.25">
      <c r="A17" t="s">
        <v>21</v>
      </c>
      <c r="B17" s="8" t="s">
        <v>5</v>
      </c>
      <c r="C17" s="49">
        <v>41</v>
      </c>
      <c r="D17" s="6">
        <v>2</v>
      </c>
      <c r="E17" s="47"/>
    </row>
    <row r="18" spans="1:5" x14ac:dyDescent="0.25">
      <c r="A18" t="s">
        <v>22</v>
      </c>
      <c r="B18" s="8" t="s">
        <v>5</v>
      </c>
      <c r="C18" s="49">
        <v>64</v>
      </c>
      <c r="D18" s="6">
        <v>1</v>
      </c>
      <c r="E18" s="47"/>
    </row>
    <row r="19" spans="1:5" x14ac:dyDescent="0.25">
      <c r="A19" t="s">
        <v>23</v>
      </c>
      <c r="B19" s="8" t="s">
        <v>4</v>
      </c>
      <c r="C19" s="49">
        <v>50</v>
      </c>
      <c r="D19" s="6">
        <v>2</v>
      </c>
      <c r="E19" s="47"/>
    </row>
    <row r="20" spans="1:5" x14ac:dyDescent="0.25">
      <c r="A20" t="s">
        <v>24</v>
      </c>
      <c r="B20" s="8" t="s">
        <v>4</v>
      </c>
      <c r="C20" s="49">
        <v>28</v>
      </c>
      <c r="D20" s="6">
        <v>1</v>
      </c>
      <c r="E20" s="47"/>
    </row>
    <row r="21" spans="1:5" x14ac:dyDescent="0.25">
      <c r="A21" t="s">
        <v>25</v>
      </c>
      <c r="B21" s="8" t="s">
        <v>4</v>
      </c>
      <c r="C21" s="49">
        <v>40</v>
      </c>
      <c r="D21" s="6">
        <v>2</v>
      </c>
      <c r="E21" s="47"/>
    </row>
    <row r="22" spans="1:5" x14ac:dyDescent="0.25">
      <c r="A22" t="s">
        <v>26</v>
      </c>
      <c r="B22" s="8" t="s">
        <v>4</v>
      </c>
      <c r="C22" s="49">
        <v>44</v>
      </c>
      <c r="D22" s="6">
        <v>1</v>
      </c>
      <c r="E22" s="47"/>
    </row>
    <row r="23" spans="1:5" x14ac:dyDescent="0.25">
      <c r="A23" t="s">
        <v>27</v>
      </c>
      <c r="B23" s="8" t="s">
        <v>5</v>
      </c>
      <c r="C23" s="49">
        <v>28</v>
      </c>
      <c r="D23" s="6">
        <v>1</v>
      </c>
      <c r="E23" s="47"/>
    </row>
    <row r="24" spans="1:5" x14ac:dyDescent="0.25">
      <c r="A24" t="s">
        <v>28</v>
      </c>
      <c r="B24" s="8" t="s">
        <v>4</v>
      </c>
      <c r="C24" s="49">
        <v>43</v>
      </c>
      <c r="D24" s="6">
        <v>1</v>
      </c>
      <c r="E24" s="47"/>
    </row>
    <row r="25" spans="1:5" x14ac:dyDescent="0.25">
      <c r="A25" t="s">
        <v>29</v>
      </c>
      <c r="B25" s="8" t="s">
        <v>5</v>
      </c>
      <c r="C25" s="49">
        <v>68</v>
      </c>
      <c r="D25" s="6">
        <v>2</v>
      </c>
      <c r="E25" s="47"/>
    </row>
    <row r="26" spans="1:5" x14ac:dyDescent="0.25">
      <c r="A26" t="s">
        <v>30</v>
      </c>
      <c r="B26" s="8" t="s">
        <v>5</v>
      </c>
      <c r="C26" s="49">
        <v>38</v>
      </c>
      <c r="D26" s="6">
        <v>1</v>
      </c>
      <c r="E26" s="47"/>
    </row>
    <row r="27" spans="1:5" x14ac:dyDescent="0.25">
      <c r="A27" t="s">
        <v>31</v>
      </c>
      <c r="B27" s="8" t="s">
        <v>4</v>
      </c>
      <c r="C27" s="49">
        <v>57</v>
      </c>
      <c r="D27" s="6">
        <v>2</v>
      </c>
      <c r="E27" s="47"/>
    </row>
    <row r="28" spans="1:5" x14ac:dyDescent="0.25">
      <c r="A28" t="s">
        <v>32</v>
      </c>
      <c r="B28" s="8" t="s">
        <v>5</v>
      </c>
      <c r="C28" s="49">
        <v>46</v>
      </c>
      <c r="D28" s="6">
        <v>1</v>
      </c>
      <c r="E28" s="47"/>
    </row>
    <row r="29" spans="1:5" x14ac:dyDescent="0.25">
      <c r="A29" t="s">
        <v>33</v>
      </c>
      <c r="B29" s="8" t="s">
        <v>4</v>
      </c>
      <c r="C29" s="49">
        <v>48</v>
      </c>
      <c r="D29" s="6">
        <v>1</v>
      </c>
      <c r="E29" s="47"/>
    </row>
    <row r="30" spans="1:5" x14ac:dyDescent="0.25">
      <c r="A30" t="s">
        <v>34</v>
      </c>
      <c r="B30" s="8" t="s">
        <v>4</v>
      </c>
      <c r="C30" s="49">
        <v>64</v>
      </c>
      <c r="D30" s="6">
        <v>1</v>
      </c>
      <c r="E30" s="47"/>
    </row>
    <row r="31" spans="1:5" x14ac:dyDescent="0.25">
      <c r="A31" t="s">
        <v>35</v>
      </c>
      <c r="B31" s="8" t="s">
        <v>5</v>
      </c>
      <c r="C31" s="49">
        <v>35</v>
      </c>
      <c r="D31" s="6">
        <v>2</v>
      </c>
      <c r="E31" s="47"/>
    </row>
    <row r="32" spans="1:5" x14ac:dyDescent="0.25">
      <c r="A32" t="s">
        <v>36</v>
      </c>
      <c r="B32" s="8" t="s">
        <v>5</v>
      </c>
      <c r="C32" s="49">
        <v>48</v>
      </c>
      <c r="D32" s="6">
        <v>1</v>
      </c>
      <c r="E32" s="47"/>
    </row>
    <row r="33" spans="1:5" x14ac:dyDescent="0.25">
      <c r="A33" t="s">
        <v>37</v>
      </c>
      <c r="B33" s="8" t="s">
        <v>5</v>
      </c>
      <c r="C33" s="49">
        <v>58</v>
      </c>
      <c r="D33" s="6">
        <v>2</v>
      </c>
      <c r="E33" s="47"/>
    </row>
    <row r="34" spans="1:5" x14ac:dyDescent="0.25">
      <c r="A34" t="s">
        <v>38</v>
      </c>
      <c r="B34" s="8" t="s">
        <v>5</v>
      </c>
      <c r="C34" s="49">
        <v>44</v>
      </c>
      <c r="D34" s="6">
        <v>2</v>
      </c>
      <c r="E34" s="47"/>
    </row>
    <row r="35" spans="1:5" x14ac:dyDescent="0.25">
      <c r="A35" t="s">
        <v>39</v>
      </c>
      <c r="B35" s="8" t="s">
        <v>4</v>
      </c>
      <c r="C35" s="49">
        <v>23</v>
      </c>
      <c r="D35" s="6">
        <v>2</v>
      </c>
      <c r="E35" s="47"/>
    </row>
    <row r="36" spans="1:5" x14ac:dyDescent="0.25">
      <c r="A36" t="s">
        <v>40</v>
      </c>
      <c r="B36" s="8" t="s">
        <v>5</v>
      </c>
      <c r="C36" s="49">
        <v>60</v>
      </c>
      <c r="D36" s="6">
        <v>2</v>
      </c>
      <c r="E36" s="47"/>
    </row>
    <row r="37" spans="1:5" x14ac:dyDescent="0.25">
      <c r="A37" t="s">
        <v>41</v>
      </c>
      <c r="B37" s="8" t="s">
        <v>5</v>
      </c>
      <c r="C37" s="49">
        <v>37</v>
      </c>
      <c r="D37" s="6">
        <v>1</v>
      </c>
      <c r="E37" s="47"/>
    </row>
    <row r="38" spans="1:5" x14ac:dyDescent="0.25">
      <c r="A38" t="s">
        <v>42</v>
      </c>
      <c r="B38" s="8" t="s">
        <v>5</v>
      </c>
      <c r="C38" s="49">
        <v>65</v>
      </c>
      <c r="D38" s="6">
        <v>1</v>
      </c>
      <c r="E38" s="47"/>
    </row>
    <row r="39" spans="1:5" x14ac:dyDescent="0.25">
      <c r="A39" t="s">
        <v>43</v>
      </c>
      <c r="B39" s="8" t="s">
        <v>4</v>
      </c>
      <c r="C39" s="49">
        <v>41</v>
      </c>
      <c r="D39" s="6">
        <v>1</v>
      </c>
      <c r="E39" s="47"/>
    </row>
    <row r="40" spans="1:5" x14ac:dyDescent="0.25">
      <c r="A40" t="s">
        <v>44</v>
      </c>
      <c r="B40" s="8" t="s">
        <v>4</v>
      </c>
      <c r="C40" s="49">
        <v>46</v>
      </c>
      <c r="D40" s="6">
        <v>2</v>
      </c>
      <c r="E40" s="47"/>
    </row>
    <row r="41" spans="1:5" x14ac:dyDescent="0.25">
      <c r="A41" t="s">
        <v>45</v>
      </c>
      <c r="B41" s="8" t="s">
        <v>5</v>
      </c>
      <c r="C41" s="49">
        <v>24</v>
      </c>
      <c r="D41" s="6">
        <v>2</v>
      </c>
      <c r="E41" s="47"/>
    </row>
    <row r="42" spans="1:5" x14ac:dyDescent="0.25">
      <c r="A42" t="s">
        <v>46</v>
      </c>
      <c r="B42" s="8" t="s">
        <v>5</v>
      </c>
      <c r="C42" s="49">
        <v>29</v>
      </c>
      <c r="D42" s="6">
        <v>1</v>
      </c>
      <c r="E42" s="47"/>
    </row>
    <row r="43" spans="1:5" x14ac:dyDescent="0.25">
      <c r="A43" t="s">
        <v>47</v>
      </c>
      <c r="B43" s="8" t="s">
        <v>5</v>
      </c>
      <c r="C43" s="49">
        <v>22</v>
      </c>
      <c r="D43" s="6">
        <v>2</v>
      </c>
      <c r="E43" s="47"/>
    </row>
    <row r="44" spans="1:5" x14ac:dyDescent="0.25">
      <c r="A44" t="s">
        <v>48</v>
      </c>
      <c r="B44" s="8" t="s">
        <v>5</v>
      </c>
      <c r="C44" s="49">
        <v>49</v>
      </c>
      <c r="D44" s="6">
        <v>1</v>
      </c>
      <c r="E44" s="47"/>
    </row>
    <row r="45" spans="1:5" x14ac:dyDescent="0.25">
      <c r="A45" t="s">
        <v>49</v>
      </c>
      <c r="B45" s="8" t="s">
        <v>5</v>
      </c>
      <c r="C45" s="49">
        <v>51</v>
      </c>
      <c r="D45" s="6">
        <v>2</v>
      </c>
      <c r="E45" s="47"/>
    </row>
    <row r="46" spans="1:5" x14ac:dyDescent="0.25">
      <c r="A46" t="s">
        <v>50</v>
      </c>
      <c r="B46" s="8" t="s">
        <v>4</v>
      </c>
      <c r="C46" s="49">
        <v>32</v>
      </c>
      <c r="D46" s="6">
        <v>1</v>
      </c>
      <c r="E46" s="47"/>
    </row>
    <row r="47" spans="1:5" x14ac:dyDescent="0.25">
      <c r="A47" t="s">
        <v>51</v>
      </c>
      <c r="B47" s="8" t="s">
        <v>4</v>
      </c>
      <c r="C47" s="49">
        <v>64</v>
      </c>
      <c r="D47" s="6">
        <v>1</v>
      </c>
      <c r="E47" s="47"/>
    </row>
    <row r="48" spans="1:5" x14ac:dyDescent="0.25">
      <c r="A48" t="s">
        <v>52</v>
      </c>
      <c r="B48" s="8" t="s">
        <v>4</v>
      </c>
      <c r="C48" s="49">
        <v>32</v>
      </c>
      <c r="D48" s="6">
        <v>2</v>
      </c>
      <c r="E48" s="47"/>
    </row>
    <row r="49" spans="1:5" x14ac:dyDescent="0.25">
      <c r="A49" t="s">
        <v>53</v>
      </c>
      <c r="B49" s="8" t="s">
        <v>5</v>
      </c>
      <c r="C49" s="49">
        <v>51</v>
      </c>
      <c r="D49" s="6">
        <v>1</v>
      </c>
      <c r="E49" s="47"/>
    </row>
    <row r="50" spans="1:5" x14ac:dyDescent="0.25">
      <c r="A50" t="s">
        <v>54</v>
      </c>
      <c r="B50" s="8" t="s">
        <v>4</v>
      </c>
      <c r="C50" s="49">
        <v>49</v>
      </c>
      <c r="D50" s="6">
        <v>2</v>
      </c>
      <c r="E50" s="47"/>
    </row>
    <row r="51" spans="1:5" x14ac:dyDescent="0.25">
      <c r="A51" t="s">
        <v>55</v>
      </c>
      <c r="B51" s="8" t="s">
        <v>5</v>
      </c>
      <c r="C51" s="49">
        <v>50</v>
      </c>
      <c r="D51" s="6">
        <v>1</v>
      </c>
      <c r="E51" s="47"/>
    </row>
    <row r="52" spans="1:5" x14ac:dyDescent="0.25">
      <c r="A52" t="s">
        <v>56</v>
      </c>
      <c r="B52" s="8" t="s">
        <v>5</v>
      </c>
      <c r="C52" s="49">
        <v>65</v>
      </c>
      <c r="D52" s="6">
        <v>1</v>
      </c>
      <c r="E52" s="47"/>
    </row>
    <row r="53" spans="1:5" x14ac:dyDescent="0.25">
      <c r="A53" t="s">
        <v>57</v>
      </c>
      <c r="B53" s="8" t="s">
        <v>4</v>
      </c>
      <c r="C53" s="49">
        <v>48</v>
      </c>
      <c r="D53" s="6">
        <v>2</v>
      </c>
      <c r="E53" s="47"/>
    </row>
    <row r="54" spans="1:5" x14ac:dyDescent="0.25">
      <c r="A54" t="s">
        <v>58</v>
      </c>
      <c r="B54" s="8" t="s">
        <v>4</v>
      </c>
      <c r="C54" s="49">
        <v>54</v>
      </c>
      <c r="D54" s="6">
        <v>2</v>
      </c>
      <c r="E54" s="47"/>
    </row>
    <row r="55" spans="1:5" x14ac:dyDescent="0.25">
      <c r="A55" t="s">
        <v>59</v>
      </c>
      <c r="B55" s="8" t="s">
        <v>5</v>
      </c>
      <c r="C55" s="49">
        <v>31</v>
      </c>
      <c r="D55" s="6">
        <v>2</v>
      </c>
      <c r="E55" s="47"/>
    </row>
    <row r="56" spans="1:5" x14ac:dyDescent="0.25">
      <c r="A56" t="s">
        <v>60</v>
      </c>
      <c r="B56" s="8" t="s">
        <v>5</v>
      </c>
      <c r="C56" s="49">
        <v>36</v>
      </c>
      <c r="D56" s="6">
        <v>2</v>
      </c>
      <c r="E56" s="47"/>
    </row>
    <row r="57" spans="1:5" x14ac:dyDescent="0.25">
      <c r="A57" t="s">
        <v>61</v>
      </c>
      <c r="B57" s="8" t="s">
        <v>5</v>
      </c>
      <c r="C57" s="49">
        <v>54</v>
      </c>
      <c r="D57" s="6">
        <v>1</v>
      </c>
      <c r="E57" s="47"/>
    </row>
    <row r="58" spans="1:5" x14ac:dyDescent="0.25">
      <c r="A58" t="s">
        <v>62</v>
      </c>
      <c r="B58" s="8" t="s">
        <v>4</v>
      </c>
      <c r="C58" s="49">
        <v>47</v>
      </c>
      <c r="D58" s="6">
        <v>2</v>
      </c>
      <c r="E58" s="47"/>
    </row>
    <row r="59" spans="1:5" x14ac:dyDescent="0.25">
      <c r="A59" t="s">
        <v>63</v>
      </c>
      <c r="B59" s="8" t="s">
        <v>5</v>
      </c>
      <c r="C59" s="49">
        <v>50</v>
      </c>
      <c r="D59" s="6">
        <v>1</v>
      </c>
      <c r="E59" s="47"/>
    </row>
    <row r="60" spans="1:5" x14ac:dyDescent="0.25">
      <c r="A60" t="s">
        <v>64</v>
      </c>
      <c r="B60" s="8" t="s">
        <v>4</v>
      </c>
      <c r="C60" s="49">
        <v>50</v>
      </c>
      <c r="D60" s="6">
        <v>2</v>
      </c>
      <c r="E60" s="47"/>
    </row>
    <row r="61" spans="1:5" x14ac:dyDescent="0.25">
      <c r="A61" t="s">
        <v>65</v>
      </c>
      <c r="B61" s="8" t="s">
        <v>5</v>
      </c>
      <c r="C61" s="49">
        <v>45</v>
      </c>
      <c r="D61" s="6">
        <v>1</v>
      </c>
      <c r="E61" s="47"/>
    </row>
    <row r="62" spans="1:5" x14ac:dyDescent="0.25">
      <c r="A62" t="s">
        <v>66</v>
      </c>
      <c r="B62" s="8" t="s">
        <v>5</v>
      </c>
      <c r="C62" s="49">
        <v>23</v>
      </c>
      <c r="D62" s="6">
        <v>1</v>
      </c>
      <c r="E62" s="47"/>
    </row>
    <row r="63" spans="1:5" x14ac:dyDescent="0.25">
      <c r="A63" t="s">
        <v>67</v>
      </c>
      <c r="B63" s="8" t="s">
        <v>4</v>
      </c>
      <c r="C63" s="49">
        <v>29</v>
      </c>
      <c r="D63" s="6">
        <v>2</v>
      </c>
      <c r="E63" s="47"/>
    </row>
    <row r="64" spans="1:5" x14ac:dyDescent="0.25">
      <c r="A64" t="s">
        <v>68</v>
      </c>
      <c r="B64" s="8" t="s">
        <v>5</v>
      </c>
      <c r="C64" s="49">
        <v>26</v>
      </c>
      <c r="D64" s="6">
        <v>1</v>
      </c>
      <c r="E64" s="47"/>
    </row>
    <row r="65" spans="1:5" x14ac:dyDescent="0.25">
      <c r="A65" t="s">
        <v>69</v>
      </c>
      <c r="B65" s="8" t="s">
        <v>4</v>
      </c>
      <c r="C65" s="49">
        <v>44</v>
      </c>
      <c r="D65" s="6">
        <v>2</v>
      </c>
      <c r="E65" s="47"/>
    </row>
    <row r="66" spans="1:5" x14ac:dyDescent="0.25">
      <c r="A66" t="s">
        <v>70</v>
      </c>
      <c r="B66" s="8" t="s">
        <v>5</v>
      </c>
      <c r="C66" s="49">
        <v>51</v>
      </c>
      <c r="D66" s="6">
        <v>1</v>
      </c>
      <c r="E66" s="47"/>
    </row>
    <row r="67" spans="1:5" x14ac:dyDescent="0.25">
      <c r="A67" t="s">
        <v>71</v>
      </c>
      <c r="B67" s="8" t="s">
        <v>5</v>
      </c>
      <c r="C67" s="49">
        <v>66</v>
      </c>
      <c r="D67" s="6">
        <v>1</v>
      </c>
      <c r="E67" s="47"/>
    </row>
    <row r="68" spans="1:5" x14ac:dyDescent="0.25">
      <c r="A68" t="s">
        <v>72</v>
      </c>
      <c r="B68" s="8" t="s">
        <v>4</v>
      </c>
      <c r="C68" s="49">
        <v>59</v>
      </c>
      <c r="D68" s="6">
        <v>2</v>
      </c>
      <c r="E68" s="47"/>
    </row>
    <row r="69" spans="1:5" x14ac:dyDescent="0.25">
      <c r="A69" t="s">
        <v>73</v>
      </c>
      <c r="B69" s="8" t="s">
        <v>5</v>
      </c>
      <c r="C69" s="49">
        <v>58</v>
      </c>
      <c r="D69" s="6">
        <v>2</v>
      </c>
      <c r="E69" s="47"/>
    </row>
    <row r="70" spans="1:5" x14ac:dyDescent="0.25">
      <c r="A70" t="s">
        <v>74</v>
      </c>
      <c r="B70" s="8" t="s">
        <v>5</v>
      </c>
      <c r="C70" s="49">
        <v>51</v>
      </c>
      <c r="D70" s="6">
        <v>1</v>
      </c>
      <c r="E70" s="47"/>
    </row>
    <row r="71" spans="1:5" x14ac:dyDescent="0.25">
      <c r="A71" t="s">
        <v>75</v>
      </c>
      <c r="B71" s="8" t="s">
        <v>5</v>
      </c>
      <c r="C71" s="49">
        <v>34</v>
      </c>
      <c r="D71" s="6">
        <v>1</v>
      </c>
      <c r="E71" s="47"/>
    </row>
    <row r="72" spans="1:5" x14ac:dyDescent="0.25">
      <c r="A72" t="s">
        <v>76</v>
      </c>
      <c r="B72" s="8" t="s">
        <v>4</v>
      </c>
      <c r="C72" s="49">
        <v>69</v>
      </c>
      <c r="D72" s="6">
        <v>2</v>
      </c>
      <c r="E72" s="47"/>
    </row>
    <row r="73" spans="1:5" x14ac:dyDescent="0.25">
      <c r="A73" t="s">
        <v>77</v>
      </c>
      <c r="B73" s="8" t="s">
        <v>4</v>
      </c>
      <c r="C73" s="49">
        <v>54</v>
      </c>
      <c r="D73" s="6">
        <v>1</v>
      </c>
      <c r="E73" s="47"/>
    </row>
    <row r="74" spans="1:5" x14ac:dyDescent="0.25">
      <c r="A74" t="s">
        <v>78</v>
      </c>
      <c r="B74" s="8" t="s">
        <v>4</v>
      </c>
      <c r="C74" s="49">
        <v>37</v>
      </c>
      <c r="D74" s="6">
        <v>1</v>
      </c>
      <c r="E74" s="47"/>
    </row>
    <row r="75" spans="1:5" x14ac:dyDescent="0.25">
      <c r="A75" t="s">
        <v>79</v>
      </c>
      <c r="B75" s="8" t="s">
        <v>4</v>
      </c>
      <c r="C75" s="49">
        <v>54</v>
      </c>
      <c r="D75" s="6">
        <v>2</v>
      </c>
      <c r="E75" s="47"/>
    </row>
    <row r="76" spans="1:5" x14ac:dyDescent="0.25">
      <c r="A76" t="s">
        <v>80</v>
      </c>
      <c r="B76" s="8" t="s">
        <v>4</v>
      </c>
      <c r="C76" s="49">
        <v>26</v>
      </c>
      <c r="D76" s="6">
        <v>2</v>
      </c>
      <c r="E76" s="47"/>
    </row>
    <row r="77" spans="1:5" x14ac:dyDescent="0.25">
      <c r="A77" t="s">
        <v>81</v>
      </c>
      <c r="B77" s="8" t="s">
        <v>5</v>
      </c>
      <c r="C77" s="49">
        <v>65</v>
      </c>
      <c r="D77" s="6">
        <v>1</v>
      </c>
      <c r="E77" s="47"/>
    </row>
    <row r="78" spans="1:5" x14ac:dyDescent="0.25">
      <c r="A78" t="s">
        <v>82</v>
      </c>
      <c r="B78" s="8" t="s">
        <v>4</v>
      </c>
      <c r="C78" s="49">
        <v>50</v>
      </c>
      <c r="D78" s="6">
        <v>1</v>
      </c>
      <c r="E78" s="47"/>
    </row>
    <row r="79" spans="1:5" x14ac:dyDescent="0.25">
      <c r="A79" t="s">
        <v>83</v>
      </c>
      <c r="B79" s="8" t="s">
        <v>5</v>
      </c>
      <c r="C79" s="49">
        <v>57</v>
      </c>
      <c r="D79" s="6">
        <v>2</v>
      </c>
      <c r="E79" s="47"/>
    </row>
    <row r="80" spans="1:5" x14ac:dyDescent="0.25">
      <c r="A80" t="s">
        <v>84</v>
      </c>
      <c r="B80" s="8" t="s">
        <v>4</v>
      </c>
      <c r="C80" s="49">
        <v>37</v>
      </c>
      <c r="D80" s="6">
        <v>1</v>
      </c>
      <c r="E80" s="47"/>
    </row>
    <row r="81" spans="1:5" x14ac:dyDescent="0.25">
      <c r="A81" t="s">
        <v>85</v>
      </c>
      <c r="B81" s="8" t="s">
        <v>4</v>
      </c>
      <c r="C81" s="49">
        <v>47</v>
      </c>
      <c r="D81" s="6">
        <v>1</v>
      </c>
      <c r="E81" s="47"/>
    </row>
    <row r="82" spans="1:5" x14ac:dyDescent="0.25">
      <c r="A82" t="s">
        <v>86</v>
      </c>
      <c r="B82" s="8" t="s">
        <v>4</v>
      </c>
      <c r="C82" s="49">
        <v>64</v>
      </c>
      <c r="D82" s="6">
        <v>1</v>
      </c>
      <c r="E82" s="47"/>
    </row>
    <row r="83" spans="1:5" x14ac:dyDescent="0.25">
      <c r="A83" t="s">
        <v>87</v>
      </c>
      <c r="B83" s="8" t="s">
        <v>4</v>
      </c>
      <c r="C83" s="49">
        <v>35</v>
      </c>
      <c r="D83" s="6">
        <v>2</v>
      </c>
      <c r="E83" s="47"/>
    </row>
    <row r="84" spans="1:5" x14ac:dyDescent="0.25">
      <c r="A84" t="s">
        <v>88</v>
      </c>
      <c r="B84" s="8" t="s">
        <v>4</v>
      </c>
      <c r="C84" s="49">
        <v>69</v>
      </c>
      <c r="D84" s="6">
        <v>1</v>
      </c>
      <c r="E84" s="47"/>
    </row>
    <row r="85" spans="1:5" x14ac:dyDescent="0.25">
      <c r="A85" t="s">
        <v>89</v>
      </c>
      <c r="B85" s="8" t="s">
        <v>4</v>
      </c>
      <c r="C85" s="49">
        <v>43</v>
      </c>
      <c r="D85" s="6">
        <v>1</v>
      </c>
      <c r="E85" s="47"/>
    </row>
    <row r="86" spans="1:5" x14ac:dyDescent="0.25">
      <c r="A86" t="s">
        <v>90</v>
      </c>
      <c r="B86" s="8" t="s">
        <v>4</v>
      </c>
      <c r="C86" s="49">
        <v>43</v>
      </c>
      <c r="D86" s="6">
        <v>2</v>
      </c>
      <c r="E86" s="47"/>
    </row>
    <row r="87" spans="1:5" x14ac:dyDescent="0.25">
      <c r="A87" t="s">
        <v>91</v>
      </c>
      <c r="B87" s="8" t="s">
        <v>4</v>
      </c>
      <c r="C87" s="49">
        <v>54</v>
      </c>
      <c r="D87" s="6">
        <v>1</v>
      </c>
      <c r="E87" s="47"/>
    </row>
    <row r="88" spans="1:5" x14ac:dyDescent="0.25">
      <c r="A88" t="s">
        <v>92</v>
      </c>
      <c r="B88" s="8" t="s">
        <v>4</v>
      </c>
      <c r="C88" s="49">
        <v>64</v>
      </c>
      <c r="D88" s="6">
        <v>2</v>
      </c>
      <c r="E88" s="47"/>
    </row>
    <row r="89" spans="1:5" x14ac:dyDescent="0.25">
      <c r="A89" t="s">
        <v>93</v>
      </c>
      <c r="B89" s="8" t="s">
        <v>4</v>
      </c>
      <c r="C89" s="49">
        <v>36</v>
      </c>
      <c r="D89" s="6">
        <v>2</v>
      </c>
      <c r="E89" s="47"/>
    </row>
    <row r="90" spans="1:5" x14ac:dyDescent="0.25">
      <c r="A90" t="s">
        <v>94</v>
      </c>
      <c r="B90" s="8" t="s">
        <v>4</v>
      </c>
      <c r="C90" s="49">
        <v>44</v>
      </c>
      <c r="D90" s="6">
        <v>1</v>
      </c>
      <c r="E90" s="47"/>
    </row>
    <row r="91" spans="1:5" x14ac:dyDescent="0.25">
      <c r="A91" t="s">
        <v>95</v>
      </c>
      <c r="B91" s="8" t="s">
        <v>5</v>
      </c>
      <c r="C91" s="49">
        <v>42</v>
      </c>
      <c r="D91" s="6">
        <v>2</v>
      </c>
      <c r="E91" s="47"/>
    </row>
    <row r="92" spans="1:5" x14ac:dyDescent="0.25">
      <c r="A92" t="s">
        <v>96</v>
      </c>
      <c r="B92" s="8" t="s">
        <v>4</v>
      </c>
      <c r="C92" s="49">
        <v>50</v>
      </c>
      <c r="D92" s="6">
        <v>2</v>
      </c>
      <c r="E92" s="47"/>
    </row>
    <row r="93" spans="1:5" x14ac:dyDescent="0.25">
      <c r="A93" t="s">
        <v>97</v>
      </c>
      <c r="B93" s="8" t="s">
        <v>4</v>
      </c>
      <c r="C93" s="49">
        <v>25</v>
      </c>
      <c r="D93" s="6">
        <v>1</v>
      </c>
      <c r="E93" s="47"/>
    </row>
    <row r="94" spans="1:5" x14ac:dyDescent="0.25">
      <c r="A94" t="s">
        <v>98</v>
      </c>
      <c r="B94" s="8" t="s">
        <v>5</v>
      </c>
      <c r="C94" s="49">
        <v>53</v>
      </c>
      <c r="D94" s="6">
        <v>2</v>
      </c>
      <c r="E94" s="47"/>
    </row>
    <row r="95" spans="1:5" x14ac:dyDescent="0.25">
      <c r="A95" t="s">
        <v>99</v>
      </c>
      <c r="B95" s="8" t="s">
        <v>4</v>
      </c>
      <c r="C95" s="49">
        <v>57</v>
      </c>
      <c r="D95" s="6">
        <v>1</v>
      </c>
      <c r="E95" s="47"/>
    </row>
    <row r="96" spans="1:5" x14ac:dyDescent="0.25">
      <c r="A96" t="s">
        <v>100</v>
      </c>
      <c r="B96" s="8" t="s">
        <v>5</v>
      </c>
      <c r="C96" s="49">
        <v>48</v>
      </c>
      <c r="D96" s="6">
        <v>2</v>
      </c>
      <c r="E96" s="47"/>
    </row>
    <row r="97" spans="1:5" x14ac:dyDescent="0.25">
      <c r="A97" t="s">
        <v>101</v>
      </c>
      <c r="B97" s="8" t="s">
        <v>4</v>
      </c>
      <c r="C97" s="49">
        <v>67</v>
      </c>
      <c r="D97" s="6">
        <v>2</v>
      </c>
      <c r="E97" s="47"/>
    </row>
    <row r="98" spans="1:5" x14ac:dyDescent="0.25">
      <c r="A98" t="s">
        <v>102</v>
      </c>
      <c r="B98" s="8" t="s">
        <v>5</v>
      </c>
      <c r="C98" s="49">
        <v>57</v>
      </c>
      <c r="D98" s="6">
        <v>2</v>
      </c>
      <c r="E98" s="47"/>
    </row>
    <row r="99" spans="1:5" x14ac:dyDescent="0.25">
      <c r="A99" t="s">
        <v>103</v>
      </c>
      <c r="B99" s="8" t="s">
        <v>4</v>
      </c>
      <c r="C99" s="49">
        <v>52</v>
      </c>
      <c r="D99" s="6">
        <v>1</v>
      </c>
      <c r="E99" s="47"/>
    </row>
    <row r="100" spans="1:5" x14ac:dyDescent="0.25">
      <c r="A100" t="s">
        <v>104</v>
      </c>
      <c r="B100" s="8" t="s">
        <v>5</v>
      </c>
      <c r="C100" s="49">
        <v>31</v>
      </c>
      <c r="D100" s="6">
        <v>1</v>
      </c>
      <c r="E100" s="47"/>
    </row>
    <row r="101" spans="1:5" x14ac:dyDescent="0.25">
      <c r="A101" t="s">
        <v>105</v>
      </c>
      <c r="B101" s="8" t="s">
        <v>4</v>
      </c>
      <c r="C101" s="49">
        <v>46</v>
      </c>
      <c r="D101" s="6">
        <v>2</v>
      </c>
      <c r="E101" s="47"/>
    </row>
    <row r="103" spans="1:5" x14ac:dyDescent="0.25">
      <c r="D103" s="8"/>
      <c r="E103" s="47"/>
    </row>
    <row r="104" spans="1:5" x14ac:dyDescent="0.25">
      <c r="D104" s="8"/>
      <c r="E104" s="47"/>
    </row>
    <row r="105" spans="1:5" x14ac:dyDescent="0.25">
      <c r="E105" s="47"/>
    </row>
    <row r="106" spans="1:5" x14ac:dyDescent="0.25">
      <c r="E106" s="47"/>
    </row>
    <row r="107" spans="1:5" x14ac:dyDescent="0.25">
      <c r="E107" s="47"/>
    </row>
  </sheetData>
  <phoneticPr fontId="5"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0A6F4-AD34-4F7A-8A2F-CB087D40365A}">
  <sheetPr codeName="Sheet3"/>
  <dimension ref="A1:B3"/>
  <sheetViews>
    <sheetView zoomScale="200" zoomScaleNormal="200" workbookViewId="0"/>
  </sheetViews>
  <sheetFormatPr defaultColWidth="8" defaultRowHeight="16.5" x14ac:dyDescent="0.3"/>
  <cols>
    <col min="1" max="1" width="10.875" style="10" bestFit="1" customWidth="1"/>
    <col min="2" max="2" width="9.375" style="8" customWidth="1"/>
    <col min="3" max="4" width="8" style="10"/>
    <col min="5" max="5" width="9" style="10" customWidth="1"/>
    <col min="6" max="16384" width="8" style="10"/>
  </cols>
  <sheetData>
    <row r="1" spans="1:1" x14ac:dyDescent="0.3">
      <c r="A1" s="9" t="s">
        <v>2</v>
      </c>
    </row>
    <row r="2" spans="1:1" x14ac:dyDescent="0.3">
      <c r="A2" s="9" t="s">
        <v>1</v>
      </c>
    </row>
    <row r="3" spans="1:1" x14ac:dyDescent="0.3">
      <c r="A3" s="9" t="s">
        <v>119</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C1620-F3E8-4455-98B7-7EB560D18170}">
  <sheetPr codeName="Sheet4"/>
  <dimension ref="A1:H35"/>
  <sheetViews>
    <sheetView zoomScaleNormal="100" workbookViewId="0"/>
  </sheetViews>
  <sheetFormatPr defaultColWidth="8" defaultRowHeight="16.5" x14ac:dyDescent="0.3"/>
  <cols>
    <col min="1" max="1" width="13.125" style="13" customWidth="1"/>
    <col min="2" max="2" width="9" style="13" customWidth="1"/>
    <col min="3" max="3" width="9" style="39" bestFit="1" customWidth="1"/>
    <col min="4" max="4" width="13.625" style="13" bestFit="1" customWidth="1"/>
    <col min="5" max="5" width="18.5" style="13" customWidth="1"/>
    <col min="6" max="16384" width="8" style="11"/>
  </cols>
  <sheetData>
    <row r="1" spans="1:8" x14ac:dyDescent="0.3">
      <c r="A1" s="12" t="s">
        <v>121</v>
      </c>
      <c r="B1" s="12" t="s">
        <v>122</v>
      </c>
      <c r="C1" s="12" t="s">
        <v>2</v>
      </c>
      <c r="D1" s="12" t="s">
        <v>123</v>
      </c>
      <c r="E1" s="12" t="s">
        <v>124</v>
      </c>
    </row>
    <row r="2" spans="1:8" x14ac:dyDescent="0.3">
      <c r="A2" s="12">
        <v>2021</v>
      </c>
      <c r="B2" s="12">
        <v>1</v>
      </c>
      <c r="C2" s="12">
        <v>28</v>
      </c>
      <c r="D2" s="44" t="str">
        <f>VLOOKUP(C2,Tables!Age_Decade,2,FALSE)</f>
        <v>20s</v>
      </c>
      <c r="E2" s="45">
        <f>IF(Inputs!$B$2="Male",(HLOOKUP(D2,Probability,2,FALSE)*(Tables!$I$2*12)),(HLOOKUP(D2,Probability,3,FALSE)*(Tables!$I$3*12))) * IF(Inputs!$B$3="Unhealthy",1.5,1)</f>
        <v>44.28</v>
      </c>
      <c r="G2" s="11" t="s">
        <v>125</v>
      </c>
      <c r="H2" s="38" t="s">
        <v>126</v>
      </c>
    </row>
    <row r="3" spans="1:8" x14ac:dyDescent="0.3">
      <c r="A3" s="41">
        <f>A2 + 1</f>
        <v>2022</v>
      </c>
      <c r="B3" s="41">
        <f>B2+1</f>
        <v>2</v>
      </c>
      <c r="C3" s="41">
        <f>C2+1</f>
        <v>29</v>
      </c>
      <c r="D3" s="44" t="str">
        <f>VLOOKUP(C3,Tables!Age_Decade,2,FALSE)</f>
        <v>20s</v>
      </c>
      <c r="E3" s="46">
        <f>IF(Inputs!$B$2="Male",(HLOOKUP(D3,Probability,2,FALSE)*(Tables!$I$2*12)),(HLOOKUP(D3,Probability,3,FALSE)*(Tables!$I$3*12))) * IF(Inputs!$B$3="Unhealthy",1.5,1)</f>
        <v>44.28</v>
      </c>
      <c r="G3" s="11" t="s">
        <v>127</v>
      </c>
      <c r="H3" s="38" t="s">
        <v>157</v>
      </c>
    </row>
    <row r="4" spans="1:8" x14ac:dyDescent="0.3">
      <c r="A4" s="41">
        <f t="shared" ref="A4:A17" si="0">A3 + 1</f>
        <v>2023</v>
      </c>
      <c r="B4" s="41">
        <f t="shared" ref="B4:C17" si="1">B3+1</f>
        <v>3</v>
      </c>
      <c r="C4" s="41">
        <f t="shared" si="1"/>
        <v>30</v>
      </c>
      <c r="D4" s="44" t="str">
        <f>VLOOKUP(C4,Tables!Age_Decade,2,FALSE)</f>
        <v>30s</v>
      </c>
      <c r="E4" s="46">
        <f>IF(Inputs!$B$2="Male",(HLOOKUP(D4,Probability,2,FALSE)*(Tables!$I$2*12)),(HLOOKUP(D4,Probability,3,FALSE)*(Tables!$I$3*12))) * IF(Inputs!$B$3="Unhealthy",1.5,1)</f>
        <v>66.42</v>
      </c>
    </row>
    <row r="5" spans="1:8" x14ac:dyDescent="0.3">
      <c r="A5" s="41">
        <f t="shared" si="0"/>
        <v>2024</v>
      </c>
      <c r="B5" s="41">
        <f t="shared" si="1"/>
        <v>4</v>
      </c>
      <c r="C5" s="41">
        <f t="shared" si="1"/>
        <v>31</v>
      </c>
      <c r="D5" s="44" t="str">
        <f>VLOOKUP(C5,Tables!Age_Decade,2,FALSE)</f>
        <v>30s</v>
      </c>
      <c r="E5" s="46">
        <f>IF(Inputs!$B$2="Male",(HLOOKUP(D5,Probability,2,FALSE)*(Tables!$I$2*12)),(HLOOKUP(D5,Probability,3,FALSE)*(Tables!$I$3*12))) * IF(Inputs!$B$3="Unhealthy",1.5,1)</f>
        <v>66.42</v>
      </c>
    </row>
    <row r="6" spans="1:8" x14ac:dyDescent="0.3">
      <c r="A6" s="41">
        <f t="shared" si="0"/>
        <v>2025</v>
      </c>
      <c r="B6" s="41">
        <f t="shared" si="1"/>
        <v>5</v>
      </c>
      <c r="C6" s="41">
        <f t="shared" si="1"/>
        <v>32</v>
      </c>
      <c r="D6" s="44" t="str">
        <f>VLOOKUP(C6,Tables!Age_Decade,2,FALSE)</f>
        <v>30s</v>
      </c>
      <c r="E6" s="46">
        <f>IF(Inputs!$B$2="Male",(HLOOKUP(D6,Probability,2,FALSE)*(Tables!$I$2*12)),(HLOOKUP(D6,Probability,3,FALSE)*(Tables!$I$3*12))) * IF(Inputs!$B$3="Unhealthy",1.5,1)</f>
        <v>66.42</v>
      </c>
    </row>
    <row r="7" spans="1:8" x14ac:dyDescent="0.3">
      <c r="A7" s="41">
        <f t="shared" si="0"/>
        <v>2026</v>
      </c>
      <c r="B7" s="41">
        <f t="shared" si="1"/>
        <v>6</v>
      </c>
      <c r="C7" s="41">
        <f t="shared" si="1"/>
        <v>33</v>
      </c>
      <c r="D7" s="44" t="str">
        <f>VLOOKUP(C7,Tables!Age_Decade,2,FALSE)</f>
        <v>30s</v>
      </c>
      <c r="E7" s="46">
        <f>IF(Inputs!$B$2="Male",(HLOOKUP(D7,Probability,2,FALSE)*(Tables!$I$2*12)),(HLOOKUP(D7,Probability,3,FALSE)*(Tables!$I$3*12))) * IF(Inputs!$B$3="Unhealthy",1.5,1)</f>
        <v>66.42</v>
      </c>
    </row>
    <row r="8" spans="1:8" x14ac:dyDescent="0.3">
      <c r="A8" s="41">
        <f t="shared" si="0"/>
        <v>2027</v>
      </c>
      <c r="B8" s="41">
        <f t="shared" si="1"/>
        <v>7</v>
      </c>
      <c r="C8" s="41">
        <f t="shared" si="1"/>
        <v>34</v>
      </c>
      <c r="D8" s="44" t="str">
        <f>VLOOKUP(C8,Tables!Age_Decade,2,FALSE)</f>
        <v>30s</v>
      </c>
      <c r="E8" s="46">
        <f>IF(Inputs!$B$2="Male",(HLOOKUP(D8,Probability,2,FALSE)*(Tables!$I$2*12)),(HLOOKUP(D8,Probability,3,FALSE)*(Tables!$I$3*12))) * IF(Inputs!$B$3="Unhealthy",1.5,1)</f>
        <v>66.42</v>
      </c>
    </row>
    <row r="9" spans="1:8" x14ac:dyDescent="0.3">
      <c r="A9" s="41">
        <f t="shared" si="0"/>
        <v>2028</v>
      </c>
      <c r="B9" s="41">
        <f t="shared" si="1"/>
        <v>8</v>
      </c>
      <c r="C9" s="41">
        <f t="shared" si="1"/>
        <v>35</v>
      </c>
      <c r="D9" s="44" t="str">
        <f>VLOOKUP(C9,Tables!Age_Decade,2,FALSE)</f>
        <v>30s</v>
      </c>
      <c r="E9" s="46">
        <f>IF(Inputs!$B$2="Male",(HLOOKUP(D9,Probability,2,FALSE)*(Tables!$I$2*12)),(HLOOKUP(D9,Probability,3,FALSE)*(Tables!$I$3*12))) * IF(Inputs!$B$3="Unhealthy",1.5,1)</f>
        <v>66.42</v>
      </c>
    </row>
    <row r="10" spans="1:8" x14ac:dyDescent="0.3">
      <c r="A10" s="41">
        <f t="shared" si="0"/>
        <v>2029</v>
      </c>
      <c r="B10" s="41">
        <f t="shared" si="1"/>
        <v>9</v>
      </c>
      <c r="C10" s="41">
        <f t="shared" si="1"/>
        <v>36</v>
      </c>
      <c r="D10" s="44" t="str">
        <f>VLOOKUP(C10,Tables!Age_Decade,2,FALSE)</f>
        <v>30s</v>
      </c>
      <c r="E10" s="46">
        <f>IF(Inputs!$B$2="Male",(HLOOKUP(D10,Probability,2,FALSE)*(Tables!$I$2*12)),(HLOOKUP(D10,Probability,3,FALSE)*(Tables!$I$3*12))) * IF(Inputs!$B$3="Unhealthy",1.5,1)</f>
        <v>66.42</v>
      </c>
    </row>
    <row r="11" spans="1:8" x14ac:dyDescent="0.3">
      <c r="A11" s="41">
        <f t="shared" si="0"/>
        <v>2030</v>
      </c>
      <c r="B11" s="41">
        <f t="shared" si="1"/>
        <v>10</v>
      </c>
      <c r="C11" s="41">
        <f t="shared" si="1"/>
        <v>37</v>
      </c>
      <c r="D11" s="44" t="str">
        <f>VLOOKUP(C11,Tables!Age_Decade,2,FALSE)</f>
        <v>30s</v>
      </c>
      <c r="E11" s="46">
        <f>IF(Inputs!$B$2="Male",(HLOOKUP(D11,Probability,2,FALSE)*(Tables!$I$2*12)),(HLOOKUP(D11,Probability,3,FALSE)*(Tables!$I$3*12))) * IF(Inputs!$B$3="Unhealthy",1.5,1)</f>
        <v>66.42</v>
      </c>
    </row>
    <row r="12" spans="1:8" x14ac:dyDescent="0.3">
      <c r="A12" s="41">
        <f t="shared" si="0"/>
        <v>2031</v>
      </c>
      <c r="B12" s="41">
        <f t="shared" si="1"/>
        <v>11</v>
      </c>
      <c r="C12" s="41">
        <f t="shared" si="1"/>
        <v>38</v>
      </c>
      <c r="D12" s="44" t="str">
        <f>VLOOKUP(C12,Tables!Age_Decade,2,FALSE)</f>
        <v>30s</v>
      </c>
      <c r="E12" s="46">
        <f>IF(Inputs!$B$2="Male",(HLOOKUP(D12,Probability,2,FALSE)*(Tables!$I$2*12)),(HLOOKUP(D12,Probability,3,FALSE)*(Tables!$I$3*12))) * IF(Inputs!$B$3="Unhealthy",1.5,1)</f>
        <v>66.42</v>
      </c>
    </row>
    <row r="13" spans="1:8" x14ac:dyDescent="0.3">
      <c r="A13" s="41">
        <f t="shared" si="0"/>
        <v>2032</v>
      </c>
      <c r="B13" s="41">
        <f t="shared" si="1"/>
        <v>12</v>
      </c>
      <c r="C13" s="41">
        <f t="shared" si="1"/>
        <v>39</v>
      </c>
      <c r="D13" s="44" t="str">
        <f>VLOOKUP(C13,Tables!Age_Decade,2,FALSE)</f>
        <v>30s</v>
      </c>
      <c r="E13" s="46">
        <f>IF(Inputs!$B$2="Male",(HLOOKUP(D13,Probability,2,FALSE)*(Tables!$I$2*12)),(HLOOKUP(D13,Probability,3,FALSE)*(Tables!$I$3*12))) * IF(Inputs!$B$3="Unhealthy",1.5,1)</f>
        <v>66.42</v>
      </c>
    </row>
    <row r="14" spans="1:8" x14ac:dyDescent="0.3">
      <c r="A14" s="41">
        <f t="shared" si="0"/>
        <v>2033</v>
      </c>
      <c r="B14" s="41">
        <f t="shared" si="1"/>
        <v>13</v>
      </c>
      <c r="C14" s="41">
        <f t="shared" si="1"/>
        <v>40</v>
      </c>
      <c r="D14" s="44" t="str">
        <f>VLOOKUP(C14,Tables!Age_Decade,2,FALSE)</f>
        <v>40s</v>
      </c>
      <c r="E14" s="46">
        <f>IF(Inputs!$B$2="Male",(HLOOKUP(D14,Probability,2,FALSE)*(Tables!$I$2*12)),(HLOOKUP(D14,Probability,3,FALSE)*(Tables!$I$3*12))) * IF(Inputs!$B$3="Unhealthy",1.5,1)</f>
        <v>132.84</v>
      </c>
      <c r="F14" s="14"/>
    </row>
    <row r="15" spans="1:8" x14ac:dyDescent="0.3">
      <c r="A15" s="41">
        <f t="shared" si="0"/>
        <v>2034</v>
      </c>
      <c r="B15" s="41">
        <f t="shared" si="1"/>
        <v>14</v>
      </c>
      <c r="C15" s="41">
        <f t="shared" si="1"/>
        <v>41</v>
      </c>
      <c r="D15" s="44" t="str">
        <f>VLOOKUP(C15,Tables!Age_Decade,2,FALSE)</f>
        <v>40s</v>
      </c>
      <c r="E15" s="46">
        <f>IF(Inputs!$B$2="Male",(HLOOKUP(D15,Probability,2,FALSE)*(Tables!$I$2*12)),(HLOOKUP(D15,Probability,3,FALSE)*(Tables!$I$3*12))) * IF(Inputs!$B$3="Unhealthy",1.5,1)</f>
        <v>132.84</v>
      </c>
      <c r="F15" s="14"/>
    </row>
    <row r="16" spans="1:8" x14ac:dyDescent="0.3">
      <c r="A16" s="41">
        <f t="shared" si="0"/>
        <v>2035</v>
      </c>
      <c r="B16" s="41">
        <f t="shared" si="1"/>
        <v>15</v>
      </c>
      <c r="C16" s="41">
        <f t="shared" si="1"/>
        <v>42</v>
      </c>
      <c r="D16" s="44" t="str">
        <f>VLOOKUP(C16,Tables!Age_Decade,2,FALSE)</f>
        <v>40s</v>
      </c>
      <c r="E16" s="46">
        <f>IF(Inputs!$B$2="Male",(HLOOKUP(D16,Probability,2,FALSE)*(Tables!$I$2*12)),(HLOOKUP(D16,Probability,3,FALSE)*(Tables!$I$3*12))) * IF(Inputs!$B$3="Unhealthy",1.5,1)</f>
        <v>132.84</v>
      </c>
      <c r="F16" s="14"/>
    </row>
    <row r="17" spans="1:7" x14ac:dyDescent="0.3">
      <c r="A17" s="41">
        <f t="shared" si="0"/>
        <v>2036</v>
      </c>
      <c r="B17" s="41">
        <f t="shared" si="1"/>
        <v>16</v>
      </c>
      <c r="C17" s="41">
        <f t="shared" si="1"/>
        <v>43</v>
      </c>
      <c r="D17" s="44" t="str">
        <f>VLOOKUP(C17,Tables!Age_Decade,2,FALSE)</f>
        <v>40s</v>
      </c>
      <c r="E17" s="46">
        <f>IF(Inputs!$B$2="Male",(HLOOKUP(D17,Probability,2,FALSE)*(Tables!$I$2*12)),(HLOOKUP(D17,Probability,3,FALSE)*(Tables!$I$3*12))) * IF(Inputs!$B$3="Unhealthy",1.5,1)</f>
        <v>132.84</v>
      </c>
      <c r="F17" s="14"/>
    </row>
    <row r="18" spans="1:7" s="39" customFormat="1" x14ac:dyDescent="0.3">
      <c r="A18" s="13"/>
      <c r="B18" s="13"/>
      <c r="C18" s="13"/>
      <c r="D18" s="13"/>
      <c r="E18" s="13"/>
      <c r="F18" s="14"/>
    </row>
    <row r="19" spans="1:7" s="39" customFormat="1" x14ac:dyDescent="0.3">
      <c r="A19" s="13"/>
      <c r="B19" s="13"/>
      <c r="D19" s="38"/>
      <c r="E19" s="13"/>
    </row>
    <row r="20" spans="1:7" s="39" customFormat="1" x14ac:dyDescent="0.3">
      <c r="A20" s="13"/>
      <c r="B20" s="13"/>
      <c r="D20" s="13"/>
      <c r="E20" s="38"/>
    </row>
    <row r="22" spans="1:7" x14ac:dyDescent="0.3">
      <c r="A22" s="13" t="s">
        <v>128</v>
      </c>
      <c r="B22" s="42">
        <f>E2</f>
        <v>44.28</v>
      </c>
    </row>
    <row r="24" spans="1:7" x14ac:dyDescent="0.3">
      <c r="A24" s="11" t="s">
        <v>129</v>
      </c>
      <c r="B24" s="11" t="s">
        <v>130</v>
      </c>
      <c r="D24" s="39"/>
      <c r="E24" s="39"/>
      <c r="F24" s="11" t="s">
        <v>131</v>
      </c>
      <c r="G24" s="11">
        <v>3</v>
      </c>
    </row>
    <row r="25" spans="1:7" x14ac:dyDescent="0.3">
      <c r="A25" s="11" t="s">
        <v>132</v>
      </c>
      <c r="B25" s="11"/>
      <c r="D25" s="39"/>
      <c r="E25" s="39"/>
      <c r="F25" s="11" t="s">
        <v>133</v>
      </c>
    </row>
    <row r="26" spans="1:7" x14ac:dyDescent="0.3">
      <c r="A26" s="11"/>
      <c r="B26" s="11"/>
      <c r="D26" s="39"/>
      <c r="E26" s="39"/>
      <c r="F26" s="11" t="s">
        <v>134</v>
      </c>
      <c r="G26" s="11">
        <v>1</v>
      </c>
    </row>
    <row r="27" spans="1:7" x14ac:dyDescent="0.3">
      <c r="A27" s="11" t="s">
        <v>129</v>
      </c>
      <c r="B27" s="11" t="s">
        <v>135</v>
      </c>
      <c r="D27" s="39"/>
      <c r="E27" s="39"/>
      <c r="F27" s="11" t="s">
        <v>136</v>
      </c>
      <c r="G27" s="11">
        <v>1.4</v>
      </c>
    </row>
    <row r="28" spans="1:7" x14ac:dyDescent="0.3">
      <c r="A28" s="11" t="s">
        <v>137</v>
      </c>
      <c r="B28" s="39"/>
      <c r="D28" s="39"/>
      <c r="E28" s="39"/>
    </row>
    <row r="29" spans="1:7" x14ac:dyDescent="0.3">
      <c r="A29" s="11"/>
      <c r="B29" s="39"/>
      <c r="D29" s="39"/>
      <c r="E29" s="39"/>
    </row>
    <row r="30" spans="1:7" x14ac:dyDescent="0.3">
      <c r="A30" s="11" t="s">
        <v>138</v>
      </c>
      <c r="B30" s="39"/>
      <c r="D30" s="39"/>
      <c r="E30" s="39"/>
    </row>
    <row r="31" spans="1:7" x14ac:dyDescent="0.3">
      <c r="A31" s="11" t="s">
        <v>139</v>
      </c>
      <c r="B31" s="40"/>
      <c r="D31" s="39"/>
      <c r="E31" s="39"/>
    </row>
    <row r="32" spans="1:7" x14ac:dyDescent="0.3">
      <c r="A32" s="11"/>
      <c r="B32" s="40"/>
      <c r="D32" s="39"/>
      <c r="E32" s="39"/>
    </row>
    <row r="33" spans="1:5" x14ac:dyDescent="0.3">
      <c r="A33" s="11" t="s">
        <v>140</v>
      </c>
      <c r="B33" s="40"/>
      <c r="D33" s="39"/>
      <c r="E33" s="39"/>
    </row>
    <row r="34" spans="1:5" x14ac:dyDescent="0.3">
      <c r="A34" s="15" t="s">
        <v>141</v>
      </c>
      <c r="D34" s="43">
        <f>5.4*B22</f>
        <v>239.11200000000002</v>
      </c>
    </row>
    <row r="35" spans="1:5" x14ac:dyDescent="0.3">
      <c r="B35" s="11"/>
      <c r="D35" s="11"/>
    </row>
  </sheetData>
  <sheetProtection sheet="1" objects="1" scenarios="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9A947-1F85-478E-BD1E-B4345F755D45}">
  <sheetPr codeName="Sheet5"/>
  <dimension ref="A1:O60"/>
  <sheetViews>
    <sheetView zoomScale="140" zoomScaleNormal="140" workbookViewId="0">
      <selection sqref="A1:F1"/>
    </sheetView>
  </sheetViews>
  <sheetFormatPr defaultColWidth="8" defaultRowHeight="16.5" x14ac:dyDescent="0.3"/>
  <cols>
    <col min="1" max="1" width="12.125" style="16" customWidth="1"/>
    <col min="2" max="6" width="9.5" style="16" bestFit="1" customWidth="1"/>
    <col min="7" max="7" width="9.625" style="16" customWidth="1"/>
    <col min="8" max="8" width="8.875" style="16" bestFit="1" customWidth="1"/>
    <col min="9" max="9" width="8.125" style="16" bestFit="1" customWidth="1"/>
    <col min="10" max="11" width="12" style="16" bestFit="1" customWidth="1"/>
    <col min="12" max="12" width="6.375" style="16" bestFit="1" customWidth="1"/>
    <col min="13" max="13" width="10" style="16" bestFit="1" customWidth="1"/>
    <col min="14" max="15" width="6.375" style="16" bestFit="1" customWidth="1"/>
    <col min="16" max="16384" width="8" style="16"/>
  </cols>
  <sheetData>
    <row r="1" spans="1:15" ht="21" x14ac:dyDescent="0.4">
      <c r="A1" s="50" t="s">
        <v>144</v>
      </c>
      <c r="B1" s="50"/>
      <c r="C1" s="50"/>
      <c r="D1" s="50"/>
      <c r="E1" s="50"/>
      <c r="F1" s="50"/>
      <c r="H1" s="51" t="s">
        <v>145</v>
      </c>
      <c r="I1" s="51"/>
      <c r="J1" s="51"/>
    </row>
    <row r="2" spans="1:15" ht="18.75" x14ac:dyDescent="0.35">
      <c r="A2" s="17" t="s">
        <v>146</v>
      </c>
      <c r="B2" s="18" t="s">
        <v>147</v>
      </c>
      <c r="C2" s="18" t="s">
        <v>148</v>
      </c>
      <c r="D2" s="18" t="s">
        <v>149</v>
      </c>
      <c r="E2" s="18" t="s">
        <v>150</v>
      </c>
      <c r="F2" s="18" t="s">
        <v>151</v>
      </c>
      <c r="H2" s="19" t="s">
        <v>5</v>
      </c>
      <c r="I2" s="20">
        <v>687</v>
      </c>
      <c r="J2" s="21" t="s">
        <v>152</v>
      </c>
    </row>
    <row r="3" spans="1:15" ht="18" x14ac:dyDescent="0.3">
      <c r="A3" s="22" t="s">
        <v>5</v>
      </c>
      <c r="B3" s="23">
        <v>0.01</v>
      </c>
      <c r="C3" s="23">
        <v>1.4999999999999999E-2</v>
      </c>
      <c r="D3" s="23">
        <v>0.03</v>
      </c>
      <c r="E3" s="23">
        <v>0.05</v>
      </c>
      <c r="F3" s="23">
        <v>0.08</v>
      </c>
      <c r="H3" s="19" t="s">
        <v>4</v>
      </c>
      <c r="I3" s="20">
        <v>492</v>
      </c>
      <c r="J3" s="21" t="s">
        <v>152</v>
      </c>
    </row>
    <row r="4" spans="1:15" ht="18" x14ac:dyDescent="0.3">
      <c r="A4" s="22" t="s">
        <v>4</v>
      </c>
      <c r="B4" s="23">
        <f>0.75*B3</f>
        <v>7.4999999999999997E-3</v>
      </c>
      <c r="C4" s="23">
        <f t="shared" ref="C4:F4" si="0">0.75*C3</f>
        <v>1.125E-2</v>
      </c>
      <c r="D4" s="23">
        <f t="shared" si="0"/>
        <v>2.2499999999999999E-2</v>
      </c>
      <c r="E4" s="23">
        <f t="shared" si="0"/>
        <v>3.7500000000000006E-2</v>
      </c>
      <c r="F4" s="23">
        <f t="shared" si="0"/>
        <v>0.06</v>
      </c>
      <c r="G4" s="24"/>
      <c r="H4" s="24"/>
      <c r="I4" s="24"/>
      <c r="J4" s="24"/>
      <c r="K4" s="24"/>
      <c r="L4" s="24"/>
      <c r="M4" s="24"/>
      <c r="N4" s="24"/>
      <c r="O4" s="24"/>
    </row>
    <row r="5" spans="1:15" x14ac:dyDescent="0.3">
      <c r="B5" s="24"/>
      <c r="C5" s="24"/>
      <c r="D5" s="24"/>
      <c r="E5" s="24"/>
      <c r="F5" s="24"/>
      <c r="G5" s="24"/>
      <c r="H5" s="24"/>
      <c r="I5" s="24"/>
      <c r="J5" s="24"/>
      <c r="K5" s="24"/>
      <c r="L5" s="24"/>
      <c r="M5" s="24"/>
      <c r="N5" s="24"/>
      <c r="O5" s="24"/>
    </row>
    <row r="6" spans="1:15" x14ac:dyDescent="0.3">
      <c r="A6" s="25" t="s">
        <v>153</v>
      </c>
      <c r="B6" s="26"/>
      <c r="C6" s="26"/>
      <c r="D6" s="26"/>
      <c r="E6" s="26"/>
      <c r="F6" s="26"/>
      <c r="G6" s="26"/>
      <c r="H6" s="26"/>
      <c r="I6" s="26"/>
      <c r="J6" s="26"/>
      <c r="K6" s="26"/>
      <c r="L6" s="26"/>
      <c r="M6" s="26"/>
      <c r="N6" s="26"/>
      <c r="O6" s="26"/>
    </row>
    <row r="7" spans="1:15" x14ac:dyDescent="0.3">
      <c r="A7" s="25" t="s">
        <v>154</v>
      </c>
    </row>
    <row r="8" spans="1:15" x14ac:dyDescent="0.3">
      <c r="A8" s="25" t="s">
        <v>155</v>
      </c>
    </row>
    <row r="10" spans="1:15" x14ac:dyDescent="0.3">
      <c r="A10" s="27" t="s">
        <v>2</v>
      </c>
      <c r="B10" s="28" t="s">
        <v>156</v>
      </c>
      <c r="D10" s="29"/>
      <c r="E10" s="30" t="s">
        <v>119</v>
      </c>
      <c r="G10" s="31"/>
    </row>
    <row r="11" spans="1:15" x14ac:dyDescent="0.3">
      <c r="A11" s="32">
        <v>20</v>
      </c>
      <c r="B11" s="33" t="s">
        <v>147</v>
      </c>
      <c r="D11" s="29"/>
      <c r="E11" s="34" t="s">
        <v>120</v>
      </c>
    </row>
    <row r="12" spans="1:15" x14ac:dyDescent="0.3">
      <c r="A12" s="32">
        <v>21</v>
      </c>
      <c r="B12" s="33" t="s">
        <v>147</v>
      </c>
      <c r="D12" s="29"/>
      <c r="E12" s="35" t="s">
        <v>142</v>
      </c>
    </row>
    <row r="13" spans="1:15" x14ac:dyDescent="0.3">
      <c r="A13" s="32">
        <v>22</v>
      </c>
      <c r="B13" s="33" t="s">
        <v>147</v>
      </c>
    </row>
    <row r="14" spans="1:15" x14ac:dyDescent="0.3">
      <c r="A14" s="32">
        <v>23</v>
      </c>
      <c r="B14" s="33" t="s">
        <v>147</v>
      </c>
    </row>
    <row r="15" spans="1:15" x14ac:dyDescent="0.3">
      <c r="A15" s="32">
        <v>24</v>
      </c>
      <c r="B15" s="33" t="s">
        <v>147</v>
      </c>
    </row>
    <row r="16" spans="1:15" x14ac:dyDescent="0.3">
      <c r="A16" s="32">
        <v>25</v>
      </c>
      <c r="B16" s="33" t="s">
        <v>147</v>
      </c>
    </row>
    <row r="17" spans="1:2" x14ac:dyDescent="0.3">
      <c r="A17" s="32">
        <v>26</v>
      </c>
      <c r="B17" s="33" t="s">
        <v>147</v>
      </c>
    </row>
    <row r="18" spans="1:2" x14ac:dyDescent="0.3">
      <c r="A18" s="32">
        <v>27</v>
      </c>
      <c r="B18" s="33" t="s">
        <v>147</v>
      </c>
    </row>
    <row r="19" spans="1:2" x14ac:dyDescent="0.3">
      <c r="A19" s="32">
        <v>28</v>
      </c>
      <c r="B19" s="33" t="s">
        <v>147</v>
      </c>
    </row>
    <row r="20" spans="1:2" x14ac:dyDescent="0.3">
      <c r="A20" s="32">
        <v>29</v>
      </c>
      <c r="B20" s="33" t="s">
        <v>147</v>
      </c>
    </row>
    <row r="21" spans="1:2" x14ac:dyDescent="0.3">
      <c r="A21" s="32">
        <v>30</v>
      </c>
      <c r="B21" s="33" t="s">
        <v>148</v>
      </c>
    </row>
    <row r="22" spans="1:2" x14ac:dyDescent="0.3">
      <c r="A22" s="32">
        <v>31</v>
      </c>
      <c r="B22" s="33" t="s">
        <v>148</v>
      </c>
    </row>
    <row r="23" spans="1:2" x14ac:dyDescent="0.3">
      <c r="A23" s="32">
        <v>32</v>
      </c>
      <c r="B23" s="33" t="s">
        <v>148</v>
      </c>
    </row>
    <row r="24" spans="1:2" x14ac:dyDescent="0.3">
      <c r="A24" s="32">
        <v>33</v>
      </c>
      <c r="B24" s="33" t="s">
        <v>148</v>
      </c>
    </row>
    <row r="25" spans="1:2" x14ac:dyDescent="0.3">
      <c r="A25" s="32">
        <v>34</v>
      </c>
      <c r="B25" s="33" t="s">
        <v>148</v>
      </c>
    </row>
    <row r="26" spans="1:2" x14ac:dyDescent="0.3">
      <c r="A26" s="32">
        <v>35</v>
      </c>
      <c r="B26" s="33" t="s">
        <v>148</v>
      </c>
    </row>
    <row r="27" spans="1:2" x14ac:dyDescent="0.3">
      <c r="A27" s="32">
        <v>36</v>
      </c>
      <c r="B27" s="33" t="s">
        <v>148</v>
      </c>
    </row>
    <row r="28" spans="1:2" x14ac:dyDescent="0.3">
      <c r="A28" s="32">
        <v>37</v>
      </c>
      <c r="B28" s="33" t="s">
        <v>148</v>
      </c>
    </row>
    <row r="29" spans="1:2" x14ac:dyDescent="0.3">
      <c r="A29" s="32">
        <v>38</v>
      </c>
      <c r="B29" s="33" t="s">
        <v>148</v>
      </c>
    </row>
    <row r="30" spans="1:2" x14ac:dyDescent="0.3">
      <c r="A30" s="32">
        <v>39</v>
      </c>
      <c r="B30" s="33" t="s">
        <v>148</v>
      </c>
    </row>
    <row r="31" spans="1:2" x14ac:dyDescent="0.3">
      <c r="A31" s="32">
        <v>40</v>
      </c>
      <c r="B31" s="33" t="s">
        <v>149</v>
      </c>
    </row>
    <row r="32" spans="1:2" x14ac:dyDescent="0.3">
      <c r="A32" s="32">
        <v>41</v>
      </c>
      <c r="B32" s="33" t="s">
        <v>149</v>
      </c>
    </row>
    <row r="33" spans="1:2" x14ac:dyDescent="0.3">
      <c r="A33" s="32">
        <v>42</v>
      </c>
      <c r="B33" s="33" t="s">
        <v>149</v>
      </c>
    </row>
    <row r="34" spans="1:2" x14ac:dyDescent="0.3">
      <c r="A34" s="32">
        <v>43</v>
      </c>
      <c r="B34" s="33" t="s">
        <v>149</v>
      </c>
    </row>
    <row r="35" spans="1:2" x14ac:dyDescent="0.3">
      <c r="A35" s="32">
        <v>44</v>
      </c>
      <c r="B35" s="33" t="s">
        <v>149</v>
      </c>
    </row>
    <row r="36" spans="1:2" x14ac:dyDescent="0.3">
      <c r="A36" s="32">
        <v>45</v>
      </c>
      <c r="B36" s="33" t="s">
        <v>149</v>
      </c>
    </row>
    <row r="37" spans="1:2" x14ac:dyDescent="0.3">
      <c r="A37" s="32">
        <v>46</v>
      </c>
      <c r="B37" s="33" t="s">
        <v>149</v>
      </c>
    </row>
    <row r="38" spans="1:2" x14ac:dyDescent="0.3">
      <c r="A38" s="32">
        <v>47</v>
      </c>
      <c r="B38" s="33" t="s">
        <v>149</v>
      </c>
    </row>
    <row r="39" spans="1:2" x14ac:dyDescent="0.3">
      <c r="A39" s="32">
        <v>48</v>
      </c>
      <c r="B39" s="33" t="s">
        <v>149</v>
      </c>
    </row>
    <row r="40" spans="1:2" x14ac:dyDescent="0.3">
      <c r="A40" s="32">
        <v>49</v>
      </c>
      <c r="B40" s="33" t="s">
        <v>149</v>
      </c>
    </row>
    <row r="41" spans="1:2" x14ac:dyDescent="0.3">
      <c r="A41" s="32">
        <v>50</v>
      </c>
      <c r="B41" s="33" t="s">
        <v>150</v>
      </c>
    </row>
    <row r="42" spans="1:2" x14ac:dyDescent="0.3">
      <c r="A42" s="32">
        <v>51</v>
      </c>
      <c r="B42" s="33" t="s">
        <v>150</v>
      </c>
    </row>
    <row r="43" spans="1:2" x14ac:dyDescent="0.3">
      <c r="A43" s="32">
        <v>52</v>
      </c>
      <c r="B43" s="33" t="s">
        <v>150</v>
      </c>
    </row>
    <row r="44" spans="1:2" x14ac:dyDescent="0.3">
      <c r="A44" s="32">
        <v>53</v>
      </c>
      <c r="B44" s="33" t="s">
        <v>150</v>
      </c>
    </row>
    <row r="45" spans="1:2" x14ac:dyDescent="0.3">
      <c r="A45" s="32">
        <v>54</v>
      </c>
      <c r="B45" s="33" t="s">
        <v>150</v>
      </c>
    </row>
    <row r="46" spans="1:2" x14ac:dyDescent="0.3">
      <c r="A46" s="32">
        <v>55</v>
      </c>
      <c r="B46" s="33" t="s">
        <v>150</v>
      </c>
    </row>
    <row r="47" spans="1:2" x14ac:dyDescent="0.3">
      <c r="A47" s="32">
        <v>56</v>
      </c>
      <c r="B47" s="33" t="s">
        <v>150</v>
      </c>
    </row>
    <row r="48" spans="1:2" x14ac:dyDescent="0.3">
      <c r="A48" s="32">
        <v>57</v>
      </c>
      <c r="B48" s="33" t="s">
        <v>150</v>
      </c>
    </row>
    <row r="49" spans="1:2" x14ac:dyDescent="0.3">
      <c r="A49" s="32">
        <v>58</v>
      </c>
      <c r="B49" s="33" t="s">
        <v>150</v>
      </c>
    </row>
    <row r="50" spans="1:2" x14ac:dyDescent="0.3">
      <c r="A50" s="32">
        <v>59</v>
      </c>
      <c r="B50" s="33" t="s">
        <v>150</v>
      </c>
    </row>
    <row r="51" spans="1:2" x14ac:dyDescent="0.3">
      <c r="A51" s="32">
        <v>60</v>
      </c>
      <c r="B51" s="33" t="s">
        <v>151</v>
      </c>
    </row>
    <row r="52" spans="1:2" x14ac:dyDescent="0.3">
      <c r="A52" s="32">
        <v>61</v>
      </c>
      <c r="B52" s="33" t="s">
        <v>151</v>
      </c>
    </row>
    <row r="53" spans="1:2" x14ac:dyDescent="0.3">
      <c r="A53" s="32">
        <v>62</v>
      </c>
      <c r="B53" s="33" t="s">
        <v>151</v>
      </c>
    </row>
    <row r="54" spans="1:2" x14ac:dyDescent="0.3">
      <c r="A54" s="32">
        <v>63</v>
      </c>
      <c r="B54" s="33" t="s">
        <v>151</v>
      </c>
    </row>
    <row r="55" spans="1:2" x14ac:dyDescent="0.3">
      <c r="A55" s="32">
        <v>64</v>
      </c>
      <c r="B55" s="33" t="s">
        <v>151</v>
      </c>
    </row>
    <row r="56" spans="1:2" x14ac:dyDescent="0.3">
      <c r="A56" s="32">
        <v>65</v>
      </c>
      <c r="B56" s="33" t="s">
        <v>151</v>
      </c>
    </row>
    <row r="57" spans="1:2" x14ac:dyDescent="0.3">
      <c r="A57" s="32">
        <v>66</v>
      </c>
      <c r="B57" s="33" t="s">
        <v>151</v>
      </c>
    </row>
    <row r="58" spans="1:2" x14ac:dyDescent="0.3">
      <c r="A58" s="32">
        <v>67</v>
      </c>
      <c r="B58" s="33" t="s">
        <v>151</v>
      </c>
    </row>
    <row r="59" spans="1:2" x14ac:dyDescent="0.3">
      <c r="A59" s="32">
        <v>68</v>
      </c>
      <c r="B59" s="33" t="s">
        <v>151</v>
      </c>
    </row>
    <row r="60" spans="1:2" x14ac:dyDescent="0.3">
      <c r="A60" s="36">
        <v>69</v>
      </c>
      <c r="B60" s="37" t="s">
        <v>151</v>
      </c>
    </row>
  </sheetData>
  <sheetProtection sheet="1" objects="1" scenarios="1"/>
  <mergeCells count="2">
    <mergeCell ref="A1:F1"/>
    <mergeCell ref="H1:J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B8A16-A128-4C89-A722-D1858CB81EFF}">
  <sheetPr codeName="Sheet7"/>
  <dimension ref="A1:F28"/>
  <sheetViews>
    <sheetView zoomScale="120" zoomScaleNormal="120" workbookViewId="0"/>
  </sheetViews>
  <sheetFormatPr defaultRowHeight="15.75" x14ac:dyDescent="0.25"/>
  <cols>
    <col min="1" max="1" width="5.125" style="6" bestFit="1" customWidth="1"/>
    <col min="2" max="2" width="10.25" style="6" bestFit="1" customWidth="1"/>
    <col min="3" max="3" width="4.25" style="6" bestFit="1" customWidth="1"/>
    <col min="4" max="4" width="9.875" style="6" bestFit="1" customWidth="1"/>
    <col min="5" max="5" width="20.125" style="6" bestFit="1" customWidth="1"/>
    <col min="6" max="6" width="12.375" style="8" bestFit="1" customWidth="1"/>
  </cols>
  <sheetData>
    <row r="1" customFormat="1" x14ac:dyDescent="0.25"/>
    <row r="2" customFormat="1" x14ac:dyDescent="0.25"/>
    <row r="3" customFormat="1" x14ac:dyDescent="0.25"/>
    <row r="4" customFormat="1" x14ac:dyDescent="0.25"/>
    <row r="5" customFormat="1" x14ac:dyDescent="0.25"/>
    <row r="6" customFormat="1" x14ac:dyDescent="0.25"/>
    <row r="7" customFormat="1" x14ac:dyDescent="0.25"/>
    <row r="8" customFormat="1" x14ac:dyDescent="0.25"/>
    <row r="9" customFormat="1" x14ac:dyDescent="0.25"/>
    <row r="10" customFormat="1" x14ac:dyDescent="0.25"/>
    <row r="11" customFormat="1" x14ac:dyDescent="0.25"/>
    <row r="12" customFormat="1" x14ac:dyDescent="0.25"/>
    <row r="13" customFormat="1" x14ac:dyDescent="0.25"/>
    <row r="14" customFormat="1" x14ac:dyDescent="0.25"/>
    <row r="15" customFormat="1" x14ac:dyDescent="0.25"/>
    <row r="16" customFormat="1" x14ac:dyDescent="0.25"/>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8364C-5421-483D-BF4F-F487167DA177}">
  <sheetPr codeName="Sheet2"/>
  <dimension ref="A1:A14"/>
  <sheetViews>
    <sheetView workbookViewId="0"/>
  </sheetViews>
  <sheetFormatPr defaultRowHeight="15.75" x14ac:dyDescent="0.25"/>
  <cols>
    <col min="1" max="1" width="72.375" customWidth="1"/>
  </cols>
  <sheetData>
    <row r="1" spans="1:1" ht="37.5" x14ac:dyDescent="0.25">
      <c r="A1" s="2" t="s">
        <v>106</v>
      </c>
    </row>
    <row r="2" spans="1:1" ht="47.25" x14ac:dyDescent="0.25">
      <c r="A2" s="3" t="s">
        <v>107</v>
      </c>
    </row>
    <row r="3" spans="1:1" ht="37.5" x14ac:dyDescent="0.25">
      <c r="A3" s="2" t="s">
        <v>108</v>
      </c>
    </row>
    <row r="4" spans="1:1" ht="18.75" x14ac:dyDescent="0.25">
      <c r="A4" s="2" t="s">
        <v>109</v>
      </c>
    </row>
    <row r="5" spans="1:1" ht="18.75" x14ac:dyDescent="0.25">
      <c r="A5" s="2" t="s">
        <v>110</v>
      </c>
    </row>
    <row r="6" spans="1:1" x14ac:dyDescent="0.25">
      <c r="A6" s="3" t="s">
        <v>111</v>
      </c>
    </row>
    <row r="7" spans="1:1" ht="18.75" x14ac:dyDescent="0.25">
      <c r="A7" s="2"/>
    </row>
    <row r="8" spans="1:1" ht="30" x14ac:dyDescent="0.25">
      <c r="A8" s="4" t="s">
        <v>112</v>
      </c>
    </row>
    <row r="9" spans="1:1" ht="37.5" x14ac:dyDescent="0.25">
      <c r="A9" s="2" t="s">
        <v>113</v>
      </c>
    </row>
    <row r="10" spans="1:1" ht="75" x14ac:dyDescent="0.25">
      <c r="A10" s="2" t="s">
        <v>114</v>
      </c>
    </row>
    <row r="11" spans="1:1" x14ac:dyDescent="0.25">
      <c r="A11" s="3" t="s">
        <v>115</v>
      </c>
    </row>
    <row r="12" spans="1:1" ht="93.75" x14ac:dyDescent="0.25">
      <c r="A12" s="2" t="s">
        <v>116</v>
      </c>
    </row>
    <row r="13" spans="1:1" ht="30" x14ac:dyDescent="0.25">
      <c r="A13" s="4" t="s">
        <v>117</v>
      </c>
    </row>
    <row r="14" spans="1:1" ht="37.5" x14ac:dyDescent="0.25">
      <c r="A14" s="2" t="s">
        <v>118</v>
      </c>
    </row>
  </sheetData>
  <sheetProtection sheet="1" objects="1" scenarios="1"/>
  <hyperlinks>
    <hyperlink ref="A2" r:id="rId1" display="https://etchedactuarial.com/aac_excel_proj3/" xr:uid="{9EFE5906-1728-4E26-8CCD-32B47D7D86D8}"/>
    <hyperlink ref="A6" r:id="rId2" display="https://examanalysis.s3.amazonaws.com/Excel Ninja Challenge/Excel Project %23 4/Project 4 - Policyholder Data.xlsx" xr:uid="{6A04EE84-20B5-4E6C-B161-3F4777D4B095}"/>
    <hyperlink ref="A11" r:id="rId3" display="https://etchedactuarial.com/aac-excel-sessions/" xr:uid="{44F0D5F6-E27B-4C72-AC8A-4FBF5BC8C92B}"/>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6</vt:i4>
      </vt:variant>
      <vt:variant>
        <vt:lpstr>Charts</vt:lpstr>
      </vt:variant>
      <vt:variant>
        <vt:i4>1</vt:i4>
      </vt:variant>
      <vt:variant>
        <vt:lpstr>Named Ranges</vt:lpstr>
      </vt:variant>
      <vt:variant>
        <vt:i4>2</vt:i4>
      </vt:variant>
    </vt:vector>
  </HeadingPairs>
  <TitlesOfParts>
    <vt:vector size="9" baseType="lpstr">
      <vt:lpstr>PolicyHolders</vt:lpstr>
      <vt:lpstr>Inputs</vt:lpstr>
      <vt:lpstr>Formulas</vt:lpstr>
      <vt:lpstr>Tables</vt:lpstr>
      <vt:lpstr>Calculations</vt:lpstr>
      <vt:lpstr>Instructions</vt:lpstr>
      <vt:lpstr>Chart1</vt:lpstr>
      <vt:lpstr>Tables!Age_Decade</vt:lpstr>
      <vt:lpstr>Probability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Ninja Challenge - Project 4</dc:title>
  <dc:creator>Nadine Innes</dc:creator>
  <cp:lastModifiedBy>Jason Antonino</cp:lastModifiedBy>
  <dcterms:created xsi:type="dcterms:W3CDTF">2021-06-10T20:54:59Z</dcterms:created>
  <dcterms:modified xsi:type="dcterms:W3CDTF">2021-06-16T22:12:18Z</dcterms:modified>
</cp:coreProperties>
</file>