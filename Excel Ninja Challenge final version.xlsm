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8f3e76e1014375/DOCUMENTS/EDUCATION/LEARN TO CODE/Excel VBA/"/>
    </mc:Choice>
  </mc:AlternateContent>
  <xr:revisionPtr revIDLastSave="267" documentId="8_{BC7EA994-6554-478E-904B-28A442F6EB22}" xr6:coauthVersionLast="46" xr6:coauthVersionMax="46" xr10:uidLastSave="{029B725C-5105-4ECF-98D1-5D29E316C801}"/>
  <bookViews>
    <workbookView xWindow="28680" yWindow="-120" windowWidth="29040" windowHeight="15840" tabRatio="423" xr2:uid="{4EE4166E-FFDE-4045-BE4A-452AE43C29C1}"/>
  </bookViews>
  <sheets>
    <sheet name="Inputs" sheetId="3" r:id="rId1"/>
    <sheet name="Tables" sheetId="1" r:id="rId2"/>
    <sheet name="Formulas" sheetId="4" r:id="rId3"/>
    <sheet name="Instructions" sheetId="2" r:id="rId4"/>
  </sheets>
  <definedNames>
    <definedName name="Age_Decade">Tables!$A$10:$B$62</definedName>
    <definedName name="Probability">Tables!$C$2:$G$4</definedName>
    <definedName name="Probably">Tables!$B$2:$G$4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4" l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D2" i="4"/>
  <c r="E2" i="4" s="1"/>
  <c r="B22" i="4" s="1"/>
  <c r="D34" i="4" s="1"/>
  <c r="B3" i="1"/>
  <c r="B3" i="4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C3" i="4"/>
  <c r="C4" i="4" s="1"/>
  <c r="D4" i="1"/>
  <c r="E4" i="1"/>
  <c r="F4" i="1"/>
  <c r="G4" i="1"/>
  <c r="C4" i="1"/>
  <c r="B4" i="1"/>
  <c r="C5" i="4" l="1"/>
  <c r="D4" i="4"/>
  <c r="E4" i="4" s="1"/>
  <c r="D3" i="4"/>
  <c r="E3" i="4" s="1"/>
  <c r="C6" i="4" l="1"/>
  <c r="D5" i="4"/>
  <c r="E5" i="4" s="1"/>
  <c r="D6" i="4" l="1"/>
  <c r="E6" i="4" s="1"/>
  <c r="C7" i="4"/>
  <c r="C8" i="4" l="1"/>
  <c r="D7" i="4"/>
  <c r="E7" i="4" s="1"/>
  <c r="D8" i="4" l="1"/>
  <c r="E8" i="4" s="1"/>
  <c r="C9" i="4"/>
  <c r="C10" i="4" l="1"/>
  <c r="D9" i="4"/>
  <c r="E9" i="4" s="1"/>
  <c r="D10" i="4" l="1"/>
  <c r="E10" i="4" s="1"/>
  <c r="C11" i="4"/>
  <c r="C12" i="4" l="1"/>
  <c r="D11" i="4"/>
  <c r="E11" i="4" s="1"/>
  <c r="C13" i="4" l="1"/>
  <c r="D12" i="4"/>
  <c r="E12" i="4" s="1"/>
  <c r="C14" i="4" l="1"/>
  <c r="D13" i="4"/>
  <c r="E13" i="4" s="1"/>
  <c r="D14" i="4" l="1"/>
  <c r="E14" i="4" s="1"/>
  <c r="C15" i="4"/>
  <c r="C16" i="4" l="1"/>
  <c r="D15" i="4"/>
  <c r="E15" i="4" s="1"/>
  <c r="C17" i="4" l="1"/>
  <c r="D17" i="4" s="1"/>
  <c r="E17" i="4" s="1"/>
  <c r="D16" i="4"/>
  <c r="E16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tc={26933D96-44B3-47BD-9CB8-A12D6F7ED740}</author>
    <author>tc={5300DA5E-A5D0-43E9-BE2B-06E06A1B898A}</author>
    <author>tc={1E0CF412-27F0-44F7-889E-6AE8B3B95EF5}</author>
  </authors>
  <commentList>
    <comment ref="A1" authorId="0" shapeId="0" xr:uid="{26933D96-44B3-47BD-9CB8-A12D6F7ED740}">
      <text>
        <t>[Threaded comment]
Your version of Excel allows you to read this threaded comment; however, any edits to it will get removed if the file is opened in a newer version of Excel. Learn more: https://go.microsoft.com/fwlink/?linkid=870924
Comment:
    Ages 18 to 69 only</t>
      </text>
    </comment>
    <comment ref="A2" authorId="1" shapeId="0" xr:uid="{5300DA5E-A5D0-43E9-BE2B-06E06A1B898A}">
      <text>
        <t>[Threaded comment]
Your version of Excel allows you to read this threaded comment; however, any edits to it will get removed if the file is opened in a newer version of Excel. Learn more: https://go.microsoft.com/fwlink/?linkid=870924
Comment:
    Single-digit year (e.g. 7 for July)</t>
      </text>
    </comment>
    <comment ref="A3" authorId="2" shapeId="0" xr:uid="{1E0CF412-27F0-44F7-889E-6AE8B3B95EF5}">
      <text>
        <t>[Threaded comment]
Your version of Excel allows you to read this threaded comment; however, any edits to it will get removed if the file is opened in a newer version of Excel. Learn more: https://go.microsoft.com/fwlink/?linkid=870924
Comment:
    Single-digit date (e.g. 15)</t>
      </text>
    </comment>
  </commentList>
</comments>
</file>

<file path=xl/sharedStrings.xml><?xml version="1.0" encoding="utf-8"?>
<sst xmlns="http://schemas.openxmlformats.org/spreadsheetml/2006/main" count="110" uniqueCount="49">
  <si>
    <t>Gender</t>
  </si>
  <si>
    <t>Age</t>
  </si>
  <si>
    <t>Male</t>
  </si>
  <si>
    <t>Female</t>
  </si>
  <si>
    <t>20s</t>
  </si>
  <si>
    <t>30s</t>
  </si>
  <si>
    <t>40s</t>
  </si>
  <si>
    <t>50s</t>
  </si>
  <si>
    <t>60s</t>
  </si>
  <si>
    <t>average claim</t>
  </si>
  <si>
    <t>The probability of making a claim is 50% more for those that are considered unhealthy.</t>
  </si>
  <si>
    <t xml:space="preserve">Claim Probabilities </t>
  </si>
  <si>
    <t>Claim Amounts</t>
  </si>
  <si>
    <t>Sex | Age</t>
  </si>
  <si>
    <t>Your task is to assist the insurance provider by calculating the projected claims for the full duration of the policy for any given policyholder.</t>
  </si>
  <si>
    <t>Your tool should be able to accept inputs about the policyholder (gender [M/F], age of the policyholder [20 to 69], and health condition [healthy/unhealthy])</t>
  </si>
  <si>
    <t>The output of your tool should be a projection of the expected claim amounts for the policyholder in Year 1, Year 2, Year 3, … etc. of the policy.</t>
  </si>
  <si>
    <r>
      <t>Note:</t>
    </r>
    <r>
      <rPr>
        <sz val="11"/>
        <color rgb="FF000000"/>
        <rFont val="Open Sans"/>
        <family val="2"/>
      </rPr>
      <t> Assume that a policyholder always purchases the policy on their birthday, so the policyholder will be the same age for the entire duration of each year.  For example, if a 25 year old purchases a policy on their 25th birthday, their age for Year 1 of the policy is 25, and their age for Year 2 of the policy is 26, etc..</t>
    </r>
  </si>
  <si>
    <t>Health</t>
  </si>
  <si>
    <t>In order to calculate the expected claim amount in a month for a specific policy holder, you should use the following formula:</t>
  </si>
  <si>
    <t>(Average claim amount) x (probability of making a claim in that month)</t>
  </si>
  <si>
    <t>Policy Year</t>
  </si>
  <si>
    <t>Expected Claims</t>
  </si>
  <si>
    <t>Age Range</t>
  </si>
  <si>
    <t>Decade</t>
  </si>
  <si>
    <t>D2 =</t>
  </si>
  <si>
    <t>Teen</t>
  </si>
  <si>
    <t>Profit =</t>
  </si>
  <si>
    <t>Premiums rec'vd - Claims filed - overhead</t>
  </si>
  <si>
    <t>[gross premiums] - [claims] - 1.4*[claims]</t>
  </si>
  <si>
    <t>2.4*[claims] + Profit = [gross premiums]</t>
  </si>
  <si>
    <t>Suggested annual premium (SAP)</t>
  </si>
  <si>
    <t>Healthy</t>
  </si>
  <si>
    <t>Year</t>
  </si>
  <si>
    <t>Unhealthy</t>
  </si>
  <si>
    <t>Let Profit = 3*[claims]</t>
  </si>
  <si>
    <t>=VLOOKUP(C2,Age_Decades,2,FALSE)</t>
  </si>
  <si>
    <t>=IF(Inputs!$B$2="Male",(HLOOKUP(D2,Probably,2,FALSE)*(Tables!$J$2*12)),(HLOOKUP(D2,Probably,3,FALSE)*(Tables!$J$3*12))) * IF(Inputs!$B$3="Unhealthy",1.5,1)</t>
  </si>
  <si>
    <t>E2 =</t>
  </si>
  <si>
    <t>[claims] =</t>
  </si>
  <si>
    <t>Birth Month</t>
  </si>
  <si>
    <t>Birth Date</t>
  </si>
  <si>
    <t>Let overhead = 1.4*[claims]</t>
  </si>
  <si>
    <t xml:space="preserve">2.4*[claims] + 3*[claims] = [gross premiums] </t>
  </si>
  <si>
    <t>[gross premiums] = 5.4 * [claims]</t>
  </si>
  <si>
    <t>PROF</t>
  </si>
  <si>
    <t>GROS</t>
  </si>
  <si>
    <t>CLMS</t>
  </si>
  <si>
    <t>OVHD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</si>
</sst>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0000000000000000"/>
    <numFmt numFmtId="165" formatCode="0.000"/>
  </numFmts>
  <fonts count="18" x14ac:knownFonts="1">
    <font>
      <sz val="11"/>
      <color theme="1"/>
      <name val="Calibri"/>
      <family val="2"/>
      <scheme val="minor"/>
    </font>
    <font>
      <b/>
      <sz val="13"/>
      <color rgb="FF000000"/>
      <name val="Open Sans"/>
      <family val="2"/>
    </font>
    <font>
      <b/>
      <sz val="11"/>
      <color rgb="FF000000"/>
      <name val="Open Sans"/>
      <family val="2"/>
    </font>
    <font>
      <sz val="12"/>
      <color theme="1"/>
      <name val="Open Sans"/>
      <family val="2"/>
    </font>
    <font>
      <sz val="14"/>
      <color theme="1"/>
      <name val="Open Sans"/>
      <family val="2"/>
    </font>
    <font>
      <b/>
      <sz val="12"/>
      <color theme="1"/>
      <name val="Open Sans"/>
      <family val="2"/>
    </font>
    <font>
      <sz val="11"/>
      <color theme="1"/>
      <name val="Open Sans"/>
      <family val="2"/>
    </font>
    <font>
      <b/>
      <sz val="11"/>
      <color theme="1"/>
      <name val="Open Sans"/>
      <family val="2"/>
    </font>
    <font>
      <sz val="10"/>
      <color theme="1"/>
      <name val="Open Sans"/>
      <family val="2"/>
    </font>
    <font>
      <b/>
      <sz val="10"/>
      <color theme="1"/>
      <name val="Open Sans"/>
      <family val="2"/>
    </font>
    <font>
      <sz val="11"/>
      <color rgb="FF000000"/>
      <name val="Open Sans"/>
      <family val="2"/>
    </font>
    <font>
      <sz val="11"/>
      <color theme="4"/>
      <name val="Open Sans"/>
      <family val="2"/>
    </font>
    <font>
      <sz val="12"/>
      <color rgb="FF000000"/>
      <name val="Open Sans"/>
      <family val="2"/>
    </font>
    <font>
      <b/>
      <sz val="11"/>
      <color theme="1"/>
      <name val="Calibri"/>
      <family val="2"/>
      <scheme val="minor"/>
    </font>
    <font>
      <b/>
      <sz val="12"/>
      <color rgb="FF000000"/>
      <name val="Open Sans"/>
      <family val="2"/>
    </font>
    <font>
      <b/>
      <sz val="13"/>
      <color theme="1"/>
      <name val="Open Sans"/>
      <family val="2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6" fillId="0" borderId="0" applyFont="0" applyFill="0" applyBorder="0" applyAlignment="0" applyProtection="0"/>
  </cellStyleXfs>
  <cellXfs count="51">
    <xf numFmtId="0" fontId="0" fillId="0" borderId="0" xfId="0"/>
    <xf numFmtId="0" fontId="1" fillId="2" borderId="1" xfId="0" applyFont="1" applyFill="1" applyBorder="1" applyAlignment="1">
      <alignment horizontal="left" vertical="center" wrapText="1" indent="2"/>
    </xf>
    <xf numFmtId="0" fontId="5" fillId="0" borderId="1" xfId="0" applyFont="1" applyBorder="1" applyAlignment="1">
      <alignment horizontal="right"/>
    </xf>
    <xf numFmtId="0" fontId="8" fillId="0" borderId="1" xfId="0" applyFont="1" applyFill="1" applyBorder="1" applyAlignment="1"/>
    <xf numFmtId="0" fontId="10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6" fillId="0" borderId="0" xfId="0" applyFont="1"/>
    <xf numFmtId="0" fontId="9" fillId="0" borderId="1" xfId="0" applyFont="1" applyFill="1" applyBorder="1" applyAlignment="1">
      <alignment horizontal="left" indent="1"/>
    </xf>
    <xf numFmtId="0" fontId="6" fillId="0" borderId="0" xfId="0" applyFont="1" applyFill="1" applyBorder="1" applyAlignment="1"/>
    <xf numFmtId="0" fontId="6" fillId="0" borderId="0" xfId="0" applyFont="1" applyFill="1" applyBorder="1"/>
    <xf numFmtId="165" fontId="6" fillId="0" borderId="0" xfId="0" applyNumberFormat="1" applyFont="1" applyFill="1" applyBorder="1"/>
    <xf numFmtId="0" fontId="8" fillId="0" borderId="0" xfId="0" applyFont="1"/>
    <xf numFmtId="2" fontId="6" fillId="0" borderId="0" xfId="0" applyNumberFormat="1" applyFont="1"/>
    <xf numFmtId="164" fontId="6" fillId="0" borderId="0" xfId="0" applyNumberFormat="1" applyFont="1"/>
    <xf numFmtId="0" fontId="6" fillId="0" borderId="0" xfId="0" applyFont="1" applyAlignment="1">
      <alignment horizontal="center"/>
    </xf>
    <xf numFmtId="0" fontId="6" fillId="0" borderId="1" xfId="0" applyFont="1" applyBorder="1"/>
    <xf numFmtId="0" fontId="6" fillId="0" borderId="0" xfId="0" applyFont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8" fontId="6" fillId="0" borderId="0" xfId="0" applyNumberFormat="1" applyFont="1" applyAlignment="1" applyProtection="1">
      <alignment horizontal="center"/>
    </xf>
    <xf numFmtId="8" fontId="6" fillId="0" borderId="0" xfId="0" applyNumberFormat="1" applyFont="1" applyAlignment="1" applyProtection="1">
      <alignment horizontal="center"/>
      <protection locked="0"/>
    </xf>
    <xf numFmtId="0" fontId="0" fillId="0" borderId="0" xfId="0" quotePrefix="1"/>
    <xf numFmtId="0" fontId="13" fillId="0" borderId="0" xfId="0" quotePrefix="1" applyFont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left"/>
      <protection locked="0"/>
    </xf>
    <xf numFmtId="0" fontId="11" fillId="0" borderId="1" xfId="0" applyFont="1" applyBorder="1" applyProtection="1">
      <protection locked="0"/>
    </xf>
    <xf numFmtId="0" fontId="6" fillId="0" borderId="0" xfId="0" applyFont="1" applyProtection="1"/>
    <xf numFmtId="0" fontId="6" fillId="0" borderId="0" xfId="0" quotePrefix="1" applyFont="1" applyProtection="1"/>
    <xf numFmtId="0" fontId="14" fillId="2" borderId="1" xfId="0" applyFont="1" applyFill="1" applyBorder="1" applyAlignment="1">
      <alignment horizontal="left" vertical="center" wrapText="1" indent="2"/>
    </xf>
    <xf numFmtId="10" fontId="12" fillId="2" borderId="1" xfId="0" applyNumberFormat="1" applyFont="1" applyFill="1" applyBorder="1" applyAlignment="1">
      <alignment horizontal="left" vertical="center" wrapText="1" indent="2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6" fontId="6" fillId="6" borderId="1" xfId="0" applyNumberFormat="1" applyFont="1" applyFill="1" applyBorder="1" applyAlignment="1"/>
    <xf numFmtId="6" fontId="6" fillId="6" borderId="1" xfId="0" applyNumberFormat="1" applyFont="1" applyFill="1" applyBorder="1"/>
    <xf numFmtId="0" fontId="0" fillId="0" borderId="0" xfId="0" quotePrefix="1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left"/>
      <protection locked="0"/>
    </xf>
    <xf numFmtId="0" fontId="13" fillId="0" borderId="0" xfId="0" applyFont="1" applyAlignment="1">
      <alignment horizontal="center"/>
    </xf>
    <xf numFmtId="0" fontId="7" fillId="0" borderId="0" xfId="0" applyFont="1"/>
    <xf numFmtId="0" fontId="0" fillId="0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Fill="1" applyAlignment="1" applyProtection="1">
      <alignment horizontal="center"/>
      <protection locked="0"/>
    </xf>
    <xf numFmtId="44" fontId="6" fillId="0" borderId="0" xfId="1" applyFont="1" applyAlignment="1" applyProtection="1">
      <alignment horizontal="center"/>
      <protection locked="0"/>
    </xf>
    <xf numFmtId="44" fontId="6" fillId="0" borderId="0" xfId="0" applyNumberFormat="1" applyFont="1" applyAlignment="1" applyProtection="1">
      <alignment horizontal="center"/>
      <protection locked="0"/>
    </xf>
    <xf numFmtId="0" fontId="7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3" fillId="3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7"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266714</xdr:colOff>
      <xdr:row>3</xdr:row>
      <xdr:rowOff>0</xdr:rowOff>
    </xdr:from>
    <xdr:to>
      <xdr:col>4</xdr:col>
      <xdr:colOff>142889</xdr:colOff>
      <xdr:row>5</xdr:row>
      <xdr:rowOff>0</xdr:rowOff>
    </xdr:to>
    <xdr:sp macro="[0]!PrepOutpu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9764" y="628650"/>
          <a:ext cx="1095375" cy="41910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Submit</a:t>
          </a:r>
          <a:endParaRPr lang="en-US" sz="1100"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ason Antonino" id="{A66A0E7A-8D25-4535-8E7A-29C9E74C2840}" userId="088f3e76e1014375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A9ECCD-324B-4055-8A10-18E6BB887A89}" name="Table1" displayName="Table1" ref="A1:E17" totalsRowShown="0" headerRowDxfId="6" dataDxfId="5" headerRowCellStyle="Normal" dataCellStyle="Normal">
  <tableColumns count="5">
    <tableColumn id="5" xr3:uid="{09F98C88-CA74-41AB-B5DF-FD4DEB4CF318}" name="Year" dataDxfId="4" dataCellStyle="Normal"/>
    <tableColumn id="2" xr3:uid="{F8E06A5A-EE48-432E-8463-2A6A8FBAE415}" name="Policy Year" dataDxfId="3" dataCellStyle="Normal"/>
    <tableColumn id="1" xr3:uid="{54AF782B-10F3-49C0-A189-028BFD8775DF}" name="Age" dataDxfId="2" dataCellStyle="Normal"/>
    <tableColumn id="3" xr3:uid="{A5B4368F-D48B-43E4-AFC2-6AF2740EC470}" name="Age Range" dataDxfId="1" dataCellStyle="Normal">
      <calculatedColumnFormula>VLOOKUP(C2,Age_Decade,2,FALSE)</calculatedColumnFormula>
    </tableColumn>
    <tableColumn id="4" xr3:uid="{0238F8F0-9C31-4468-8819-E0ABF29DCAB6}" name="Expected Claims" dataDxfId="0" dataCellStyle="Normal">
      <calculatedColumnFormula>IF(Inputs!$B$4="Male",(HLOOKUP(D2,Probably,2,FALSE)*(Tables!$J$2*12)),(HLOOKUP(D2,Probably,3,FALSE)*(Tables!$J$3*12))) * IF(Inputs!$B$5="Unhealthy",1.5,1)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1-05-19T05:37:48.46" personId="{A66A0E7A-8D25-4535-8E7A-29C9E74C2840}" id="{26933D96-44B3-47BD-9CB8-A12D6F7ED740}">
    <text>Ages 18 to 69 only</text>
  </threadedComment>
  <threadedComment ref="A2" dT="2021-05-17T07:44:57.76" personId="{A66A0E7A-8D25-4535-8E7A-29C9E74C2840}" id="{5300DA5E-A5D0-43E9-BE2B-06E06A1B898A}">
    <text>Single-digit year (e.g. 7 for July)</text>
  </threadedComment>
  <threadedComment ref="A3" dT="2021-05-17T07:45:17.54" personId="{A66A0E7A-8D25-4535-8E7A-29C9E74C2840}" id="{1E0CF412-27F0-44F7-889E-6AE8B3B95EF5}">
    <text>Single-digit date (e.g. 15)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2C167-5288-4BD6-950D-ACA6E3FE686C}">
  <sheetPr codeName="Sheet1"/>
  <dimension ref="A1:B7"/>
  <sheetViews>
    <sheetView tabSelected="1" zoomScale="200" zoomScaleNormal="200" workbookViewId="0">
      <selection activeCell="B1" sqref="B1"/>
    </sheetView>
  </sheetViews>
  <sheetFormatPr defaultColWidth="9.140625" defaultRowHeight="16.5" x14ac:dyDescent="0.3"/>
  <cols>
    <col min="1" max="1" width="12.42578125" style="6" bestFit="1" customWidth="1"/>
    <col min="2" max="2" width="10.7109375" style="6" customWidth="1"/>
    <col min="3" max="16384" width="9.140625" style="6"/>
  </cols>
  <sheetData>
    <row r="1" spans="1:2" x14ac:dyDescent="0.3">
      <c r="A1" s="15" t="s">
        <v>1</v>
      </c>
      <c r="B1" s="22"/>
    </row>
    <row r="2" spans="1:2" x14ac:dyDescent="0.3">
      <c r="A2" s="15" t="s">
        <v>40</v>
      </c>
      <c r="B2" s="22"/>
    </row>
    <row r="3" spans="1:2" x14ac:dyDescent="0.3">
      <c r="A3" s="15" t="s">
        <v>41</v>
      </c>
      <c r="B3" s="22"/>
    </row>
    <row r="4" spans="1:2" x14ac:dyDescent="0.3">
      <c r="A4" s="15" t="s">
        <v>0</v>
      </c>
      <c r="B4" s="23"/>
    </row>
    <row r="5" spans="1:2" x14ac:dyDescent="0.3">
      <c r="A5" s="15" t="s">
        <v>18</v>
      </c>
      <c r="B5" s="23"/>
    </row>
    <row r="7" spans="1:2" x14ac:dyDescent="0.3">
      <c r="B7" s="14"/>
    </row>
  </sheetData>
  <dataValidations count="3">
    <dataValidation type="whole" allowBlank="1" showInputMessage="1" showErrorMessage="1" sqref="B2" xr:uid="{E08EBFFC-8E90-4CFB-AB34-1551D0469567}">
      <formula1>1</formula1>
      <formula2>12</formula2>
    </dataValidation>
    <dataValidation type="whole" allowBlank="1" showInputMessage="1" showErrorMessage="1" sqref="B3" xr:uid="{71757518-B458-4FD0-98F8-CFF32141B45C}">
      <formula1>1</formula1>
      <formula2>31</formula2>
    </dataValidation>
    <dataValidation type="whole" allowBlank="1" showInputMessage="1" showErrorMessage="1" sqref="B1" xr:uid="{A5D2FF4E-4A7C-4275-BEA4-FCBBC1100DDC}">
      <formula1>18</formula1>
      <formula2>69</formula2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18C5C2-3CD9-41F6-8263-5720F31E9BBB}">
          <x14:formula1>
            <xm:f>Tables!$A$3:$A$4</xm:f>
          </x14:formula1>
          <xm:sqref>B4</xm:sqref>
        </x14:dataValidation>
        <x14:dataValidation type="list" allowBlank="1" showInputMessage="1" showErrorMessage="1" xr:uid="{CC56DFB0-3A74-4C3D-96C2-1BF69BD042C5}">
          <x14:formula1>
            <xm:f>Tables!$E$11:$E$12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2E96E-7D0B-4EF6-BE4E-04CD13835230}">
  <sheetPr codeName="Sheet3"/>
  <dimension ref="A1:Q62"/>
  <sheetViews>
    <sheetView zoomScale="140" zoomScaleNormal="140" workbookViewId="0">
      <selection activeCell="E10" sqref="E10"/>
    </sheetView>
  </sheetViews>
  <sheetFormatPr defaultColWidth="9.140625" defaultRowHeight="16.5" x14ac:dyDescent="0.3"/>
  <cols>
    <col min="1" max="1" width="13.85546875" style="6" customWidth="1"/>
    <col min="2" max="6" width="10.85546875" style="6" bestFit="1" customWidth="1"/>
    <col min="7" max="7" width="11" style="6" customWidth="1"/>
    <col min="8" max="8" width="10.140625" style="6" bestFit="1" customWidth="1"/>
    <col min="9" max="9" width="9.28515625" style="6" bestFit="1" customWidth="1"/>
    <col min="10" max="10" width="7" style="6" bestFit="1" customWidth="1"/>
    <col min="11" max="11" width="13.7109375" style="6" bestFit="1" customWidth="1"/>
    <col min="12" max="12" width="7.28515625" style="6" bestFit="1" customWidth="1"/>
    <col min="13" max="13" width="11.42578125" style="6" bestFit="1" customWidth="1"/>
    <col min="14" max="15" width="7.28515625" style="6" bestFit="1" customWidth="1"/>
    <col min="16" max="16384" width="9.140625" style="6"/>
  </cols>
  <sheetData>
    <row r="1" spans="1:17" ht="21" x14ac:dyDescent="0.4">
      <c r="A1" s="50" t="s">
        <v>11</v>
      </c>
      <c r="B1" s="50"/>
      <c r="C1" s="50"/>
      <c r="D1" s="50"/>
      <c r="E1" s="50"/>
      <c r="F1" s="50"/>
      <c r="G1" s="50"/>
      <c r="I1" s="49" t="s">
        <v>12</v>
      </c>
      <c r="J1" s="49"/>
      <c r="K1" s="49"/>
    </row>
    <row r="2" spans="1:17" ht="18.75" x14ac:dyDescent="0.35">
      <c r="A2" s="2" t="s">
        <v>13</v>
      </c>
      <c r="B2" s="34" t="s">
        <v>26</v>
      </c>
      <c r="C2" s="1" t="s">
        <v>4</v>
      </c>
      <c r="D2" s="1" t="s">
        <v>5</v>
      </c>
      <c r="E2" s="1" t="s">
        <v>6</v>
      </c>
      <c r="F2" s="1" t="s">
        <v>7</v>
      </c>
      <c r="G2" s="1" t="s">
        <v>8</v>
      </c>
      <c r="H2" s="8"/>
      <c r="I2" s="7" t="s">
        <v>2</v>
      </c>
      <c r="J2" s="35">
        <v>687</v>
      </c>
      <c r="K2" s="3" t="s">
        <v>9</v>
      </c>
      <c r="L2" s="8"/>
      <c r="M2" s="8"/>
      <c r="N2" s="8"/>
      <c r="O2" s="8"/>
      <c r="P2" s="8"/>
      <c r="Q2" s="8"/>
    </row>
    <row r="3" spans="1:17" ht="18" x14ac:dyDescent="0.3">
      <c r="A3" s="26" t="s">
        <v>2</v>
      </c>
      <c r="B3" s="27">
        <f>C3</f>
        <v>0.01</v>
      </c>
      <c r="C3" s="27">
        <v>0.01</v>
      </c>
      <c r="D3" s="27">
        <v>1.4999999999999999E-2</v>
      </c>
      <c r="E3" s="27">
        <v>0.03</v>
      </c>
      <c r="F3" s="27">
        <v>0.05</v>
      </c>
      <c r="G3" s="27">
        <v>0.08</v>
      </c>
      <c r="H3" s="9"/>
      <c r="I3" s="7" t="s">
        <v>3</v>
      </c>
      <c r="J3" s="36">
        <v>492</v>
      </c>
      <c r="K3" s="3" t="s">
        <v>9</v>
      </c>
      <c r="L3" s="9"/>
      <c r="M3" s="9"/>
      <c r="N3" s="9"/>
      <c r="O3" s="9"/>
      <c r="P3" s="9"/>
    </row>
    <row r="4" spans="1:17" ht="18" x14ac:dyDescent="0.3">
      <c r="A4" s="26" t="s">
        <v>3</v>
      </c>
      <c r="B4" s="27">
        <f>C4</f>
        <v>7.4999999999999997E-3</v>
      </c>
      <c r="C4" s="27">
        <f>0.75*C3</f>
        <v>7.4999999999999997E-3</v>
      </c>
      <c r="D4" s="27">
        <f t="shared" ref="D4:G4" si="0">0.75*D3</f>
        <v>1.125E-2</v>
      </c>
      <c r="E4" s="27">
        <f t="shared" si="0"/>
        <v>2.2499999999999999E-2</v>
      </c>
      <c r="F4" s="27">
        <f t="shared" si="0"/>
        <v>3.7500000000000006E-2</v>
      </c>
      <c r="G4" s="27">
        <f t="shared" si="0"/>
        <v>0.06</v>
      </c>
      <c r="H4" s="10"/>
      <c r="I4" s="10"/>
      <c r="J4" s="10"/>
      <c r="K4" s="10"/>
      <c r="L4" s="10"/>
      <c r="M4" s="10"/>
      <c r="N4" s="10"/>
      <c r="O4" s="10"/>
      <c r="P4" s="10"/>
    </row>
    <row r="5" spans="1:17" x14ac:dyDescent="0.3">
      <c r="A5" s="9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</row>
    <row r="6" spans="1:17" x14ac:dyDescent="0.3">
      <c r="A6" s="11" t="s">
        <v>10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7" x14ac:dyDescent="0.3">
      <c r="A7" s="11" t="s">
        <v>19</v>
      </c>
    </row>
    <row r="8" spans="1:17" x14ac:dyDescent="0.3">
      <c r="A8" s="11" t="s">
        <v>20</v>
      </c>
    </row>
    <row r="10" spans="1:17" x14ac:dyDescent="0.3">
      <c r="A10" s="32" t="s">
        <v>1</v>
      </c>
      <c r="B10" s="33" t="s">
        <v>24</v>
      </c>
      <c r="D10" s="13"/>
      <c r="E10" s="46" t="s">
        <v>18</v>
      </c>
      <c r="G10" s="40"/>
    </row>
    <row r="11" spans="1:17" x14ac:dyDescent="0.3">
      <c r="A11" s="28">
        <v>18</v>
      </c>
      <c r="B11" s="29" t="s">
        <v>26</v>
      </c>
      <c r="D11" s="13"/>
      <c r="E11" s="47" t="s">
        <v>32</v>
      </c>
    </row>
    <row r="12" spans="1:17" x14ac:dyDescent="0.3">
      <c r="A12" s="28">
        <v>19</v>
      </c>
      <c r="B12" s="29" t="s">
        <v>26</v>
      </c>
      <c r="D12" s="13"/>
      <c r="E12" s="48" t="s">
        <v>34</v>
      </c>
    </row>
    <row r="13" spans="1:17" x14ac:dyDescent="0.3">
      <c r="A13" s="28">
        <v>20</v>
      </c>
      <c r="B13" s="29" t="s">
        <v>4</v>
      </c>
    </row>
    <row r="14" spans="1:17" x14ac:dyDescent="0.3">
      <c r="A14" s="28">
        <v>21</v>
      </c>
      <c r="B14" s="29" t="s">
        <v>4</v>
      </c>
    </row>
    <row r="15" spans="1:17" x14ac:dyDescent="0.3">
      <c r="A15" s="28">
        <v>22</v>
      </c>
      <c r="B15" s="29" t="s">
        <v>4</v>
      </c>
    </row>
    <row r="16" spans="1:17" x14ac:dyDescent="0.3">
      <c r="A16" s="28">
        <v>23</v>
      </c>
      <c r="B16" s="29" t="s">
        <v>4</v>
      </c>
    </row>
    <row r="17" spans="1:2" x14ac:dyDescent="0.3">
      <c r="A17" s="28">
        <v>24</v>
      </c>
      <c r="B17" s="29" t="s">
        <v>4</v>
      </c>
    </row>
    <row r="18" spans="1:2" x14ac:dyDescent="0.3">
      <c r="A18" s="28">
        <v>25</v>
      </c>
      <c r="B18" s="29" t="s">
        <v>4</v>
      </c>
    </row>
    <row r="19" spans="1:2" x14ac:dyDescent="0.3">
      <c r="A19" s="28">
        <v>26</v>
      </c>
      <c r="B19" s="29" t="s">
        <v>4</v>
      </c>
    </row>
    <row r="20" spans="1:2" x14ac:dyDescent="0.3">
      <c r="A20" s="28">
        <v>27</v>
      </c>
      <c r="B20" s="29" t="s">
        <v>4</v>
      </c>
    </row>
    <row r="21" spans="1:2" x14ac:dyDescent="0.3">
      <c r="A21" s="28">
        <v>28</v>
      </c>
      <c r="B21" s="29" t="s">
        <v>4</v>
      </c>
    </row>
    <row r="22" spans="1:2" x14ac:dyDescent="0.3">
      <c r="A22" s="28">
        <v>29</v>
      </c>
      <c r="B22" s="29" t="s">
        <v>4</v>
      </c>
    </row>
    <row r="23" spans="1:2" x14ac:dyDescent="0.3">
      <c r="A23" s="28">
        <v>30</v>
      </c>
      <c r="B23" s="29" t="s">
        <v>5</v>
      </c>
    </row>
    <row r="24" spans="1:2" x14ac:dyDescent="0.3">
      <c r="A24" s="28">
        <v>31</v>
      </c>
      <c r="B24" s="29" t="s">
        <v>5</v>
      </c>
    </row>
    <row r="25" spans="1:2" x14ac:dyDescent="0.3">
      <c r="A25" s="28">
        <v>32</v>
      </c>
      <c r="B25" s="29" t="s">
        <v>5</v>
      </c>
    </row>
    <row r="26" spans="1:2" x14ac:dyDescent="0.3">
      <c r="A26" s="28">
        <v>33</v>
      </c>
      <c r="B26" s="29" t="s">
        <v>5</v>
      </c>
    </row>
    <row r="27" spans="1:2" x14ac:dyDescent="0.3">
      <c r="A27" s="28">
        <v>34</v>
      </c>
      <c r="B27" s="29" t="s">
        <v>5</v>
      </c>
    </row>
    <row r="28" spans="1:2" x14ac:dyDescent="0.3">
      <c r="A28" s="28">
        <v>35</v>
      </c>
      <c r="B28" s="29" t="s">
        <v>5</v>
      </c>
    </row>
    <row r="29" spans="1:2" x14ac:dyDescent="0.3">
      <c r="A29" s="28">
        <v>36</v>
      </c>
      <c r="B29" s="29" t="s">
        <v>5</v>
      </c>
    </row>
    <row r="30" spans="1:2" x14ac:dyDescent="0.3">
      <c r="A30" s="28">
        <v>37</v>
      </c>
      <c r="B30" s="29" t="s">
        <v>5</v>
      </c>
    </row>
    <row r="31" spans="1:2" x14ac:dyDescent="0.3">
      <c r="A31" s="28">
        <v>38</v>
      </c>
      <c r="B31" s="29" t="s">
        <v>5</v>
      </c>
    </row>
    <row r="32" spans="1:2" x14ac:dyDescent="0.3">
      <c r="A32" s="28">
        <v>39</v>
      </c>
      <c r="B32" s="29" t="s">
        <v>5</v>
      </c>
    </row>
    <row r="33" spans="1:2" x14ac:dyDescent="0.3">
      <c r="A33" s="28">
        <v>40</v>
      </c>
      <c r="B33" s="29" t="s">
        <v>6</v>
      </c>
    </row>
    <row r="34" spans="1:2" x14ac:dyDescent="0.3">
      <c r="A34" s="28">
        <v>41</v>
      </c>
      <c r="B34" s="29" t="s">
        <v>6</v>
      </c>
    </row>
    <row r="35" spans="1:2" x14ac:dyDescent="0.3">
      <c r="A35" s="28">
        <v>42</v>
      </c>
      <c r="B35" s="29" t="s">
        <v>6</v>
      </c>
    </row>
    <row r="36" spans="1:2" x14ac:dyDescent="0.3">
      <c r="A36" s="28">
        <v>43</v>
      </c>
      <c r="B36" s="29" t="s">
        <v>6</v>
      </c>
    </row>
    <row r="37" spans="1:2" x14ac:dyDescent="0.3">
      <c r="A37" s="28">
        <v>44</v>
      </c>
      <c r="B37" s="29" t="s">
        <v>6</v>
      </c>
    </row>
    <row r="38" spans="1:2" x14ac:dyDescent="0.3">
      <c r="A38" s="28">
        <v>45</v>
      </c>
      <c r="B38" s="29" t="s">
        <v>6</v>
      </c>
    </row>
    <row r="39" spans="1:2" x14ac:dyDescent="0.3">
      <c r="A39" s="28">
        <v>46</v>
      </c>
      <c r="B39" s="29" t="s">
        <v>6</v>
      </c>
    </row>
    <row r="40" spans="1:2" x14ac:dyDescent="0.3">
      <c r="A40" s="28">
        <v>47</v>
      </c>
      <c r="B40" s="29" t="s">
        <v>6</v>
      </c>
    </row>
    <row r="41" spans="1:2" x14ac:dyDescent="0.3">
      <c r="A41" s="28">
        <v>48</v>
      </c>
      <c r="B41" s="29" t="s">
        <v>6</v>
      </c>
    </row>
    <row r="42" spans="1:2" x14ac:dyDescent="0.3">
      <c r="A42" s="28">
        <v>49</v>
      </c>
      <c r="B42" s="29" t="s">
        <v>6</v>
      </c>
    </row>
    <row r="43" spans="1:2" x14ac:dyDescent="0.3">
      <c r="A43" s="28">
        <v>50</v>
      </c>
      <c r="B43" s="29" t="s">
        <v>7</v>
      </c>
    </row>
    <row r="44" spans="1:2" x14ac:dyDescent="0.3">
      <c r="A44" s="28">
        <v>51</v>
      </c>
      <c r="B44" s="29" t="s">
        <v>7</v>
      </c>
    </row>
    <row r="45" spans="1:2" x14ac:dyDescent="0.3">
      <c r="A45" s="28">
        <v>52</v>
      </c>
      <c r="B45" s="29" t="s">
        <v>7</v>
      </c>
    </row>
    <row r="46" spans="1:2" x14ac:dyDescent="0.3">
      <c r="A46" s="28">
        <v>53</v>
      </c>
      <c r="B46" s="29" t="s">
        <v>7</v>
      </c>
    </row>
    <row r="47" spans="1:2" x14ac:dyDescent="0.3">
      <c r="A47" s="28">
        <v>54</v>
      </c>
      <c r="B47" s="29" t="s">
        <v>7</v>
      </c>
    </row>
    <row r="48" spans="1:2" x14ac:dyDescent="0.3">
      <c r="A48" s="28">
        <v>55</v>
      </c>
      <c r="B48" s="29" t="s">
        <v>7</v>
      </c>
    </row>
    <row r="49" spans="1:2" x14ac:dyDescent="0.3">
      <c r="A49" s="28">
        <v>56</v>
      </c>
      <c r="B49" s="29" t="s">
        <v>7</v>
      </c>
    </row>
    <row r="50" spans="1:2" x14ac:dyDescent="0.3">
      <c r="A50" s="28">
        <v>57</v>
      </c>
      <c r="B50" s="29" t="s">
        <v>7</v>
      </c>
    </row>
    <row r="51" spans="1:2" x14ac:dyDescent="0.3">
      <c r="A51" s="28">
        <v>58</v>
      </c>
      <c r="B51" s="29" t="s">
        <v>7</v>
      </c>
    </row>
    <row r="52" spans="1:2" x14ac:dyDescent="0.3">
      <c r="A52" s="28">
        <v>59</v>
      </c>
      <c r="B52" s="29" t="s">
        <v>7</v>
      </c>
    </row>
    <row r="53" spans="1:2" x14ac:dyDescent="0.3">
      <c r="A53" s="28">
        <v>60</v>
      </c>
      <c r="B53" s="29" t="s">
        <v>8</v>
      </c>
    </row>
    <row r="54" spans="1:2" x14ac:dyDescent="0.3">
      <c r="A54" s="28">
        <v>61</v>
      </c>
      <c r="B54" s="29" t="s">
        <v>8</v>
      </c>
    </row>
    <row r="55" spans="1:2" x14ac:dyDescent="0.3">
      <c r="A55" s="28">
        <v>62</v>
      </c>
      <c r="B55" s="29" t="s">
        <v>8</v>
      </c>
    </row>
    <row r="56" spans="1:2" x14ac:dyDescent="0.3">
      <c r="A56" s="28">
        <v>63</v>
      </c>
      <c r="B56" s="29" t="s">
        <v>8</v>
      </c>
    </row>
    <row r="57" spans="1:2" x14ac:dyDescent="0.3">
      <c r="A57" s="28">
        <v>64</v>
      </c>
      <c r="B57" s="29" t="s">
        <v>8</v>
      </c>
    </row>
    <row r="58" spans="1:2" x14ac:dyDescent="0.3">
      <c r="A58" s="28">
        <v>65</v>
      </c>
      <c r="B58" s="29" t="s">
        <v>8</v>
      </c>
    </row>
    <row r="59" spans="1:2" x14ac:dyDescent="0.3">
      <c r="A59" s="28">
        <v>66</v>
      </c>
      <c r="B59" s="29" t="s">
        <v>8</v>
      </c>
    </row>
    <row r="60" spans="1:2" x14ac:dyDescent="0.3">
      <c r="A60" s="28">
        <v>67</v>
      </c>
      <c r="B60" s="29" t="s">
        <v>8</v>
      </c>
    </row>
    <row r="61" spans="1:2" x14ac:dyDescent="0.3">
      <c r="A61" s="28">
        <v>68</v>
      </c>
      <c r="B61" s="29" t="s">
        <v>8</v>
      </c>
    </row>
    <row r="62" spans="1:2" x14ac:dyDescent="0.3">
      <c r="A62" s="30">
        <v>69</v>
      </c>
      <c r="B62" s="31" t="s">
        <v>8</v>
      </c>
    </row>
  </sheetData>
  <sheetProtection sheet="1" objects="1" scenarios="1"/>
  <mergeCells count="2">
    <mergeCell ref="I1:K1"/>
    <mergeCell ref="A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E7C0-CDAE-49F2-961C-C910BF10C7B5}">
  <sheetPr codeName="Sheet4"/>
  <dimension ref="A1:N35"/>
  <sheetViews>
    <sheetView zoomScaleNormal="100" workbookViewId="0"/>
  </sheetViews>
  <sheetFormatPr defaultColWidth="9.140625" defaultRowHeight="16.5" x14ac:dyDescent="0.3"/>
  <cols>
    <col min="1" max="1" width="15" style="17" customWidth="1"/>
    <col min="2" max="2" width="10.28515625" style="17" customWidth="1"/>
    <col min="3" max="3" width="10.28515625" bestFit="1" customWidth="1"/>
    <col min="4" max="4" width="15.5703125" style="17" bestFit="1" customWidth="1"/>
    <col min="5" max="5" width="21.140625" style="17" customWidth="1"/>
    <col min="6" max="16384" width="9.140625" style="16"/>
  </cols>
  <sheetData>
    <row r="1" spans="1:14" x14ac:dyDescent="0.3">
      <c r="A1" s="41" t="s">
        <v>33</v>
      </c>
      <c r="B1" s="42" t="s">
        <v>21</v>
      </c>
      <c r="C1" s="42" t="s">
        <v>1</v>
      </c>
      <c r="D1" s="42" t="s">
        <v>23</v>
      </c>
      <c r="E1" s="42" t="s">
        <v>22</v>
      </c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">
      <c r="A2" s="42">
        <v>2021</v>
      </c>
      <c r="B2" s="42">
        <v>1</v>
      </c>
      <c r="C2" s="42">
        <v>28</v>
      </c>
      <c r="D2" s="39" t="str">
        <f t="shared" ref="D2:D17" si="0">VLOOKUP(C2,Age_Decade,2,FALSE)</f>
        <v>20s</v>
      </c>
      <c r="E2" s="21">
        <f>IF(Inputs!$B$4="Male",(HLOOKUP(D2,Probably,2,FALSE)*(Tables!$J$2*12)),(HLOOKUP(D2,Probably,3,FALSE)*(Tables!$J$3*12))) * IF(Inputs!$B$5="Unhealthy",1.5,1)</f>
        <v>44.28</v>
      </c>
      <c r="F2" s="24"/>
      <c r="G2" s="24" t="s">
        <v>25</v>
      </c>
      <c r="H2" s="25" t="s">
        <v>36</v>
      </c>
      <c r="I2" s="24"/>
      <c r="J2" s="24"/>
      <c r="K2" s="24"/>
      <c r="L2" s="24"/>
      <c r="M2" s="24"/>
      <c r="N2" s="24"/>
    </row>
    <row r="3" spans="1:14" x14ac:dyDescent="0.3">
      <c r="A3" s="43">
        <f>A2 + 1</f>
        <v>2022</v>
      </c>
      <c r="B3" s="42">
        <f>B2+1</f>
        <v>2</v>
      </c>
      <c r="C3" s="42">
        <f>C2+1</f>
        <v>29</v>
      </c>
      <c r="D3" s="42" t="str">
        <f t="shared" si="0"/>
        <v>20s</v>
      </c>
      <c r="E3" s="37">
        <f>IF(Inputs!$B$4="Male",(HLOOKUP(D3,Probably,2,FALSE)*(Tables!$J$2*12)),(HLOOKUP(D3,Probably,3,FALSE)*(Tables!$J$3*12))) * IF(Inputs!$B$5="Unhealthy",1.5,1)</f>
        <v>44.28</v>
      </c>
      <c r="F3" s="24"/>
      <c r="G3" s="24" t="s">
        <v>38</v>
      </c>
      <c r="H3" s="25" t="s">
        <v>37</v>
      </c>
      <c r="I3" s="24"/>
      <c r="J3" s="24"/>
      <c r="K3" s="24"/>
      <c r="L3" s="24"/>
      <c r="M3" s="24"/>
      <c r="N3" s="24"/>
    </row>
    <row r="4" spans="1:14" x14ac:dyDescent="0.3">
      <c r="A4" s="43">
        <f t="shared" ref="A4:A16" si="1">A3 + 1</f>
        <v>2023</v>
      </c>
      <c r="B4" s="42">
        <f t="shared" ref="B4:B17" si="2">B3+1</f>
        <v>3</v>
      </c>
      <c r="C4" s="42">
        <f t="shared" ref="C4:C17" si="3">C3+1</f>
        <v>30</v>
      </c>
      <c r="D4" s="42" t="str">
        <f t="shared" si="0"/>
        <v>30s</v>
      </c>
      <c r="E4" s="37">
        <f>IF(Inputs!$B$4="Male",(HLOOKUP(D4,Probably,2,FALSE)*(Tables!$J$2*12)),(HLOOKUP(D4,Probably,3,FALSE)*(Tables!$J$3*12))) * IF(Inputs!$B$5="Unhealthy",1.5,1)</f>
        <v>66.42</v>
      </c>
      <c r="F4" s="24"/>
      <c r="G4" s="24"/>
      <c r="H4" s="24"/>
      <c r="I4" s="24"/>
      <c r="J4" s="24"/>
      <c r="K4" s="24"/>
      <c r="L4" s="24"/>
      <c r="M4" s="24"/>
      <c r="N4" s="24"/>
    </row>
    <row r="5" spans="1:14" x14ac:dyDescent="0.3">
      <c r="A5" s="43">
        <f t="shared" si="1"/>
        <v>2024</v>
      </c>
      <c r="B5" s="42">
        <f t="shared" si="2"/>
        <v>4</v>
      </c>
      <c r="C5" s="42">
        <f t="shared" si="3"/>
        <v>31</v>
      </c>
      <c r="D5" s="42" t="str">
        <f t="shared" si="0"/>
        <v>30s</v>
      </c>
      <c r="E5" s="37">
        <f>IF(Inputs!$B$4="Male",(HLOOKUP(D5,Probably,2,FALSE)*(Tables!$J$2*12)),(HLOOKUP(D5,Probably,3,FALSE)*(Tables!$J$3*12))) * IF(Inputs!$B$5="Unhealthy",1.5,1)</f>
        <v>66.42</v>
      </c>
      <c r="F5" s="24"/>
      <c r="G5" s="24"/>
      <c r="H5" s="24"/>
      <c r="I5" s="24"/>
      <c r="J5" s="24"/>
      <c r="K5" s="24"/>
      <c r="L5" s="24"/>
      <c r="M5" s="24"/>
      <c r="N5" s="24"/>
    </row>
    <row r="6" spans="1:14" x14ac:dyDescent="0.3">
      <c r="A6" s="43">
        <f t="shared" si="1"/>
        <v>2025</v>
      </c>
      <c r="B6" s="42">
        <f t="shared" si="2"/>
        <v>5</v>
      </c>
      <c r="C6" s="42">
        <f t="shared" si="3"/>
        <v>32</v>
      </c>
      <c r="D6" s="42" t="str">
        <f t="shared" si="0"/>
        <v>30s</v>
      </c>
      <c r="E6" s="37">
        <f>IF(Inputs!$B$4="Male",(HLOOKUP(D6,Probably,2,FALSE)*(Tables!$J$2*12)),(HLOOKUP(D6,Probably,3,FALSE)*(Tables!$J$3*12))) * IF(Inputs!$B$5="Unhealthy",1.5,1)</f>
        <v>66.42</v>
      </c>
      <c r="F6" s="24"/>
      <c r="G6" s="24"/>
      <c r="H6" s="24"/>
      <c r="I6" s="24"/>
      <c r="J6" s="24"/>
      <c r="K6" s="24"/>
      <c r="L6" s="24"/>
      <c r="M6" s="24"/>
      <c r="N6" s="24"/>
    </row>
    <row r="7" spans="1:14" x14ac:dyDescent="0.3">
      <c r="A7" s="43">
        <f t="shared" si="1"/>
        <v>2026</v>
      </c>
      <c r="B7" s="42">
        <f t="shared" si="2"/>
        <v>6</v>
      </c>
      <c r="C7" s="42">
        <f t="shared" si="3"/>
        <v>33</v>
      </c>
      <c r="D7" s="42" t="str">
        <f t="shared" si="0"/>
        <v>30s</v>
      </c>
      <c r="E7" s="37">
        <f>IF(Inputs!$B$4="Male",(HLOOKUP(D7,Probably,2,FALSE)*(Tables!$J$2*12)),(HLOOKUP(D7,Probably,3,FALSE)*(Tables!$J$3*12))) * IF(Inputs!$B$5="Unhealthy",1.5,1)</f>
        <v>66.42</v>
      </c>
      <c r="F7" s="24"/>
      <c r="G7" s="24"/>
      <c r="H7" s="24"/>
      <c r="I7" s="24"/>
      <c r="J7" s="24"/>
      <c r="K7" s="24"/>
      <c r="L7" s="24"/>
      <c r="M7" s="24"/>
      <c r="N7" s="24"/>
    </row>
    <row r="8" spans="1:14" x14ac:dyDescent="0.3">
      <c r="A8" s="43">
        <f t="shared" si="1"/>
        <v>2027</v>
      </c>
      <c r="B8" s="42">
        <f t="shared" si="2"/>
        <v>7</v>
      </c>
      <c r="C8" s="42">
        <f t="shared" si="3"/>
        <v>34</v>
      </c>
      <c r="D8" s="42" t="str">
        <f t="shared" si="0"/>
        <v>30s</v>
      </c>
      <c r="E8" s="37">
        <f>IF(Inputs!$B$4="Male",(HLOOKUP(D8,Probably,2,FALSE)*(Tables!$J$2*12)),(HLOOKUP(D8,Probably,3,FALSE)*(Tables!$J$3*12))) * IF(Inputs!$B$5="Unhealthy",1.5,1)</f>
        <v>66.42</v>
      </c>
      <c r="F8" s="24"/>
      <c r="G8" s="24"/>
      <c r="H8" s="24"/>
      <c r="I8" s="24"/>
      <c r="J8" s="24"/>
      <c r="K8" s="24"/>
      <c r="L8" s="24"/>
      <c r="M8" s="24"/>
      <c r="N8" s="24"/>
    </row>
    <row r="9" spans="1:14" x14ac:dyDescent="0.3">
      <c r="A9" s="43">
        <f t="shared" si="1"/>
        <v>2028</v>
      </c>
      <c r="B9" s="42">
        <f t="shared" si="2"/>
        <v>8</v>
      </c>
      <c r="C9" s="42">
        <f t="shared" si="3"/>
        <v>35</v>
      </c>
      <c r="D9" s="42" t="str">
        <f t="shared" si="0"/>
        <v>30s</v>
      </c>
      <c r="E9" s="37">
        <f>IF(Inputs!$B$4="Male",(HLOOKUP(D9,Probably,2,FALSE)*(Tables!$J$2*12)),(HLOOKUP(D9,Probably,3,FALSE)*(Tables!$J$3*12))) * IF(Inputs!$B$5="Unhealthy",1.5,1)</f>
        <v>66.42</v>
      </c>
      <c r="F9" s="24"/>
      <c r="G9" s="24"/>
      <c r="H9" s="24"/>
      <c r="I9" s="24"/>
      <c r="J9" s="24"/>
      <c r="K9" s="24"/>
      <c r="L9" s="24"/>
      <c r="M9" s="24"/>
      <c r="N9" s="24"/>
    </row>
    <row r="10" spans="1:14" x14ac:dyDescent="0.3">
      <c r="A10" s="43">
        <f t="shared" si="1"/>
        <v>2029</v>
      </c>
      <c r="B10" s="42">
        <f t="shared" si="2"/>
        <v>9</v>
      </c>
      <c r="C10" s="42">
        <f t="shared" si="3"/>
        <v>36</v>
      </c>
      <c r="D10" s="42" t="str">
        <f t="shared" si="0"/>
        <v>30s</v>
      </c>
      <c r="E10" s="37">
        <f>IF(Inputs!$B$4="Male",(HLOOKUP(D10,Probably,2,FALSE)*(Tables!$J$2*12)),(HLOOKUP(D10,Probably,3,FALSE)*(Tables!$J$3*12))) * IF(Inputs!$B$5="Unhealthy",1.5,1)</f>
        <v>66.42</v>
      </c>
      <c r="F10" s="24"/>
      <c r="G10" s="24"/>
      <c r="H10" s="24"/>
      <c r="I10" s="24"/>
      <c r="J10" s="24"/>
      <c r="K10" s="24"/>
      <c r="L10" s="24"/>
      <c r="M10" s="24"/>
      <c r="N10" s="24"/>
    </row>
    <row r="11" spans="1:14" x14ac:dyDescent="0.3">
      <c r="A11" s="43">
        <f t="shared" si="1"/>
        <v>2030</v>
      </c>
      <c r="B11" s="42">
        <f t="shared" si="2"/>
        <v>10</v>
      </c>
      <c r="C11" s="42">
        <f t="shared" si="3"/>
        <v>37</v>
      </c>
      <c r="D11" s="42" t="str">
        <f t="shared" si="0"/>
        <v>30s</v>
      </c>
      <c r="E11" s="37">
        <f>IF(Inputs!$B$4="Male",(HLOOKUP(D11,Probably,2,FALSE)*(Tables!$J$2*12)),(HLOOKUP(D11,Probably,3,FALSE)*(Tables!$J$3*12))) * IF(Inputs!$B$5="Unhealthy",1.5,1)</f>
        <v>66.42</v>
      </c>
      <c r="F11" s="24"/>
      <c r="I11" s="24"/>
      <c r="J11" s="24"/>
      <c r="K11" s="24"/>
      <c r="L11" s="24"/>
      <c r="M11" s="24"/>
      <c r="N11" s="24"/>
    </row>
    <row r="12" spans="1:14" x14ac:dyDescent="0.3">
      <c r="A12" s="43">
        <f t="shared" si="1"/>
        <v>2031</v>
      </c>
      <c r="B12" s="42">
        <f t="shared" si="2"/>
        <v>11</v>
      </c>
      <c r="C12" s="42">
        <f t="shared" si="3"/>
        <v>38</v>
      </c>
      <c r="D12" s="42" t="str">
        <f t="shared" si="0"/>
        <v>30s</v>
      </c>
      <c r="E12" s="37">
        <f>IF(Inputs!$B$4="Male",(HLOOKUP(D12,Probably,2,FALSE)*(Tables!$J$2*12)),(HLOOKUP(D12,Probably,3,FALSE)*(Tables!$J$3*12))) * IF(Inputs!$B$5="Unhealthy",1.5,1)</f>
        <v>66.42</v>
      </c>
      <c r="F12" s="24"/>
      <c r="I12" s="24"/>
      <c r="J12" s="24"/>
      <c r="K12" s="24"/>
      <c r="L12" s="24"/>
      <c r="M12" s="24"/>
      <c r="N12" s="24"/>
    </row>
    <row r="13" spans="1:14" x14ac:dyDescent="0.3">
      <c r="A13" s="43">
        <f t="shared" si="1"/>
        <v>2032</v>
      </c>
      <c r="B13" s="42">
        <f t="shared" si="2"/>
        <v>12</v>
      </c>
      <c r="C13" s="42">
        <f t="shared" si="3"/>
        <v>39</v>
      </c>
      <c r="D13" s="42" t="str">
        <f t="shared" si="0"/>
        <v>30s</v>
      </c>
      <c r="E13" s="37">
        <f>IF(Inputs!$B$4="Male",(HLOOKUP(D13,Probably,2,FALSE)*(Tables!$J$2*12)),(HLOOKUP(D13,Probably,3,FALSE)*(Tables!$J$3*12))) * IF(Inputs!$B$5="Unhealthy",1.5,1)</f>
        <v>66.42</v>
      </c>
      <c r="F13" s="24"/>
      <c r="G13" s="24"/>
      <c r="H13" s="24"/>
      <c r="I13" s="24"/>
      <c r="J13" s="24"/>
      <c r="K13" s="24"/>
      <c r="L13" s="24"/>
      <c r="M13" s="24"/>
      <c r="N13" s="24"/>
    </row>
    <row r="14" spans="1:14" x14ac:dyDescent="0.3">
      <c r="A14" s="43">
        <f t="shared" si="1"/>
        <v>2033</v>
      </c>
      <c r="B14" s="42">
        <f t="shared" si="2"/>
        <v>13</v>
      </c>
      <c r="C14" s="42">
        <f t="shared" si="3"/>
        <v>40</v>
      </c>
      <c r="D14" s="42" t="str">
        <f t="shared" si="0"/>
        <v>40s</v>
      </c>
      <c r="E14" s="37">
        <f>IF(Inputs!$B$4="Male",(HLOOKUP(D14,Probably,2,FALSE)*(Tables!$J$2*12)),(HLOOKUP(D14,Probably,3,FALSE)*(Tables!$J$3*12))) * IF(Inputs!$B$5="Unhealthy",1.5,1)</f>
        <v>132.84</v>
      </c>
      <c r="F14" s="18"/>
    </row>
    <row r="15" spans="1:14" x14ac:dyDescent="0.3">
      <c r="A15" s="43">
        <f t="shared" si="1"/>
        <v>2034</v>
      </c>
      <c r="B15" s="42">
        <f t="shared" si="2"/>
        <v>14</v>
      </c>
      <c r="C15" s="42">
        <f t="shared" si="3"/>
        <v>41</v>
      </c>
      <c r="D15" s="42" t="str">
        <f t="shared" si="0"/>
        <v>40s</v>
      </c>
      <c r="E15" s="37">
        <f>IF(Inputs!$B$4="Male",(HLOOKUP(D15,Probably,2,FALSE)*(Tables!$J$2*12)),(HLOOKUP(D15,Probably,3,FALSE)*(Tables!$J$3*12))) * IF(Inputs!$B$5="Unhealthy",1.5,1)</f>
        <v>132.84</v>
      </c>
      <c r="F15" s="18"/>
    </row>
    <row r="16" spans="1:14" x14ac:dyDescent="0.3">
      <c r="A16" s="43">
        <f t="shared" si="1"/>
        <v>2035</v>
      </c>
      <c r="B16" s="42">
        <f t="shared" si="2"/>
        <v>15</v>
      </c>
      <c r="C16" s="42">
        <f t="shared" si="3"/>
        <v>42</v>
      </c>
      <c r="D16" s="42" t="str">
        <f t="shared" si="0"/>
        <v>40s</v>
      </c>
      <c r="E16" s="37">
        <f>IF(Inputs!$B$4="Male",(HLOOKUP(D16,Probably,2,FALSE)*(Tables!$J$2*12)),(HLOOKUP(D16,Probably,3,FALSE)*(Tables!$J$3*12))) * IF(Inputs!$B$5="Unhealthy",1.5,1)</f>
        <v>132.84</v>
      </c>
      <c r="F16" s="18"/>
    </row>
    <row r="17" spans="1:7" x14ac:dyDescent="0.3">
      <c r="A17" s="43">
        <v>2036</v>
      </c>
      <c r="B17" s="42">
        <f t="shared" si="2"/>
        <v>16</v>
      </c>
      <c r="C17" s="42">
        <f t="shared" si="3"/>
        <v>43</v>
      </c>
      <c r="D17" s="42" t="str">
        <f t="shared" si="0"/>
        <v>40s</v>
      </c>
      <c r="E17" s="37">
        <f>IF(Inputs!$B$4="Male",(HLOOKUP(D17,Probably,2,FALSE)*(Tables!$J$2*12)),(HLOOKUP(D17,Probably,3,FALSE)*(Tables!$J$3*12))) * IF(Inputs!$B$5="Unhealthy",1.5,1)</f>
        <v>132.84</v>
      </c>
      <c r="F17" s="18"/>
    </row>
    <row r="18" spans="1:7" customFormat="1" x14ac:dyDescent="0.3">
      <c r="A18" s="17"/>
      <c r="B18" s="17"/>
      <c r="C18" s="17"/>
      <c r="D18" s="17"/>
      <c r="E18" s="17"/>
      <c r="F18" s="19"/>
    </row>
    <row r="19" spans="1:7" customFormat="1" x14ac:dyDescent="0.3">
      <c r="A19" s="17"/>
      <c r="B19" s="17"/>
      <c r="D19" s="25" t="s">
        <v>36</v>
      </c>
      <c r="E19" s="17"/>
    </row>
    <row r="20" spans="1:7" customFormat="1" x14ac:dyDescent="0.3">
      <c r="A20" s="17"/>
      <c r="B20" s="17"/>
      <c r="D20" s="17"/>
      <c r="E20" s="25" t="s">
        <v>37</v>
      </c>
    </row>
    <row r="22" spans="1:7" x14ac:dyDescent="0.3">
      <c r="A22" s="17" t="s">
        <v>39</v>
      </c>
      <c r="B22" s="44">
        <f>E2</f>
        <v>44.28</v>
      </c>
    </row>
    <row r="24" spans="1:7" x14ac:dyDescent="0.3">
      <c r="A24" s="6" t="s">
        <v>27</v>
      </c>
      <c r="B24" s="6" t="s">
        <v>28</v>
      </c>
      <c r="D24"/>
      <c r="E24"/>
      <c r="F24" s="16" t="s">
        <v>45</v>
      </c>
      <c r="G24" s="16">
        <v>3</v>
      </c>
    </row>
    <row r="25" spans="1:7" x14ac:dyDescent="0.3">
      <c r="A25" s="6" t="s">
        <v>42</v>
      </c>
      <c r="B25" s="6"/>
      <c r="D25"/>
      <c r="E25"/>
      <c r="F25" s="16" t="s">
        <v>46</v>
      </c>
    </row>
    <row r="26" spans="1:7" x14ac:dyDescent="0.3">
      <c r="A26" s="6"/>
      <c r="B26" s="6"/>
      <c r="D26"/>
      <c r="E26"/>
      <c r="F26" s="16" t="s">
        <v>47</v>
      </c>
      <c r="G26" s="16">
        <v>1</v>
      </c>
    </row>
    <row r="27" spans="1:7" x14ac:dyDescent="0.3">
      <c r="A27" s="6" t="s">
        <v>27</v>
      </c>
      <c r="B27" s="6" t="s">
        <v>29</v>
      </c>
      <c r="D27"/>
      <c r="E27"/>
      <c r="F27" s="16" t="s">
        <v>48</v>
      </c>
      <c r="G27" s="16">
        <v>1.4</v>
      </c>
    </row>
    <row r="28" spans="1:7" x14ac:dyDescent="0.3">
      <c r="A28" s="6" t="s">
        <v>30</v>
      </c>
      <c r="B28"/>
      <c r="D28"/>
      <c r="E28"/>
    </row>
    <row r="29" spans="1:7" x14ac:dyDescent="0.3">
      <c r="A29" s="6"/>
      <c r="B29"/>
      <c r="D29"/>
      <c r="E29"/>
    </row>
    <row r="30" spans="1:7" x14ac:dyDescent="0.3">
      <c r="A30" s="6" t="s">
        <v>35</v>
      </c>
      <c r="B30"/>
      <c r="D30"/>
      <c r="E30"/>
    </row>
    <row r="31" spans="1:7" x14ac:dyDescent="0.3">
      <c r="A31" s="6" t="s">
        <v>43</v>
      </c>
      <c r="B31" s="20"/>
      <c r="D31"/>
      <c r="E31"/>
    </row>
    <row r="32" spans="1:7" x14ac:dyDescent="0.3">
      <c r="A32" s="6"/>
      <c r="B32" s="20"/>
      <c r="D32"/>
      <c r="E32"/>
    </row>
    <row r="33" spans="1:5" x14ac:dyDescent="0.3">
      <c r="A33" s="6" t="s">
        <v>44</v>
      </c>
      <c r="B33" s="20"/>
      <c r="D33"/>
      <c r="E33"/>
    </row>
    <row r="34" spans="1:5" x14ac:dyDescent="0.3">
      <c r="A34" s="38" t="s">
        <v>31</v>
      </c>
      <c r="D34" s="45">
        <f>5.4*B22</f>
        <v>239.11200000000002</v>
      </c>
    </row>
    <row r="35" spans="1:5" x14ac:dyDescent="0.3">
      <c r="B35" s="16"/>
      <c r="D35" s="16"/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3BB7-BFCB-4FD0-B9F4-8C0C1A939872}">
  <sheetPr codeName="Sheet2"/>
  <dimension ref="A1:A4"/>
  <sheetViews>
    <sheetView zoomScale="150" zoomScaleNormal="150" workbookViewId="0"/>
  </sheetViews>
  <sheetFormatPr defaultRowHeight="15" x14ac:dyDescent="0.25"/>
  <cols>
    <col min="1" max="1" width="72.28515625" customWidth="1"/>
    <col min="2" max="2" width="10.140625" customWidth="1"/>
    <col min="3" max="3" width="4.42578125" bestFit="1" customWidth="1"/>
    <col min="4" max="4" width="10.28515625" bestFit="1" customWidth="1"/>
    <col min="5" max="5" width="15.5703125" bestFit="1" customWidth="1"/>
  </cols>
  <sheetData>
    <row r="1" spans="1:1" ht="49.5" x14ac:dyDescent="0.25">
      <c r="A1" s="4" t="s">
        <v>14</v>
      </c>
    </row>
    <row r="2" spans="1:1" ht="49.5" x14ac:dyDescent="0.25">
      <c r="A2" s="4" t="s">
        <v>15</v>
      </c>
    </row>
    <row r="3" spans="1:1" ht="49.5" x14ac:dyDescent="0.25">
      <c r="A3" s="4" t="s">
        <v>16</v>
      </c>
    </row>
    <row r="4" spans="1:1" ht="82.5" x14ac:dyDescent="0.25">
      <c r="A4" s="5" t="s">
        <v>17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Inputs</vt:lpstr>
      <vt:lpstr>Tables</vt:lpstr>
      <vt:lpstr>Formulas</vt:lpstr>
      <vt:lpstr>Instructions</vt:lpstr>
      <vt:lpstr>Age_Decade</vt:lpstr>
      <vt:lpstr>Probability</vt:lpstr>
      <vt:lpstr>Probably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cp:lastPrinted>2021-05-09T03:46:27Z</cp:lastPrinted>
  <dcterms:created xsi:type="dcterms:W3CDTF">2021-04-06T01:07:15Z</dcterms:created>
  <dcterms:modified xsi:type="dcterms:W3CDTF">2021-05-19T05:47:23Z</dcterms:modified>
</cp:coreProperties>
</file>