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1235" documentId="8_{BC7EA994-6554-478E-904B-28A442F6EB22}" xr6:coauthVersionLast="46" xr6:coauthVersionMax="46" xr10:uidLastSave="{1E13CFB5-C1E7-4C24-88B6-7337AD22910C}"/>
  <bookViews>
    <workbookView xWindow="28680" yWindow="-120" windowWidth="29040" windowHeight="15840" tabRatio="423" xr2:uid="{4EE4166E-FFDE-4045-BE4A-452AE43C29C1}"/>
  </bookViews>
  <sheets>
    <sheet name="Inputs" sheetId="3" r:id="rId1"/>
    <sheet name="Tables" sheetId="1" r:id="rId2"/>
    <sheet name="Formulas" sheetId="4" r:id="rId3"/>
    <sheet name="Instructions" sheetId="2" r:id="rId4"/>
  </sheets>
  <definedNames>
    <definedName name="Age_Decade">Tables!$A$10:$B$60</definedName>
    <definedName name="Probability">Tables!$B$2:$F$4</definedName>
    <definedName name="Probabl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D2" i="4"/>
  <c r="E2" i="4" s="1"/>
  <c r="B22" i="4" s="1"/>
  <c r="D34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C3" i="4"/>
  <c r="C4" i="4" s="1"/>
  <c r="C4" i="1"/>
  <c r="D4" i="1"/>
  <c r="E4" i="1"/>
  <c r="F4" i="1"/>
  <c r="B4" i="1"/>
  <c r="C5" i="4" l="1"/>
  <c r="D4" i="4"/>
  <c r="E4" i="4" s="1"/>
  <c r="D3" i="4"/>
  <c r="E3" i="4" s="1"/>
  <c r="C6" i="4" l="1"/>
  <c r="D5" i="4"/>
  <c r="E5" i="4" s="1"/>
  <c r="D6" i="4" l="1"/>
  <c r="E6" i="4" s="1"/>
  <c r="C7" i="4"/>
  <c r="C8" i="4" l="1"/>
  <c r="D7" i="4"/>
  <c r="E7" i="4" s="1"/>
  <c r="D8" i="4" l="1"/>
  <c r="E8" i="4" s="1"/>
  <c r="C9" i="4"/>
  <c r="C10" i="4" l="1"/>
  <c r="D9" i="4"/>
  <c r="E9" i="4" s="1"/>
  <c r="D10" i="4" l="1"/>
  <c r="E10" i="4" s="1"/>
  <c r="C11" i="4"/>
  <c r="C12" i="4" l="1"/>
  <c r="D11" i="4"/>
  <c r="E11" i="4" s="1"/>
  <c r="C13" i="4" l="1"/>
  <c r="D12" i="4"/>
  <c r="E12" i="4" s="1"/>
  <c r="C14" i="4" l="1"/>
  <c r="D13" i="4"/>
  <c r="E13" i="4" s="1"/>
  <c r="D14" i="4" l="1"/>
  <c r="E14" i="4" s="1"/>
  <c r="C15" i="4"/>
  <c r="C16" i="4" l="1"/>
  <c r="D15" i="4"/>
  <c r="E15" i="4" s="1"/>
  <c r="C17" i="4" l="1"/>
  <c r="D17" i="4" s="1"/>
  <c r="E17" i="4" s="1"/>
  <c r="D16" i="4"/>
  <c r="E1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tc={26933D96-44B3-47BD-9CB8-A12D6F7ED740}</author>
    <author>tc={5300DA5E-A5D0-43E9-BE2B-06E06A1B898A}</author>
    <author>tc={1E0CF412-27F0-44F7-889E-6AE8B3B95EF5}</author>
  </authors>
  <commentList>
    <comment ref="A1" authorId="0" shapeId="0" xr:uid="{26933D96-44B3-47BD-9CB8-A12D6F7ED740}">
      <text>
        <t>[Threaded comment]
Your version of Excel allows you to read this threaded comment; however, any edits to it will get removed if the file is opened in a newer version of Excel. Learn more: https://go.microsoft.com/fwlink/?linkid=870924
Comment:
    Ages 18 to 69 only</t>
      </text>
    </comment>
    <comment ref="A2" authorId="1" shapeId="0" xr:uid="{5300DA5E-A5D0-43E9-BE2B-06E06A1B898A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year (e.g. 7 for July)</t>
      </text>
    </comment>
    <comment ref="A3" authorId="2" shapeId="0" xr:uid="{1E0CF412-27F0-44F7-889E-6AE8B3B95EF5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date (e.g. 15)</t>
      </text>
    </comment>
  </commentList>
</comments>
</file>

<file path=xl/sharedStrings.xml><?xml version="1.0" encoding="utf-8"?>
<sst xmlns="http://schemas.openxmlformats.org/spreadsheetml/2006/main" count="107" uniqueCount="48">
  <si>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</si>
  <si>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</si>
  <si>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</si>
  <si>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</si>
  <si>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</si>
  <si>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</si>
  <si>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</si>
  <si>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</si>
  <si>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</si>
  <si>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</si>
  <si>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</si>
  <si>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</si>
  <si>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</si>
  <si>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</si>
  <si>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</si>
  <si>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</si>
  <si>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</si>
  <si>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</si>
  <si>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</si>
  <si>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</si>
  <si>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</si>
  <si>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</si>
  <si>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</si>
  <si>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</si>
  <si>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</si>
  <si>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</si>
  <si>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</si>
  <si>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</si>
  <si>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</si>
  <si>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</si>
  <si>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</si>
  <si>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</si>
  <si>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</si>
  <si>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</si>
  <si>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</si>
  <si>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</si>
  <si>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</si>
  <si>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</si>
  <si>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</si>
  <si>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</si>
  <si>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</si>
  <si>
    <t>Let overhead = 1.4*[claims]</t>
  </si>
  <si>
    <t xml:space="preserve">2.4*[claims] + 3*[claims] = [gross premiums] </t>
  </si>
  <si>
    <t>[gross premiums] = 5.4 * [claims]</t>
  </si>
  <si>
    <t>PROF</t>
  </si>
  <si>
    <t>GROS</t>
  </si>
  <si>
    <t>CLMS</t>
  </si>
  <si>
    <t>OVHD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</si>
</sst>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50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266714</xdr:colOff>
      <xdr:row>3</xdr:row>
      <xdr:rowOff>0</xdr:rowOff>
    </xdr:from>
    <xdr:to>
      <xdr:col>4</xdr:col>
      <xdr:colOff>142889</xdr:colOff>
      <xdr:row>5</xdr:row>
      <xdr:rowOff>0</xdr:rowOff>
    </xdr:to>
    <xdr:sp macro="[0]!PrepOutpu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64" y="628650"/>
          <a:ext cx="1095375" cy="4191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Submit</a:t>
          </a:r>
          <a:endParaRPr lang="en-US" sz="1100"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A66A0E7A-8D25-4535-8E7A-29C9E74C2840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IF(Inputs!$B$4="Male",(HLOOKUP(D2,Probably,2,FALSE)*(Tables!$I$2*12)),(HLOOKUP(D2,Probably,3,FALSE)*(Tables!$I$3*12)))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1-05-19T05:37:48.46" personId="{A66A0E7A-8D25-4535-8E7A-29C9E74C2840}" id="{26933D96-44B3-47BD-9CB8-A12D6F7ED740}">
    <text>Ages 18 to 69 only</text>
  </threadedComment>
  <threadedComment ref="A2" dT="2021-05-17T07:44:57.76" personId="{A66A0E7A-8D25-4535-8E7A-29C9E74C2840}" id="{5300DA5E-A5D0-43E9-BE2B-06E06A1B898A}">
    <text>Single-digit year (e.g. 7 for July)</text>
  </threadedComment>
  <threadedComment ref="A3" dT="2021-05-17T07:45:17.54" personId="{A66A0E7A-8D25-4535-8E7A-29C9E74C2840}" id="{1E0CF412-27F0-44F7-889E-6AE8B3B95EF5}">
    <text>Single-digit date (e.g. 15)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6" bestFit="1" customWidth="1"/>
    <col min="2" max="2" width="10.7109375" style="6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39</v>
      </c>
      <c r="B2" s="22"/>
    </row>
    <row r="3" spans="1:2" x14ac:dyDescent="0.3">
      <c r="A3" s="15" t="s">
        <v>40</v>
      </c>
      <c r="B3" s="22"/>
    </row>
    <row r="4" spans="1:2" x14ac:dyDescent="0.3">
      <c r="A4" s="15" t="s">
        <v>0</v>
      </c>
      <c r="B4" s="23"/>
    </row>
    <row r="5" spans="1:2" x14ac:dyDescent="0.3">
      <c r="A5" s="15" t="s">
        <v>18</v>
      </c>
      <c r="B5" s="23"/>
    </row>
    <row r="7" spans="1:2" x14ac:dyDescent="0.3">
      <c r="B7" s="14"/>
    </row>
  </sheetData>
  <dataValidations count="3">
    <dataValidation type="whole" allowBlank="1" showInputMessage="1" showErrorMessage="1" sqref="B2" xr:uid="{E08EBFFC-8E90-4CFB-AB34-1551D0469567}">
      <formula1>1</formula1>
      <formula2>12</formula2>
    </dataValidation>
    <dataValidation type="whole" allowBlank="1" showInputMessage="1" showErrorMessage="1" sqref="B3" xr:uid="{71757518-B458-4FD0-98F8-CFF32141B45C}">
      <formula1>1</formula1>
      <formula2>31</formula2>
    </dataValidation>
    <dataValidation type="whole" allowBlank="1" showInputMessage="1" showErrorMessage="1" sqref="B1" xr:uid="{A5D2FF4E-4A7C-4275-BEA4-FCBBC1100DDC}">
      <formula1>20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6" ht="21" x14ac:dyDescent="0.4">
      <c r="A1" s="49" t="s">
        <v>11</v>
      </c>
      <c r="B1" s="49"/>
      <c r="C1" s="49"/>
      <c r="D1" s="49"/>
      <c r="E1" s="49"/>
      <c r="F1" s="49"/>
      <c r="H1" s="48" t="s">
        <v>12</v>
      </c>
      <c r="I1" s="48"/>
      <c r="J1" s="48"/>
    </row>
    <row r="2" spans="1:16" ht="18.75" x14ac:dyDescent="0.35">
      <c r="A2" s="2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8"/>
      <c r="H2" s="7" t="s">
        <v>2</v>
      </c>
      <c r="I2" s="34">
        <v>687</v>
      </c>
      <c r="J2" s="3" t="s">
        <v>9</v>
      </c>
      <c r="K2" s="8"/>
      <c r="L2" s="8"/>
      <c r="M2" s="8"/>
      <c r="N2" s="8"/>
      <c r="O2" s="8"/>
      <c r="P2" s="8"/>
    </row>
    <row r="3" spans="1:16" ht="18" x14ac:dyDescent="0.3">
      <c r="A3" s="26" t="s">
        <v>2</v>
      </c>
      <c r="B3" s="27">
        <v>0.01</v>
      </c>
      <c r="C3" s="27">
        <v>1.4999999999999999E-2</v>
      </c>
      <c r="D3" s="27">
        <v>0.03</v>
      </c>
      <c r="E3" s="27">
        <v>0.05</v>
      </c>
      <c r="F3" s="27">
        <v>0.08</v>
      </c>
      <c r="G3" s="9"/>
      <c r="H3" s="7" t="s">
        <v>3</v>
      </c>
      <c r="I3" s="35">
        <v>492</v>
      </c>
      <c r="J3" s="3" t="s">
        <v>9</v>
      </c>
      <c r="K3" s="9"/>
      <c r="L3" s="9"/>
      <c r="M3" s="9"/>
      <c r="N3" s="9"/>
      <c r="O3" s="9"/>
    </row>
    <row r="4" spans="1:16" ht="18" x14ac:dyDescent="0.3">
      <c r="A4" s="26" t="s">
        <v>3</v>
      </c>
      <c r="B4" s="27">
        <f>0.75*B3</f>
        <v>7.4999999999999997E-3</v>
      </c>
      <c r="C4" s="27">
        <f t="shared" ref="C4:F4" si="0">0.75*C3</f>
        <v>1.125E-2</v>
      </c>
      <c r="D4" s="27">
        <f t="shared" si="0"/>
        <v>2.2499999999999999E-2</v>
      </c>
      <c r="E4" s="27">
        <f t="shared" si="0"/>
        <v>3.7500000000000006E-2</v>
      </c>
      <c r="F4" s="27">
        <f t="shared" si="0"/>
        <v>0.06</v>
      </c>
      <c r="G4" s="10"/>
      <c r="H4" s="10"/>
      <c r="I4" s="10"/>
      <c r="J4" s="10"/>
      <c r="K4" s="10"/>
      <c r="L4" s="10"/>
      <c r="M4" s="10"/>
      <c r="N4" s="10"/>
      <c r="O4" s="10"/>
    </row>
    <row r="5" spans="1:16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6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6" x14ac:dyDescent="0.3">
      <c r="A7" s="11" t="s">
        <v>19</v>
      </c>
    </row>
    <row r="8" spans="1:16" x14ac:dyDescent="0.3">
      <c r="A8" s="11" t="s">
        <v>20</v>
      </c>
    </row>
    <row r="10" spans="1:16" x14ac:dyDescent="0.3">
      <c r="A10" s="32" t="s">
        <v>1</v>
      </c>
      <c r="B10" s="33" t="s">
        <v>24</v>
      </c>
      <c r="D10" s="13"/>
      <c r="E10" s="45" t="s">
        <v>18</v>
      </c>
      <c r="G10" s="39"/>
    </row>
    <row r="11" spans="1:16" x14ac:dyDescent="0.3">
      <c r="A11" s="28">
        <v>20</v>
      </c>
      <c r="B11" s="29" t="s">
        <v>4</v>
      </c>
      <c r="D11" s="13"/>
      <c r="E11" s="46" t="s">
        <v>31</v>
      </c>
    </row>
    <row r="12" spans="1:16" x14ac:dyDescent="0.3">
      <c r="A12" s="28">
        <v>21</v>
      </c>
      <c r="B12" s="29" t="s">
        <v>4</v>
      </c>
      <c r="D12" s="13"/>
      <c r="E12" s="47" t="s">
        <v>33</v>
      </c>
    </row>
    <row r="13" spans="1:16" x14ac:dyDescent="0.3">
      <c r="A13" s="28">
        <v>22</v>
      </c>
      <c r="B13" s="29" t="s">
        <v>4</v>
      </c>
    </row>
    <row r="14" spans="1:16" x14ac:dyDescent="0.3">
      <c r="A14" s="28">
        <v>23</v>
      </c>
      <c r="B14" s="29" t="s">
        <v>4</v>
      </c>
    </row>
    <row r="15" spans="1:16" x14ac:dyDescent="0.3">
      <c r="A15" s="28">
        <v>24</v>
      </c>
      <c r="B15" s="29" t="s">
        <v>4</v>
      </c>
    </row>
    <row r="16" spans="1:16" x14ac:dyDescent="0.3">
      <c r="A16" s="28">
        <v>25</v>
      </c>
      <c r="B16" s="29" t="s">
        <v>4</v>
      </c>
    </row>
    <row r="17" spans="1:2" x14ac:dyDescent="0.3">
      <c r="A17" s="28">
        <v>26</v>
      </c>
      <c r="B17" s="29" t="s">
        <v>4</v>
      </c>
    </row>
    <row r="18" spans="1:2" x14ac:dyDescent="0.3">
      <c r="A18" s="28">
        <v>27</v>
      </c>
      <c r="B18" s="29" t="s">
        <v>4</v>
      </c>
    </row>
    <row r="19" spans="1:2" x14ac:dyDescent="0.3">
      <c r="A19" s="28">
        <v>28</v>
      </c>
      <c r="B19" s="29" t="s">
        <v>4</v>
      </c>
    </row>
    <row r="20" spans="1:2" x14ac:dyDescent="0.3">
      <c r="A20" s="28">
        <v>29</v>
      </c>
      <c r="B20" s="29" t="s">
        <v>4</v>
      </c>
    </row>
    <row r="21" spans="1:2" x14ac:dyDescent="0.3">
      <c r="A21" s="28">
        <v>30</v>
      </c>
      <c r="B21" s="29" t="s">
        <v>5</v>
      </c>
    </row>
    <row r="22" spans="1:2" x14ac:dyDescent="0.3">
      <c r="A22" s="28">
        <v>31</v>
      </c>
      <c r="B22" s="29" t="s">
        <v>5</v>
      </c>
    </row>
    <row r="23" spans="1:2" x14ac:dyDescent="0.3">
      <c r="A23" s="28">
        <v>32</v>
      </c>
      <c r="B23" s="29" t="s">
        <v>5</v>
      </c>
    </row>
    <row r="24" spans="1:2" x14ac:dyDescent="0.3">
      <c r="A24" s="28">
        <v>33</v>
      </c>
      <c r="B24" s="29" t="s">
        <v>5</v>
      </c>
    </row>
    <row r="25" spans="1:2" x14ac:dyDescent="0.3">
      <c r="A25" s="28">
        <v>34</v>
      </c>
      <c r="B25" s="29" t="s">
        <v>5</v>
      </c>
    </row>
    <row r="26" spans="1:2" x14ac:dyDescent="0.3">
      <c r="A26" s="28">
        <v>35</v>
      </c>
      <c r="B26" s="29" t="s">
        <v>5</v>
      </c>
    </row>
    <row r="27" spans="1:2" x14ac:dyDescent="0.3">
      <c r="A27" s="28">
        <v>36</v>
      </c>
      <c r="B27" s="29" t="s">
        <v>5</v>
      </c>
    </row>
    <row r="28" spans="1:2" x14ac:dyDescent="0.3">
      <c r="A28" s="28">
        <v>37</v>
      </c>
      <c r="B28" s="29" t="s">
        <v>5</v>
      </c>
    </row>
    <row r="29" spans="1:2" x14ac:dyDescent="0.3">
      <c r="A29" s="28">
        <v>38</v>
      </c>
      <c r="B29" s="29" t="s">
        <v>5</v>
      </c>
    </row>
    <row r="30" spans="1:2" x14ac:dyDescent="0.3">
      <c r="A30" s="28">
        <v>39</v>
      </c>
      <c r="B30" s="29" t="s">
        <v>5</v>
      </c>
    </row>
    <row r="31" spans="1:2" x14ac:dyDescent="0.3">
      <c r="A31" s="28">
        <v>40</v>
      </c>
      <c r="B31" s="29" t="s">
        <v>6</v>
      </c>
    </row>
    <row r="32" spans="1:2" x14ac:dyDescent="0.3">
      <c r="A32" s="28">
        <v>41</v>
      </c>
      <c r="B32" s="29" t="s">
        <v>6</v>
      </c>
    </row>
    <row r="33" spans="1:2" x14ac:dyDescent="0.3">
      <c r="A33" s="28">
        <v>42</v>
      </c>
      <c r="B33" s="29" t="s">
        <v>6</v>
      </c>
    </row>
    <row r="34" spans="1:2" x14ac:dyDescent="0.3">
      <c r="A34" s="28">
        <v>43</v>
      </c>
      <c r="B34" s="29" t="s">
        <v>6</v>
      </c>
    </row>
    <row r="35" spans="1:2" x14ac:dyDescent="0.3">
      <c r="A35" s="28">
        <v>44</v>
      </c>
      <c r="B35" s="29" t="s">
        <v>6</v>
      </c>
    </row>
    <row r="36" spans="1:2" x14ac:dyDescent="0.3">
      <c r="A36" s="28">
        <v>45</v>
      </c>
      <c r="B36" s="29" t="s">
        <v>6</v>
      </c>
    </row>
    <row r="37" spans="1:2" x14ac:dyDescent="0.3">
      <c r="A37" s="28">
        <v>46</v>
      </c>
      <c r="B37" s="29" t="s">
        <v>6</v>
      </c>
    </row>
    <row r="38" spans="1:2" x14ac:dyDescent="0.3">
      <c r="A38" s="28">
        <v>47</v>
      </c>
      <c r="B38" s="29" t="s">
        <v>6</v>
      </c>
    </row>
    <row r="39" spans="1:2" x14ac:dyDescent="0.3">
      <c r="A39" s="28">
        <v>48</v>
      </c>
      <c r="B39" s="29" t="s">
        <v>6</v>
      </c>
    </row>
    <row r="40" spans="1:2" x14ac:dyDescent="0.3">
      <c r="A40" s="28">
        <v>49</v>
      </c>
      <c r="B40" s="29" t="s">
        <v>6</v>
      </c>
    </row>
    <row r="41" spans="1:2" x14ac:dyDescent="0.3">
      <c r="A41" s="28">
        <v>50</v>
      </c>
      <c r="B41" s="29" t="s">
        <v>7</v>
      </c>
    </row>
    <row r="42" spans="1:2" x14ac:dyDescent="0.3">
      <c r="A42" s="28">
        <v>51</v>
      </c>
      <c r="B42" s="29" t="s">
        <v>7</v>
      </c>
    </row>
    <row r="43" spans="1:2" x14ac:dyDescent="0.3">
      <c r="A43" s="28">
        <v>52</v>
      </c>
      <c r="B43" s="29" t="s">
        <v>7</v>
      </c>
    </row>
    <row r="44" spans="1:2" x14ac:dyDescent="0.3">
      <c r="A44" s="28">
        <v>53</v>
      </c>
      <c r="B44" s="29" t="s">
        <v>7</v>
      </c>
    </row>
    <row r="45" spans="1:2" x14ac:dyDescent="0.3">
      <c r="A45" s="28">
        <v>54</v>
      </c>
      <c r="B45" s="29" t="s">
        <v>7</v>
      </c>
    </row>
    <row r="46" spans="1:2" x14ac:dyDescent="0.3">
      <c r="A46" s="28">
        <v>55</v>
      </c>
      <c r="B46" s="29" t="s">
        <v>7</v>
      </c>
    </row>
    <row r="47" spans="1:2" x14ac:dyDescent="0.3">
      <c r="A47" s="28">
        <v>56</v>
      </c>
      <c r="B47" s="29" t="s">
        <v>7</v>
      </c>
    </row>
    <row r="48" spans="1:2" x14ac:dyDescent="0.3">
      <c r="A48" s="28">
        <v>57</v>
      </c>
      <c r="B48" s="29" t="s">
        <v>7</v>
      </c>
    </row>
    <row r="49" spans="1:2" x14ac:dyDescent="0.3">
      <c r="A49" s="28">
        <v>58</v>
      </c>
      <c r="B49" s="29" t="s">
        <v>7</v>
      </c>
    </row>
    <row r="50" spans="1:2" x14ac:dyDescent="0.3">
      <c r="A50" s="28">
        <v>59</v>
      </c>
      <c r="B50" s="29" t="s">
        <v>7</v>
      </c>
    </row>
    <row r="51" spans="1:2" x14ac:dyDescent="0.3">
      <c r="A51" s="28">
        <v>60</v>
      </c>
      <c r="B51" s="29" t="s">
        <v>8</v>
      </c>
    </row>
    <row r="52" spans="1:2" x14ac:dyDescent="0.3">
      <c r="A52" s="28">
        <v>61</v>
      </c>
      <c r="B52" s="29" t="s">
        <v>8</v>
      </c>
    </row>
    <row r="53" spans="1:2" x14ac:dyDescent="0.3">
      <c r="A53" s="28">
        <v>62</v>
      </c>
      <c r="B53" s="29" t="s">
        <v>8</v>
      </c>
    </row>
    <row r="54" spans="1:2" x14ac:dyDescent="0.3">
      <c r="A54" s="28">
        <v>63</v>
      </c>
      <c r="B54" s="29" t="s">
        <v>8</v>
      </c>
    </row>
    <row r="55" spans="1:2" x14ac:dyDescent="0.3">
      <c r="A55" s="28">
        <v>64</v>
      </c>
      <c r="B55" s="29" t="s">
        <v>8</v>
      </c>
    </row>
    <row r="56" spans="1:2" x14ac:dyDescent="0.3">
      <c r="A56" s="28">
        <v>65</v>
      </c>
      <c r="B56" s="29" t="s">
        <v>8</v>
      </c>
    </row>
    <row r="57" spans="1:2" x14ac:dyDescent="0.3">
      <c r="A57" s="28">
        <v>66</v>
      </c>
      <c r="B57" s="29" t="s">
        <v>8</v>
      </c>
    </row>
    <row r="58" spans="1:2" x14ac:dyDescent="0.3">
      <c r="A58" s="28">
        <v>67</v>
      </c>
      <c r="B58" s="29" t="s">
        <v>8</v>
      </c>
    </row>
    <row r="59" spans="1:2" x14ac:dyDescent="0.3">
      <c r="A59" s="28">
        <v>68</v>
      </c>
      <c r="B59" s="29" t="s">
        <v>8</v>
      </c>
    </row>
    <row r="60" spans="1:2" x14ac:dyDescent="0.3">
      <c r="A60" s="30">
        <v>69</v>
      </c>
      <c r="B60" s="31" t="s">
        <v>8</v>
      </c>
    </row>
  </sheetData>
  <sheetProtection sheet="1" objects="1" scenarios="1"/>
  <mergeCells count="2">
    <mergeCell ref="H1:J1"/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5"/>
  <sheetViews>
    <sheetView zoomScaleNormal="100" workbookViewId="0"/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0" t="s">
        <v>32</v>
      </c>
      <c r="B1" s="41" t="s">
        <v>21</v>
      </c>
      <c r="C1" s="41" t="s">
        <v>1</v>
      </c>
      <c r="D1" s="41" t="s">
        <v>23</v>
      </c>
      <c r="E1" s="41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1">
        <v>2021</v>
      </c>
      <c r="B2" s="41">
        <v>1</v>
      </c>
      <c r="C2" s="41">
        <v>28</v>
      </c>
      <c r="D2" s="38" t="str">
        <f t="shared" ref="D2:D17" si="0">VLOOKUP(C2,Age_Decade,2,FALSE)</f>
        <v>20s</v>
      </c>
      <c r="E2" s="21">
        <f>IF(Inputs!$B$4="Male",(HLOOKUP(D2,Probably,2,FALSE)*(Tables!$I$2*12)),(HLOOKUP(D2,Probably,3,FALSE)*(Tables!$I$3*12))) * IF(Inputs!$B$5="Unhealthy",1.5,1)</f>
        <v>44.28</v>
      </c>
      <c r="F2" s="24"/>
      <c r="G2" s="24" t="s">
        <v>25</v>
      </c>
      <c r="H2" s="25" t="s">
        <v>35</v>
      </c>
      <c r="I2" s="24"/>
      <c r="J2" s="24"/>
      <c r="K2" s="24"/>
      <c r="L2" s="24"/>
      <c r="M2" s="24"/>
      <c r="N2" s="24"/>
    </row>
    <row r="3" spans="1:14" x14ac:dyDescent="0.3">
      <c r="A3" s="42">
        <f>A2 + 1</f>
        <v>2022</v>
      </c>
      <c r="B3" s="41">
        <f>B2+1</f>
        <v>2</v>
      </c>
      <c r="C3" s="41">
        <f>C2+1</f>
        <v>29</v>
      </c>
      <c r="D3" s="41" t="str">
        <f t="shared" si="0"/>
        <v>20s</v>
      </c>
      <c r="E3" s="36">
        <f>IF(Inputs!$B$4="Male",(HLOOKUP(D3,Probably,2,FALSE)*(Tables!$I$2*12)),(HLOOKUP(D3,Probably,3,FALSE)*(Tables!$I$3*12))) * IF(Inputs!$B$5="Unhealthy",1.5,1)</f>
        <v>44.28</v>
      </c>
      <c r="F3" s="24"/>
      <c r="G3" s="24" t="s">
        <v>37</v>
      </c>
      <c r="H3" s="25" t="s">
        <v>36</v>
      </c>
      <c r="I3" s="24"/>
      <c r="J3" s="24"/>
      <c r="K3" s="24"/>
      <c r="L3" s="24"/>
      <c r="M3" s="24"/>
      <c r="N3" s="24"/>
    </row>
    <row r="4" spans="1:14" x14ac:dyDescent="0.3">
      <c r="A4" s="42">
        <f t="shared" ref="A4:A16" si="1">A3 + 1</f>
        <v>2023</v>
      </c>
      <c r="B4" s="41">
        <f t="shared" ref="B4:B17" si="2">B3+1</f>
        <v>3</v>
      </c>
      <c r="C4" s="41">
        <f t="shared" ref="C4:C17" si="3">C3+1</f>
        <v>30</v>
      </c>
      <c r="D4" s="41" t="str">
        <f t="shared" si="0"/>
        <v>30s</v>
      </c>
      <c r="E4" s="36">
        <f>IF(Inputs!$B$4="Male",(HLOOKUP(D4,Probably,2,FALSE)*(Tables!$I$2*12)),(HLOOKUP(D4,Probably,3,FALSE)*(Tables!$I$3*12))) * IF(Inputs!$B$5="Unhealthy",1.5,1)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2">
        <f t="shared" si="1"/>
        <v>2024</v>
      </c>
      <c r="B5" s="41">
        <f t="shared" si="2"/>
        <v>4</v>
      </c>
      <c r="C5" s="41">
        <f t="shared" si="3"/>
        <v>31</v>
      </c>
      <c r="D5" s="41" t="str">
        <f t="shared" si="0"/>
        <v>30s</v>
      </c>
      <c r="E5" s="36">
        <f>IF(Inputs!$B$4="Male",(HLOOKUP(D5,Probably,2,FALSE)*(Tables!$I$2*12)),(HLOOKUP(D5,Probably,3,FALSE)*(Tables!$I$3*12))) * IF(Inputs!$B$5="Unhealthy",1.5,1)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2">
        <f t="shared" si="1"/>
        <v>2025</v>
      </c>
      <c r="B6" s="41">
        <f t="shared" si="2"/>
        <v>5</v>
      </c>
      <c r="C6" s="41">
        <f t="shared" si="3"/>
        <v>32</v>
      </c>
      <c r="D6" s="41" t="str">
        <f t="shared" si="0"/>
        <v>30s</v>
      </c>
      <c r="E6" s="36">
        <f>IF(Inputs!$B$4="Male",(HLOOKUP(D6,Probably,2,FALSE)*(Tables!$I$2*12)),(HLOOKUP(D6,Probably,3,FALSE)*(Tables!$I$3*12))) * IF(Inputs!$B$5="Unhealthy",1.5,1)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2">
        <f t="shared" si="1"/>
        <v>2026</v>
      </c>
      <c r="B7" s="41">
        <f t="shared" si="2"/>
        <v>6</v>
      </c>
      <c r="C7" s="41">
        <f t="shared" si="3"/>
        <v>33</v>
      </c>
      <c r="D7" s="41" t="str">
        <f t="shared" si="0"/>
        <v>30s</v>
      </c>
      <c r="E7" s="36">
        <f>IF(Inputs!$B$4="Male",(HLOOKUP(D7,Probably,2,FALSE)*(Tables!$I$2*12)),(HLOOKUP(D7,Probably,3,FALSE)*(Tables!$I$3*12))) * IF(Inputs!$B$5="Unhealthy",1.5,1)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2">
        <f t="shared" si="1"/>
        <v>2027</v>
      </c>
      <c r="B8" s="41">
        <f t="shared" si="2"/>
        <v>7</v>
      </c>
      <c r="C8" s="41">
        <f t="shared" si="3"/>
        <v>34</v>
      </c>
      <c r="D8" s="41" t="str">
        <f t="shared" si="0"/>
        <v>30s</v>
      </c>
      <c r="E8" s="36">
        <f>IF(Inputs!$B$4="Male",(HLOOKUP(D8,Probably,2,FALSE)*(Tables!$I$2*12)),(HLOOKUP(D8,Probably,3,FALSE)*(Tables!$I$3*12))) * IF(Inputs!$B$5="Unhealthy",1.5,1)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2">
        <f t="shared" si="1"/>
        <v>2028</v>
      </c>
      <c r="B9" s="41">
        <f t="shared" si="2"/>
        <v>8</v>
      </c>
      <c r="C9" s="41">
        <f t="shared" si="3"/>
        <v>35</v>
      </c>
      <c r="D9" s="41" t="str">
        <f t="shared" si="0"/>
        <v>30s</v>
      </c>
      <c r="E9" s="36">
        <f>IF(Inputs!$B$4="Male",(HLOOKUP(D9,Probably,2,FALSE)*(Tables!$I$2*12)),(HLOOKUP(D9,Probably,3,FALSE)*(Tables!$I$3*12))) * IF(Inputs!$B$5="Unhealthy",1.5,1)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2">
        <f t="shared" si="1"/>
        <v>2029</v>
      </c>
      <c r="B10" s="41">
        <f t="shared" si="2"/>
        <v>9</v>
      </c>
      <c r="C10" s="41">
        <f t="shared" si="3"/>
        <v>36</v>
      </c>
      <c r="D10" s="41" t="str">
        <f t="shared" si="0"/>
        <v>30s</v>
      </c>
      <c r="E10" s="36">
        <f>IF(Inputs!$B$4="Male",(HLOOKUP(D10,Probably,2,FALSE)*(Tables!$I$2*12)),(HLOOKUP(D10,Probably,3,FALSE)*(Tables!$I$3*12))) * IF(Inputs!$B$5="Unhealthy",1.5,1)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2">
        <f t="shared" si="1"/>
        <v>2030</v>
      </c>
      <c r="B11" s="41">
        <f t="shared" si="2"/>
        <v>10</v>
      </c>
      <c r="C11" s="41">
        <f t="shared" si="3"/>
        <v>37</v>
      </c>
      <c r="D11" s="41" t="str">
        <f t="shared" si="0"/>
        <v>30s</v>
      </c>
      <c r="E11" s="36">
        <f>IF(Inputs!$B$4="Male",(HLOOKUP(D11,Probably,2,FALSE)*(Tables!$I$2*12)),(HLOOKUP(D11,Probably,3,FALSE)*(Tables!$I$3*12))) * IF(Inputs!$B$5="Unhealthy",1.5,1)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2">
        <f t="shared" si="1"/>
        <v>2031</v>
      </c>
      <c r="B12" s="41">
        <f t="shared" si="2"/>
        <v>11</v>
      </c>
      <c r="C12" s="41">
        <f t="shared" si="3"/>
        <v>38</v>
      </c>
      <c r="D12" s="41" t="str">
        <f t="shared" si="0"/>
        <v>30s</v>
      </c>
      <c r="E12" s="36">
        <f>IF(Inputs!$B$4="Male",(HLOOKUP(D12,Probably,2,FALSE)*(Tables!$I$2*12)),(HLOOKUP(D12,Probably,3,FALSE)*(Tables!$I$3*12))) * IF(Inputs!$B$5="Unhealthy",1.5,1)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2">
        <f t="shared" si="1"/>
        <v>2032</v>
      </c>
      <c r="B13" s="41">
        <f t="shared" si="2"/>
        <v>12</v>
      </c>
      <c r="C13" s="41">
        <f t="shared" si="3"/>
        <v>39</v>
      </c>
      <c r="D13" s="41" t="str">
        <f t="shared" si="0"/>
        <v>30s</v>
      </c>
      <c r="E13" s="36">
        <f>IF(Inputs!$B$4="Male",(HLOOKUP(D13,Probably,2,FALSE)*(Tables!$I$2*12)),(HLOOKUP(D13,Probably,3,FALSE)*(Tables!$I$3*12))) * IF(Inputs!$B$5="Unhealthy",1.5,1)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2">
        <f t="shared" si="1"/>
        <v>2033</v>
      </c>
      <c r="B14" s="41">
        <f t="shared" si="2"/>
        <v>13</v>
      </c>
      <c r="C14" s="41">
        <f t="shared" si="3"/>
        <v>40</v>
      </c>
      <c r="D14" s="41" t="str">
        <f t="shared" si="0"/>
        <v>40s</v>
      </c>
      <c r="E14" s="36">
        <f>IF(Inputs!$B$4="Male",(HLOOKUP(D14,Probably,2,FALSE)*(Tables!$I$2*12)),(HLOOKUP(D14,Probably,3,FALSE)*(Tables!$I$3*12))) * IF(Inputs!$B$5="Unhealthy",1.5,1)</f>
        <v>132.84</v>
      </c>
      <c r="F14" s="18"/>
    </row>
    <row r="15" spans="1:14" x14ac:dyDescent="0.3">
      <c r="A15" s="42">
        <f t="shared" si="1"/>
        <v>2034</v>
      </c>
      <c r="B15" s="41">
        <f t="shared" si="2"/>
        <v>14</v>
      </c>
      <c r="C15" s="41">
        <f t="shared" si="3"/>
        <v>41</v>
      </c>
      <c r="D15" s="41" t="str">
        <f t="shared" si="0"/>
        <v>40s</v>
      </c>
      <c r="E15" s="36">
        <f>IF(Inputs!$B$4="Male",(HLOOKUP(D15,Probably,2,FALSE)*(Tables!$I$2*12)),(HLOOKUP(D15,Probably,3,FALSE)*(Tables!$I$3*12))) * IF(Inputs!$B$5="Unhealthy",1.5,1)</f>
        <v>132.84</v>
      </c>
      <c r="F15" s="18"/>
    </row>
    <row r="16" spans="1:14" x14ac:dyDescent="0.3">
      <c r="A16" s="42">
        <f t="shared" si="1"/>
        <v>2035</v>
      </c>
      <c r="B16" s="41">
        <f t="shared" si="2"/>
        <v>15</v>
      </c>
      <c r="C16" s="41">
        <f t="shared" si="3"/>
        <v>42</v>
      </c>
      <c r="D16" s="41" t="str">
        <f t="shared" si="0"/>
        <v>40s</v>
      </c>
      <c r="E16" s="36">
        <f>IF(Inputs!$B$4="Male",(HLOOKUP(D16,Probably,2,FALSE)*(Tables!$I$2*12)),(HLOOKUP(D16,Probably,3,FALSE)*(Tables!$I$3*12))) * IF(Inputs!$B$5="Unhealthy",1.5,1)</f>
        <v>132.84</v>
      </c>
      <c r="F16" s="18"/>
    </row>
    <row r="17" spans="1:7" x14ac:dyDescent="0.3">
      <c r="A17" s="42">
        <v>2036</v>
      </c>
      <c r="B17" s="41">
        <f t="shared" si="2"/>
        <v>16</v>
      </c>
      <c r="C17" s="41">
        <f t="shared" si="3"/>
        <v>43</v>
      </c>
      <c r="D17" s="41" t="str">
        <f t="shared" si="0"/>
        <v>40s</v>
      </c>
      <c r="E17" s="36">
        <f>IF(Inputs!$B$4="Male",(HLOOKUP(D17,Probably,2,FALSE)*(Tables!$I$2*12)),(HLOOKUP(D17,Probably,3,FALSE)*(Tables!$I$3*12))) * IF(Inputs!$B$5="Unhealthy",1.5,1)</f>
        <v>132.84</v>
      </c>
      <c r="F17" s="18"/>
    </row>
    <row r="18" spans="1:7" customFormat="1" x14ac:dyDescent="0.3">
      <c r="A18" s="17"/>
      <c r="B18" s="17"/>
      <c r="C18" s="17"/>
      <c r="D18" s="17"/>
      <c r="E18" s="17"/>
      <c r="F18" s="19"/>
    </row>
    <row r="19" spans="1:7" customFormat="1" x14ac:dyDescent="0.3">
      <c r="A19" s="17"/>
      <c r="B19" s="17"/>
      <c r="D19" s="25" t="s">
        <v>35</v>
      </c>
      <c r="E19" s="17"/>
    </row>
    <row r="20" spans="1:7" customFormat="1" x14ac:dyDescent="0.3">
      <c r="A20" s="17"/>
      <c r="B20" s="17"/>
      <c r="D20" s="17"/>
      <c r="E20" s="25" t="s">
        <v>36</v>
      </c>
    </row>
    <row r="22" spans="1:7" x14ac:dyDescent="0.3">
      <c r="A22" s="17" t="s">
        <v>38</v>
      </c>
      <c r="B22" s="43">
        <f>E2</f>
        <v>44.28</v>
      </c>
    </row>
    <row r="24" spans="1:7" x14ac:dyDescent="0.3">
      <c r="A24" s="6" t="s">
        <v>26</v>
      </c>
      <c r="B24" s="6" t="s">
        <v>27</v>
      </c>
      <c r="D24"/>
      <c r="E24"/>
      <c r="F24" s="16" t="s">
        <v>44</v>
      </c>
      <c r="G24" s="16">
        <v>3</v>
      </c>
    </row>
    <row r="25" spans="1:7" x14ac:dyDescent="0.3">
      <c r="A25" s="6" t="s">
        <v>41</v>
      </c>
      <c r="B25" s="6"/>
      <c r="D25"/>
      <c r="E25"/>
      <c r="F25" s="16" t="s">
        <v>45</v>
      </c>
    </row>
    <row r="26" spans="1:7" x14ac:dyDescent="0.3">
      <c r="A26" s="6"/>
      <c r="B26" s="6"/>
      <c r="D26"/>
      <c r="E26"/>
      <c r="F26" s="16" t="s">
        <v>46</v>
      </c>
      <c r="G26" s="16">
        <v>1</v>
      </c>
    </row>
    <row r="27" spans="1:7" x14ac:dyDescent="0.3">
      <c r="A27" s="6" t="s">
        <v>26</v>
      </c>
      <c r="B27" s="6" t="s">
        <v>28</v>
      </c>
      <c r="D27"/>
      <c r="E27"/>
      <c r="F27" s="16" t="s">
        <v>47</v>
      </c>
      <c r="G27" s="16">
        <v>1.4</v>
      </c>
    </row>
    <row r="28" spans="1:7" x14ac:dyDescent="0.3">
      <c r="A28" s="6" t="s">
        <v>29</v>
      </c>
      <c r="B28"/>
      <c r="D28"/>
      <c r="E28"/>
    </row>
    <row r="29" spans="1:7" x14ac:dyDescent="0.3">
      <c r="A29" s="6"/>
      <c r="B29"/>
      <c r="D29"/>
      <c r="E29"/>
    </row>
    <row r="30" spans="1:7" x14ac:dyDescent="0.3">
      <c r="A30" s="6" t="s">
        <v>34</v>
      </c>
      <c r="B30"/>
      <c r="D30"/>
      <c r="E30"/>
    </row>
    <row r="31" spans="1:7" x14ac:dyDescent="0.3">
      <c r="A31" s="6" t="s">
        <v>42</v>
      </c>
      <c r="B31" s="20"/>
      <c r="D31"/>
      <c r="E31"/>
    </row>
    <row r="32" spans="1:7" x14ac:dyDescent="0.3">
      <c r="A32" s="6"/>
      <c r="B32" s="20"/>
      <c r="D32"/>
      <c r="E32"/>
    </row>
    <row r="33" spans="1:5" x14ac:dyDescent="0.3">
      <c r="A33" s="6" t="s">
        <v>43</v>
      </c>
      <c r="B33" s="20"/>
      <c r="D33"/>
      <c r="E33"/>
    </row>
    <row r="34" spans="1:5" x14ac:dyDescent="0.3">
      <c r="A34" s="37" t="s">
        <v>30</v>
      </c>
      <c r="D34" s="44">
        <f>5.4*B22</f>
        <v>239.11200000000002</v>
      </c>
    </row>
    <row r="35" spans="1:5" x14ac:dyDescent="0.3">
      <c r="B35" s="16"/>
      <c r="D35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Tables</vt:lpstr>
      <vt:lpstr>Formulas</vt:lpstr>
      <vt:lpstr>Instructions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2021-05-24T22:13:43Z</dcterms:modified>
</cp:coreProperties>
</file>