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088f3e76e1014375/DOCUMENTS/EDUCATION/LEARN TO CODE/Excel VBA/Assorted Spreadsheet Files/Uncategorized files/"/>
    </mc:Choice>
  </mc:AlternateContent>
  <xr:revisionPtr revIDLastSave="68246" documentId="8_{F51EE55E-6455-4ED1-BEB1-581C915CE3E5}" xr6:coauthVersionLast="47" xr6:coauthVersionMax="47" xr10:uidLastSave="{E72D6D11-77CB-47FC-A1A1-0EE1E48390EC}"/>
  <bookViews>
    <workbookView xWindow="28680" yWindow="-120" windowWidth="29040" windowHeight="15840" activeTab="1" xr2:uid="{1420A0B1-0547-4ABB-B710-CBFEBFD44461}"/>
  </bookViews>
  <sheets>
    <sheet name="Job Titles4" sheetId="38" r:id="rId1"/>
    <sheet name="Job Titles5" sheetId="39" r:id="rId2"/>
    <sheet name="Instructions" sheetId="1" r:id="rId3"/>
    <sheet name="Pivot Table" sheetId="2" r:id="rId4"/>
    <sheet name="Job Suggestions1" sheetId="7" r:id="rId5"/>
    <sheet name="Word Count" sheetId="3" r:id="rId6"/>
  </sheets>
  <calcPr calcId="191029"/>
  <pivotCaches>
    <pivotCache cacheId="9"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2" l="1"/>
  <c r="H17" i="2"/>
  <c r="H15" i="2"/>
  <c r="C19" i="2"/>
  <c r="C16" i="2"/>
  <c r="C15" i="2"/>
  <c r="C13" i="2"/>
  <c r="C11" i="2"/>
  <c r="C9" i="2"/>
  <c r="C7" i="2"/>
  <c r="C1" i="2"/>
  <c r="H14" i="2" l="1"/>
  <c r="H13" i="2"/>
  <c r="H3" i="2"/>
  <c r="H4" i="2"/>
  <c r="H5" i="2"/>
  <c r="H6" i="2"/>
  <c r="H7" i="2"/>
  <c r="H8" i="2"/>
  <c r="H11" i="2"/>
  <c r="G2" i="7" s="1"/>
  <c r="H12" i="2"/>
  <c r="H2" i="2"/>
  <c r="P2" i="2" s="1"/>
  <c r="C17" i="2"/>
  <c r="C8" i="2"/>
  <c r="C6" i="2"/>
  <c r="C4" i="2"/>
  <c r="P8" i="2" l="1"/>
  <c r="P7" i="2"/>
  <c r="C5" i="2"/>
  <c r="C3" i="2"/>
  <c r="C12" i="2"/>
  <c r="C14" i="2"/>
  <c r="C2" i="2"/>
</calcChain>
</file>

<file path=xl/sharedStrings.xml><?xml version="1.0" encoding="utf-8"?>
<sst xmlns="http://schemas.openxmlformats.org/spreadsheetml/2006/main" count="1366" uniqueCount="905">
  <si>
    <t>Row Labels</t>
  </si>
  <si>
    <t>Sum of count</t>
  </si>
  <si>
    <t>Total Word Count</t>
  </si>
  <si>
    <t>Top Words</t>
  </si>
  <si>
    <t>Permutations / Combinations of</t>
  </si>
  <si>
    <t>Analyst</t>
  </si>
  <si>
    <t>of total</t>
  </si>
  <si>
    <t>Top 50%</t>
  </si>
  <si>
    <t>Data</t>
  </si>
  <si>
    <t>things taken</t>
  </si>
  <si>
    <t>Entry</t>
  </si>
  <si>
    <t>Specialist</t>
  </si>
  <si>
    <t>at a time</t>
  </si>
  <si>
    <t>Business</t>
  </si>
  <si>
    <t>equals</t>
  </si>
  <si>
    <t>Associate</t>
  </si>
  <si>
    <t>combinations</t>
  </si>
  <si>
    <t>Fraud</t>
  </si>
  <si>
    <t>permutations</t>
  </si>
  <si>
    <t>Coordinator</t>
  </si>
  <si>
    <t>Actuarial</t>
  </si>
  <si>
    <t>max allowed with Byte format</t>
  </si>
  <si>
    <t>Management</t>
  </si>
  <si>
    <t>Research</t>
  </si>
  <si>
    <t>Insurance</t>
  </si>
  <si>
    <t>BI</t>
  </si>
  <si>
    <t>Reporting</t>
  </si>
  <si>
    <t>Project</t>
  </si>
  <si>
    <t>Commercial</t>
  </si>
  <si>
    <t>Clerk</t>
  </si>
  <si>
    <t>Analytics</t>
  </si>
  <si>
    <t>Product</t>
  </si>
  <si>
    <t>Financial</t>
  </si>
  <si>
    <t>Science</t>
  </si>
  <si>
    <t>Claims</t>
  </si>
  <si>
    <t>Underwriting</t>
  </si>
  <si>
    <t>Level</t>
  </si>
  <si>
    <t>Underwriter</t>
  </si>
  <si>
    <t>Pricing</t>
  </si>
  <si>
    <t>Systems</t>
  </si>
  <si>
    <t>Risk</t>
  </si>
  <si>
    <t>Digital</t>
  </si>
  <si>
    <t>Policy</t>
  </si>
  <si>
    <t>Document</t>
  </si>
  <si>
    <t>Contact</t>
  </si>
  <si>
    <t>Engineer</t>
  </si>
  <si>
    <t>Services</t>
  </si>
  <si>
    <t>Catastrophe</t>
  </si>
  <si>
    <t>Money</t>
  </si>
  <si>
    <t>Excel</t>
  </si>
  <si>
    <t>Expert</t>
  </si>
  <si>
    <t>Cash</t>
  </si>
  <si>
    <t>Facilities</t>
  </si>
  <si>
    <t>Representative</t>
  </si>
  <si>
    <t>Center</t>
  </si>
  <si>
    <t>AnalystRisk</t>
  </si>
  <si>
    <t>Firm</t>
  </si>
  <si>
    <t>Software</t>
  </si>
  <si>
    <t>Anti</t>
  </si>
  <si>
    <t>Trainee</t>
  </si>
  <si>
    <t>Grants</t>
  </si>
  <si>
    <t>PMO</t>
  </si>
  <si>
    <t>Info</t>
  </si>
  <si>
    <t>Portfolio</t>
  </si>
  <si>
    <t>VBA</t>
  </si>
  <si>
    <t>Predictive</t>
  </si>
  <si>
    <t>Inside</t>
  </si>
  <si>
    <t>Clinical</t>
  </si>
  <si>
    <t>Quality</t>
  </si>
  <si>
    <t>Treasury</t>
  </si>
  <si>
    <t>Contracts</t>
  </si>
  <si>
    <t>AnalystData</t>
  </si>
  <si>
    <t>Junior</t>
  </si>
  <si>
    <t>Sales</t>
  </si>
  <si>
    <t>Laundering</t>
  </si>
  <si>
    <t>Senior</t>
  </si>
  <si>
    <t>Actuary</t>
  </si>
  <si>
    <t>Small</t>
  </si>
  <si>
    <t>Lines</t>
  </si>
  <si>
    <t>Assistant</t>
  </si>
  <si>
    <t>Local</t>
  </si>
  <si>
    <t>Technology</t>
  </si>
  <si>
    <t>Client</t>
  </si>
  <si>
    <t>Decision</t>
  </si>
  <si>
    <t>Medical</t>
  </si>
  <si>
    <t>Intelligence</t>
  </si>
  <si>
    <t>Admin</t>
  </si>
  <si>
    <t>IT</t>
  </si>
  <si>
    <t>Information</t>
  </si>
  <si>
    <t>Grand Total</t>
  </si>
  <si>
    <t>Word</t>
  </si>
  <si>
    <t>count</t>
  </si>
  <si>
    <t>associate</t>
  </si>
  <si>
    <t>Programmer</t>
  </si>
  <si>
    <t>Suggested Job Titles</t>
  </si>
  <si>
    <t>Code</t>
  </si>
  <si>
    <t>Fraud Financial Specialist</t>
  </si>
  <si>
    <t>Actuarial Insurance Specialist</t>
  </si>
  <si>
    <t>Job title permutations</t>
  </si>
  <si>
    <t>Warehouse</t>
  </si>
  <si>
    <t>II</t>
  </si>
  <si>
    <t>I</t>
  </si>
  <si>
    <t>Grants/Contracts</t>
  </si>
  <si>
    <t>and</t>
  </si>
  <si>
    <t>(Multifamily)</t>
  </si>
  <si>
    <t>Sr.</t>
  </si>
  <si>
    <t>Jr.</t>
  </si>
  <si>
    <t>II,</t>
  </si>
  <si>
    <t>(Commercial</t>
  </si>
  <si>
    <t>Lines)</t>
  </si>
  <si>
    <t>Chubb</t>
  </si>
  <si>
    <t>Associate,</t>
  </si>
  <si>
    <t>PP&amp;C</t>
  </si>
  <si>
    <t>(Clinical/</t>
  </si>
  <si>
    <t>Claims)</t>
  </si>
  <si>
    <t>Analyst-Data</t>
  </si>
  <si>
    <t>-</t>
  </si>
  <si>
    <t>Analyst-Risk</t>
  </si>
  <si>
    <t>&amp;</t>
  </si>
  <si>
    <t>First Digit</t>
  </si>
  <si>
    <t>Second Digit</t>
  </si>
  <si>
    <t>Third Digit</t>
  </si>
  <si>
    <t>Job Title</t>
  </si>
  <si>
    <t>Index No</t>
  </si>
  <si>
    <t>Management Associate Research</t>
  </si>
  <si>
    <t>Associate Data Business</t>
  </si>
  <si>
    <t>Data Analyst Management</t>
  </si>
  <si>
    <t>Financial Reporting Research</t>
  </si>
  <si>
    <t>Research Reporting Specialist</t>
  </si>
  <si>
    <t>Analyst Actuarial Research</t>
  </si>
  <si>
    <t>Specialist Fraud Research</t>
  </si>
  <si>
    <t>Analyst Management Data</t>
  </si>
  <si>
    <t>Specialist Associate Fraud</t>
  </si>
  <si>
    <t>Actuarial Data Business</t>
  </si>
  <si>
    <t>Insurance Management Data</t>
  </si>
  <si>
    <t>Management Associate Actuarial</t>
  </si>
  <si>
    <t>Management Specialist Financial</t>
  </si>
  <si>
    <t>Data Management Fraud</t>
  </si>
  <si>
    <t>Fraud Reporting Business</t>
  </si>
  <si>
    <t>Fraud Insurance Business</t>
  </si>
  <si>
    <t>Research Financial Business</t>
  </si>
  <si>
    <t>Fraud Management Research</t>
  </si>
  <si>
    <t>Insurance Research Analyst</t>
  </si>
  <si>
    <t>Research Fraud Associate</t>
  </si>
  <si>
    <t>Financial Research Business</t>
  </si>
  <si>
    <t>Insurance Data Associate</t>
  </si>
  <si>
    <t>Management Specialist Actuarial</t>
  </si>
  <si>
    <t>Actuarial Financial Business</t>
  </si>
  <si>
    <t>Financial Business Reporting</t>
  </si>
  <si>
    <t>Data Financial Reporting</t>
  </si>
  <si>
    <t>Data Research Fraud</t>
  </si>
  <si>
    <t>Reporting Fraud Specialist</t>
  </si>
  <si>
    <t>Investment</t>
  </si>
  <si>
    <t>Audit</t>
  </si>
  <si>
    <t>Auditing</t>
  </si>
  <si>
    <t>Performance</t>
  </si>
  <si>
    <t>Modeling</t>
  </si>
  <si>
    <t>Qualitative</t>
  </si>
  <si>
    <t>Quantitative</t>
  </si>
  <si>
    <t>max allowed with Integer format</t>
  </si>
  <si>
    <t>Fraud Research Reporting</t>
  </si>
  <si>
    <t>Research Associate Financial</t>
  </si>
  <si>
    <t>Fraud Specialist Business</t>
  </si>
  <si>
    <t>Research Management Insurance</t>
  </si>
  <si>
    <t>Reporting Financial Data</t>
  </si>
  <si>
    <t>Actuarial Fraud Management</t>
  </si>
  <si>
    <t>Actuarial Data Reporting</t>
  </si>
  <si>
    <t>Specialist Actuarial Management</t>
  </si>
  <si>
    <t>Management Fraud Associate</t>
  </si>
  <si>
    <t>Reporting Fraud Financial</t>
  </si>
  <si>
    <t>Financial Management Research</t>
  </si>
  <si>
    <t>Insurance Research Business</t>
  </si>
  <si>
    <t>Specialist Actuarial Reporting</t>
  </si>
  <si>
    <t>Insurance Business Actuarial</t>
  </si>
  <si>
    <t>Associate Financial Insurance</t>
  </si>
  <si>
    <t>Business Management Reporting</t>
  </si>
  <si>
    <t>Data Analyst Business</t>
  </si>
  <si>
    <t>Financial Specialist Insurance</t>
  </si>
  <si>
    <t>Specialist Analyst Research</t>
  </si>
  <si>
    <t>Associate Reporting Financial</t>
  </si>
  <si>
    <t>Reporting Data Management</t>
  </si>
  <si>
    <t>Research Insurance Data</t>
  </si>
  <si>
    <t>Business Research Fraud</t>
  </si>
  <si>
    <t>Business Insurance Specialist</t>
  </si>
  <si>
    <t>Analyst Research Fraud</t>
  </si>
  <si>
    <t>Management Actuarial Fraud</t>
  </si>
  <si>
    <t>Fraud Analyst Data</t>
  </si>
  <si>
    <t>Research Fraud Management</t>
  </si>
  <si>
    <t>Management Associate Data</t>
  </si>
  <si>
    <t>Research Fraud Business</t>
  </si>
  <si>
    <t>Research Specialist Insurance</t>
  </si>
  <si>
    <t>Research Management Specialist</t>
  </si>
  <si>
    <t>Associate Reporting Fraud</t>
  </si>
  <si>
    <t>Management Associate Analyst</t>
  </si>
  <si>
    <t>Insurance Data Reporting</t>
  </si>
  <si>
    <t>Data Reporting Fraud</t>
  </si>
  <si>
    <t>Actuarial Business Specialist</t>
  </si>
  <si>
    <t>Management Fraud Analyst</t>
  </si>
  <si>
    <t>Fraud Insurance Financial</t>
  </si>
  <si>
    <t>Business Management Insurance</t>
  </si>
  <si>
    <t>Business Management Financial</t>
  </si>
  <si>
    <t>Business Reporting Management</t>
  </si>
  <si>
    <t>Research Associate Data</t>
  </si>
  <si>
    <t>Fraud Analyst Financial</t>
  </si>
  <si>
    <t>Associate Data Management</t>
  </si>
  <si>
    <t>Research Analyst Actuarial</t>
  </si>
  <si>
    <t>Specialist Data Insurance</t>
  </si>
  <si>
    <t>Financial Specialist Associate</t>
  </si>
  <si>
    <t>Analyst Associate Actuarial</t>
  </si>
  <si>
    <t>Actuarial Specialist Data</t>
  </si>
  <si>
    <t>Data Research Actuarial</t>
  </si>
  <si>
    <t>Business Insurance Actuarial</t>
  </si>
  <si>
    <t>Insurance Data Actuarial</t>
  </si>
  <si>
    <t>Analyst Insurance Reporting</t>
  </si>
  <si>
    <t>Specialist Insurance Data</t>
  </si>
  <si>
    <t>Financial Associate Reporting</t>
  </si>
  <si>
    <t>Reporting Analyst Specialist</t>
  </si>
  <si>
    <t>Fraud Financial Actuarial</t>
  </si>
  <si>
    <t>Financial Reporting Insurance</t>
  </si>
  <si>
    <t>Business Data Research</t>
  </si>
  <si>
    <t>Business Financial Management</t>
  </si>
  <si>
    <t>Business Research Financial</t>
  </si>
  <si>
    <t>Financial Associate Analyst</t>
  </si>
  <si>
    <t>Research Data Associate</t>
  </si>
  <si>
    <t>Data Specialist Research</t>
  </si>
  <si>
    <t>Associate Analyst Specialist</t>
  </si>
  <si>
    <t>Research Analyst Reporting</t>
  </si>
  <si>
    <t>Specialist Business Analyst</t>
  </si>
  <si>
    <t>Specialist Analyst Business</t>
  </si>
  <si>
    <t>Business Research Insurance</t>
  </si>
  <si>
    <t>Analyst Specialist Business</t>
  </si>
  <si>
    <t>Management Specialist Analyst</t>
  </si>
  <si>
    <t>Management Research Data</t>
  </si>
  <si>
    <t>Analyst Research Associate</t>
  </si>
  <si>
    <t>Specialist Analyst Data</t>
  </si>
  <si>
    <t>Specialist Financial Research</t>
  </si>
  <si>
    <t>Fraud Specialist Actuarial</t>
  </si>
  <si>
    <t>Reporting Fraud Data</t>
  </si>
  <si>
    <t>Fraud Specialist Analyst</t>
  </si>
  <si>
    <t>Insurance Actuarial Analyst</t>
  </si>
  <si>
    <t>Fraud Financial Associate</t>
  </si>
  <si>
    <t>Associate Business Analyst</t>
  </si>
  <si>
    <t>Insurance Business Specialist</t>
  </si>
  <si>
    <t>Financial Research Management</t>
  </si>
  <si>
    <t>Data Fraud Research</t>
  </si>
  <si>
    <t>Analyst Associate Fraud</t>
  </si>
  <si>
    <t>Data Analyst Insurance</t>
  </si>
  <si>
    <t>Fraud Insurance Associate</t>
  </si>
  <si>
    <t>Fraud Data Reporting</t>
  </si>
  <si>
    <t>Insurance Management Actuarial</t>
  </si>
  <si>
    <t>Analyst Actuarial Insurance</t>
  </si>
  <si>
    <t>Data Reporting Insurance</t>
  </si>
  <si>
    <t>Insurance Reporting Management</t>
  </si>
  <si>
    <t>Data Research Business</t>
  </si>
  <si>
    <t>Management Research Financial</t>
  </si>
  <si>
    <t>Analyst Specialist Reporting</t>
  </si>
  <si>
    <t>Insurance Associate Fraud</t>
  </si>
  <si>
    <t>Analyst Actuarial Business</t>
  </si>
  <si>
    <t>Insurance Business Analyst</t>
  </si>
  <si>
    <t>Reporting Specialist Associate</t>
  </si>
  <si>
    <t>Business Associate Analyst</t>
  </si>
  <si>
    <t>Data Business Financial</t>
  </si>
  <si>
    <t>Associate Business Financial</t>
  </si>
  <si>
    <t>Specialist Management Associate</t>
  </si>
  <si>
    <t>Fraud Insurance Analyst</t>
  </si>
  <si>
    <t>Management Associate Financial</t>
  </si>
  <si>
    <t>Analyst Research Insurance</t>
  </si>
  <si>
    <t>Research Data Reporting</t>
  </si>
  <si>
    <t>Data Financial Actuarial</t>
  </si>
  <si>
    <t>Fraud Research Actuarial</t>
  </si>
  <si>
    <t>Specialist Fraud Actuarial</t>
  </si>
  <si>
    <t>Reporting Insurance Analyst</t>
  </si>
  <si>
    <t>Fraud Analyst Actuarial</t>
  </si>
  <si>
    <t>Financial Fraud Management</t>
  </si>
  <si>
    <t>Analyst Data Actuarial</t>
  </si>
  <si>
    <t>Data Financial Analyst</t>
  </si>
  <si>
    <t>Insurance Fraud Data</t>
  </si>
  <si>
    <t>Analyst Research Management</t>
  </si>
  <si>
    <t>Specialist Business Management</t>
  </si>
  <si>
    <t>Insurance Analyst Reporting</t>
  </si>
  <si>
    <t>Business Specialist Fraud</t>
  </si>
  <si>
    <t>Management Financial Data</t>
  </si>
  <si>
    <t>Reporting Business Financial</t>
  </si>
  <si>
    <t>Insurance Analyst Research</t>
  </si>
  <si>
    <t>Management Actuarial Research</t>
  </si>
  <si>
    <t>Specialist Insurance Research</t>
  </si>
  <si>
    <t>Reporting Actuarial Specialist</t>
  </si>
  <si>
    <t>Data Analyst Financial</t>
  </si>
  <si>
    <t>Financial Specialist Fraud</t>
  </si>
  <si>
    <t>Actuarial Associate Fraud</t>
  </si>
  <si>
    <t>Business Insurance Research</t>
  </si>
  <si>
    <t>Actuarial Financial Associate</t>
  </si>
  <si>
    <t>Business Analyst Insurance</t>
  </si>
  <si>
    <t>Fraud Financial Analyst</t>
  </si>
  <si>
    <t>Research Associate Actuarial</t>
  </si>
  <si>
    <t>Business Associate Actuarial</t>
  </si>
  <si>
    <t>Associate Reporting Research</t>
  </si>
  <si>
    <t>Insurance Associate Analyst</t>
  </si>
  <si>
    <t>Research Management Reporting</t>
  </si>
  <si>
    <t>Analyst Fraud Business</t>
  </si>
  <si>
    <t>Specialist Insurance Financial</t>
  </si>
  <si>
    <t>Actuarial Business Insurance</t>
  </si>
  <si>
    <t>Reporting Insurance Research</t>
  </si>
  <si>
    <t>Specialist Management Fraud</t>
  </si>
  <si>
    <t>Analyst Business Management</t>
  </si>
  <si>
    <t>Management Research Business</t>
  </si>
  <si>
    <t>Research Specialist Data</t>
  </si>
  <si>
    <t>Data Specialist Reporting</t>
  </si>
  <si>
    <t>Insurance Research Data</t>
  </si>
  <si>
    <t>Financial Analyst Specialist</t>
  </si>
  <si>
    <t>Associate Specialist Management</t>
  </si>
  <si>
    <t>Specialist Data Research</t>
  </si>
  <si>
    <t>Data Associate Reporting</t>
  </si>
  <si>
    <t>Management Associate Fraud</t>
  </si>
  <si>
    <t>Insurance Management Reporting</t>
  </si>
  <si>
    <t>Analyst Fraud Research</t>
  </si>
  <si>
    <t>Reporting Business Associate</t>
  </si>
  <si>
    <t>Associate Fraud Specialist</t>
  </si>
  <si>
    <t>Research Reporting Actuarial</t>
  </si>
  <si>
    <t>Actuarial Reporting Financial</t>
  </si>
  <si>
    <t>Business Analyst Associate</t>
  </si>
  <si>
    <t>Data Business Fraud</t>
  </si>
  <si>
    <t>Associate Specialist Research</t>
  </si>
  <si>
    <t>Management Analyst Research</t>
  </si>
  <si>
    <t>Data Business Research</t>
  </si>
  <si>
    <t>Fraud Business Research</t>
  </si>
  <si>
    <t>Business Data Actuarial</t>
  </si>
  <si>
    <t>Data Actuarial Management</t>
  </si>
  <si>
    <t>Financial Insurance Analyst</t>
  </si>
  <si>
    <t>Actuarial Business Management</t>
  </si>
  <si>
    <t>Associate Management Actuarial</t>
  </si>
  <si>
    <t>Reporting Business Data</t>
  </si>
  <si>
    <t>Specialist Research Associate</t>
  </si>
  <si>
    <t>Actuarial Associate Financial</t>
  </si>
  <si>
    <t>Analyst Management Reporting</t>
  </si>
  <si>
    <t>Research Data Analyst</t>
  </si>
  <si>
    <t>Financial Data Business</t>
  </si>
  <si>
    <t>Analyst Research Reporting</t>
  </si>
  <si>
    <t>Data Insurance Business</t>
  </si>
  <si>
    <t>Research Insurance Specialist</t>
  </si>
  <si>
    <t>Financial Specialist Data</t>
  </si>
  <si>
    <t>Analyst Insurance Actuarial</t>
  </si>
  <si>
    <t>Insurance Actuarial Business</t>
  </si>
  <si>
    <t>Reporting Research Fraud</t>
  </si>
  <si>
    <t>Management Analyst Financial</t>
  </si>
  <si>
    <t>Data Insurance Reporting</t>
  </si>
  <si>
    <t>Analyst Fraud Management</t>
  </si>
  <si>
    <t>Specialist Reporting Insurance</t>
  </si>
  <si>
    <t>Business Insurance Financial</t>
  </si>
  <si>
    <t>Business Fraud Actuarial</t>
  </si>
  <si>
    <t>Business Management Fraud</t>
  </si>
  <si>
    <t>Business Actuarial Research</t>
  </si>
  <si>
    <t>Specialist Fraud Analyst</t>
  </si>
  <si>
    <t>Insurance Business Fraud</t>
  </si>
  <si>
    <t>Data Reporting Financial</t>
  </si>
  <si>
    <t>Data Specialist Fraud</t>
  </si>
  <si>
    <t>Insurance Analyst Specialist</t>
  </si>
  <si>
    <t>Insurance Analyst Business</t>
  </si>
  <si>
    <t>Research Actuarial Specialist</t>
  </si>
  <si>
    <t>Reporting Analyst Insurance</t>
  </si>
  <si>
    <t>Specialist Actuarial Analyst</t>
  </si>
  <si>
    <t>Research Insurance Business</t>
  </si>
  <si>
    <t>Fraud Insurance Reporting</t>
  </si>
  <si>
    <t>Fraud Research Analyst</t>
  </si>
  <si>
    <t>Actuarial Fraud Financial</t>
  </si>
  <si>
    <t>Data Business Reporting</t>
  </si>
  <si>
    <t>Insurance Analyst Financial</t>
  </si>
  <si>
    <t>Specialist Financial Actuarial</t>
  </si>
  <si>
    <t>Actuarial Analyst Insurance</t>
  </si>
  <si>
    <t>Insurance Actuarial Reporting</t>
  </si>
  <si>
    <t>Management Reporting Analyst</t>
  </si>
  <si>
    <t>Associate Management Business</t>
  </si>
  <si>
    <t>Fraud Management Specialist</t>
  </si>
  <si>
    <t>Associate Research Management</t>
  </si>
  <si>
    <t>Associate Business Specialist</t>
  </si>
  <si>
    <t>Insurance Data Management</t>
  </si>
  <si>
    <t>Data Actuarial Business</t>
  </si>
  <si>
    <t>Analyst Specialist Research</t>
  </si>
  <si>
    <t>Management Reporting Data</t>
  </si>
  <si>
    <t>Data Associate Analyst</t>
  </si>
  <si>
    <t>Associate Actuarial Research</t>
  </si>
  <si>
    <t>Research Associate Management</t>
  </si>
  <si>
    <t>Business Associate Insurance</t>
  </si>
  <si>
    <t>Associate Actuarial Insurance</t>
  </si>
  <si>
    <t>Research Data Insurance</t>
  </si>
  <si>
    <t>Analyst Specialist Management</t>
  </si>
  <si>
    <t>Actuarial Data Management</t>
  </si>
  <si>
    <t>Specialist Management Research</t>
  </si>
  <si>
    <t>Actuarial Associate Specialist</t>
  </si>
  <si>
    <t>Data Fraud Associate</t>
  </si>
  <si>
    <t>Actuarial Analyst Business</t>
  </si>
  <si>
    <t>Insurance Data Business</t>
  </si>
  <si>
    <t>Reporting Specialist Insurance</t>
  </si>
  <si>
    <t>Data Associate Insurance</t>
  </si>
  <si>
    <t>Associate Data Actuarial</t>
  </si>
  <si>
    <t>Management Financial Business</t>
  </si>
  <si>
    <t>Actuarial Analyst Financial</t>
  </si>
  <si>
    <t>Research Management Financial</t>
  </si>
  <si>
    <t>Management Reporting Financial</t>
  </si>
  <si>
    <t>Insurance Specialist Reporting</t>
  </si>
  <si>
    <t>Business Analyst Specialist</t>
  </si>
  <si>
    <t>Financial Research Reporting</t>
  </si>
  <si>
    <t>Fraud Insurance Management</t>
  </si>
  <si>
    <t>Business Fraud Analyst</t>
  </si>
  <si>
    <t>Management Associate Reporting</t>
  </si>
  <si>
    <t>Fraud Management Data</t>
  </si>
  <si>
    <t>Financial Data Specialist</t>
  </si>
  <si>
    <t>Management Fraud Specialist</t>
  </si>
  <si>
    <t>Analyst Research Business</t>
  </si>
  <si>
    <t>Research Actuarial Data</t>
  </si>
  <si>
    <t>Specialist Business Financial</t>
  </si>
  <si>
    <t>Research Analyst Specialist</t>
  </si>
  <si>
    <t>Associate Research Business</t>
  </si>
  <si>
    <t>Associate Analyst Actuarial</t>
  </si>
  <si>
    <t>Research Actuarial Management</t>
  </si>
  <si>
    <t>Actuarial Financial Research</t>
  </si>
  <si>
    <t>Fraud Associate Analyst</t>
  </si>
  <si>
    <t>Insurance Fraud Analyst</t>
  </si>
  <si>
    <t>Analyst Actuarial Management</t>
  </si>
  <si>
    <t>Data Fraud Management</t>
  </si>
  <si>
    <t>Business Data Insurance</t>
  </si>
  <si>
    <t>Actuarial Financial Analyst</t>
  </si>
  <si>
    <t>Business Reporting Fraud</t>
  </si>
  <si>
    <t>Management Analyst Associate</t>
  </si>
  <si>
    <t>Fraud Financial Insurance</t>
  </si>
  <si>
    <t>Associate Business Fraud</t>
  </si>
  <si>
    <t>Reporting Associate Analyst</t>
  </si>
  <si>
    <t>Data Financial Business</t>
  </si>
  <si>
    <t>Management Actuarial Specialist</t>
  </si>
  <si>
    <t>Business Research Analyst</t>
  </si>
  <si>
    <t>Management Data Analyst</t>
  </si>
  <si>
    <t>Research Reporting Business</t>
  </si>
  <si>
    <t>Business Financial Data</t>
  </si>
  <si>
    <t>Business Actuarial Specialist</t>
  </si>
  <si>
    <t>Analyst Fraud Actuarial</t>
  </si>
  <si>
    <t>Management Business Reporting</t>
  </si>
  <si>
    <t>Specialist Analyst Insurance</t>
  </si>
  <si>
    <t>Actuarial Management Insurance</t>
  </si>
  <si>
    <t>Research Data Business</t>
  </si>
  <si>
    <t>Specialist Data Business</t>
  </si>
  <si>
    <t>Associate Research Insurance</t>
  </si>
  <si>
    <t>Reporting Management Business</t>
  </si>
  <si>
    <t>Associate Data Fraud</t>
  </si>
  <si>
    <t>Fraud Business Reporting</t>
  </si>
  <si>
    <t>Financial Insurance Research</t>
  </si>
  <si>
    <t>Analyst Financial Research</t>
  </si>
  <si>
    <t>Fraud Financial Research</t>
  </si>
  <si>
    <t>Business Financial Actuarial</t>
  </si>
  <si>
    <t>Financial Specialist Management</t>
  </si>
  <si>
    <t>Financial Data Insurance</t>
  </si>
  <si>
    <t>Unique job title permutations:</t>
  </si>
  <si>
    <t>Research Management Analyst</t>
  </si>
  <si>
    <t>Management Research Analyst</t>
  </si>
  <si>
    <t>Associate Pricing Financial</t>
  </si>
  <si>
    <t>Pricing Reporting Business</t>
  </si>
  <si>
    <t>Associate Financial Risk</t>
  </si>
  <si>
    <t>Fraud Research Project</t>
  </si>
  <si>
    <t>Insurance Pricing Specialist</t>
  </si>
  <si>
    <t>Research Risk Business</t>
  </si>
  <si>
    <t>Pricing Underwriter Analyst</t>
  </si>
  <si>
    <t>Underwriter Associate Pricing</t>
  </si>
  <si>
    <t>Research Management Underwriter</t>
  </si>
  <si>
    <t>Pricing Actuarial Data</t>
  </si>
  <si>
    <t>Data Underwriter Management</t>
  </si>
  <si>
    <t>Project Insurance Actuarial</t>
  </si>
  <si>
    <t>Reporting Pricing Management</t>
  </si>
  <si>
    <t>Risk Fraud Insurance</t>
  </si>
  <si>
    <t>Associate Data Risk</t>
  </si>
  <si>
    <t>Project Reporting Analyst</t>
  </si>
  <si>
    <t>Research Insurance Project</t>
  </si>
  <si>
    <t>Business Reporting Risk</t>
  </si>
  <si>
    <t>Project Actuarial Insurance</t>
  </si>
  <si>
    <t>Risk Management Financial</t>
  </si>
  <si>
    <t>Data Project Specialist</t>
  </si>
  <si>
    <t>Underwriter Pricing Reporting</t>
  </si>
  <si>
    <t>Associate Underwriter Reporting</t>
  </si>
  <si>
    <t>Risk Data Pricing</t>
  </si>
  <si>
    <t>Associate Underwriter Business</t>
  </si>
  <si>
    <t>Reporting Underwriter Risk</t>
  </si>
  <si>
    <t>Actuarial Specialist Risk</t>
  </si>
  <si>
    <t>Data Pricing Underwriter</t>
  </si>
  <si>
    <t>Management Fraud Pricing</t>
  </si>
  <si>
    <t>Fraud Underwriter Research</t>
  </si>
  <si>
    <t>Risk Specialist Reporting</t>
  </si>
  <si>
    <t>Reporting Project Data</t>
  </si>
  <si>
    <t>Associate Pricing Project</t>
  </si>
  <si>
    <t>Project Risk Specialist</t>
  </si>
  <si>
    <t>Analyst Risk Management</t>
  </si>
  <si>
    <t>Associate Underwriter Fraud</t>
  </si>
  <si>
    <t>Pricing Actuarial Business</t>
  </si>
  <si>
    <t>Actuarial Fraud Pricing</t>
  </si>
  <si>
    <t>Management Reporting Risk</t>
  </si>
  <si>
    <t>Associate Data Pricing</t>
  </si>
  <si>
    <t>Data Risk Associate</t>
  </si>
  <si>
    <t>Fraud Specialist Underwriter</t>
  </si>
  <si>
    <t>Analyst Pricing Actuarial</t>
  </si>
  <si>
    <t>Project Pricing Research</t>
  </si>
  <si>
    <t>Risk Data Insurance</t>
  </si>
  <si>
    <t>Pricing Data Associate</t>
  </si>
  <si>
    <t>Underwriter Fraud Management</t>
  </si>
  <si>
    <t>Research Risk Underwriter</t>
  </si>
  <si>
    <t>Risk Reporting Associate</t>
  </si>
  <si>
    <t>Specialist Actuarial Pricing</t>
  </si>
  <si>
    <t>Fraud Pricing Reporting</t>
  </si>
  <si>
    <t>Risk Research Business</t>
  </si>
  <si>
    <t>Pricing Insurance Management</t>
  </si>
  <si>
    <t>Management Risk Research</t>
  </si>
  <si>
    <t>Project Risk Reporting</t>
  </si>
  <si>
    <t>Associate Pricing Research</t>
  </si>
  <si>
    <t>Risk Data Research</t>
  </si>
  <si>
    <t>Risk Research Pricing</t>
  </si>
  <si>
    <t>Insurance Pricing Management</t>
  </si>
  <si>
    <t>Pricing Data Research</t>
  </si>
  <si>
    <t>Specialist Reporting Underwriter</t>
  </si>
  <si>
    <t>Risk Pricing Insurance</t>
  </si>
  <si>
    <t>Management Pricing Risk</t>
  </si>
  <si>
    <t>Research Business Risk</t>
  </si>
  <si>
    <t>Pricing Financial Underwriter</t>
  </si>
  <si>
    <t>Specialist Risk Associate</t>
  </si>
  <si>
    <t>Project Research Specialist</t>
  </si>
  <si>
    <t>Research Risk Pricing</t>
  </si>
  <si>
    <t>Pricing Insurance Actuarial</t>
  </si>
  <si>
    <t>Actuarial Business Underwriter</t>
  </si>
  <si>
    <t>Pricing Management Specialist</t>
  </si>
  <si>
    <t>Financial Actuarial Pricing</t>
  </si>
  <si>
    <t>Reporting Fraud Project</t>
  </si>
  <si>
    <t>Pricing Actuarial Project</t>
  </si>
  <si>
    <t>Financial Pricing Project</t>
  </si>
  <si>
    <t>Pricing Fraud Business</t>
  </si>
  <si>
    <t>Underwriter Pricing Specialist</t>
  </si>
  <si>
    <t>Risk Actuarial Fraud</t>
  </si>
  <si>
    <t>Pricing Research Business</t>
  </si>
  <si>
    <t>Management Project Risk</t>
  </si>
  <si>
    <t>Data Underwriter Business</t>
  </si>
  <si>
    <t>Project Data Associate</t>
  </si>
  <si>
    <t>Management Pricing Underwriter</t>
  </si>
  <si>
    <t>Fraud Risk Associate</t>
  </si>
  <si>
    <t>Project Risk Analyst</t>
  </si>
  <si>
    <t>Analyst Risk Reporting</t>
  </si>
  <si>
    <t>Actuarial Research Project</t>
  </si>
  <si>
    <t>Underwriter Fraud Specialist</t>
  </si>
  <si>
    <t>Associate Risk Fraud</t>
  </si>
  <si>
    <t>Associate Project Analyst</t>
  </si>
  <si>
    <t>Actuarial Insurance Project</t>
  </si>
  <si>
    <t>Data Reporting Project</t>
  </si>
  <si>
    <t>Actuarial Pricing Management</t>
  </si>
  <si>
    <t>Pricing Actuarial Management</t>
  </si>
  <si>
    <t>Underwriter Risk Associate</t>
  </si>
  <si>
    <t>Business Analyst Underwriter</t>
  </si>
  <si>
    <t>Project Associate Analyst</t>
  </si>
  <si>
    <t>Analyst Pricing Specialist</t>
  </si>
  <si>
    <t>Actuarial Financial Underwriter</t>
  </si>
  <si>
    <t>Actuarial Research Underwriter</t>
  </si>
  <si>
    <t>Specialist Underwriter Insurance</t>
  </si>
  <si>
    <t>Specialist Actuarial Underwriter</t>
  </si>
  <si>
    <t>Pricing Project Financial</t>
  </si>
  <si>
    <t>Analyst Associate Project</t>
  </si>
  <si>
    <t>Project Data Management</t>
  </si>
  <si>
    <t>Pricing Financial Associate</t>
  </si>
  <si>
    <t>Data Insurance Underwriter</t>
  </si>
  <si>
    <t>Financial Pricing Risk</t>
  </si>
  <si>
    <t>Management Research Risk</t>
  </si>
  <si>
    <t>Underwriter Management Business</t>
  </si>
  <si>
    <t>Business Pricing Research</t>
  </si>
  <si>
    <t>Underwriter Risk Pricing</t>
  </si>
  <si>
    <t>Business Project Insurance</t>
  </si>
  <si>
    <t>Project Actuarial Reporting</t>
  </si>
  <si>
    <t>Project Financial Research</t>
  </si>
  <si>
    <t>Analyst Risk Research</t>
  </si>
  <si>
    <t>Business Pricing Analyst</t>
  </si>
  <si>
    <t>Risk Reporting Research</t>
  </si>
  <si>
    <t>Actuarial Data Risk</t>
  </si>
  <si>
    <t>Fraud Underwriter Business</t>
  </si>
  <si>
    <t>Underwriter Actuarial Financial</t>
  </si>
  <si>
    <t>Pricing Insurance Business</t>
  </si>
  <si>
    <t>Pricing Risk Insurance</t>
  </si>
  <si>
    <t>Underwriter Management Risk</t>
  </si>
  <si>
    <t>Management Pricing Specialist</t>
  </si>
  <si>
    <t>Pricing Specialist Risk</t>
  </si>
  <si>
    <t>Underwriter Data Financial</t>
  </si>
  <si>
    <t>Fraud Underwriter Associate</t>
  </si>
  <si>
    <t>Project Specialist Fraud</t>
  </si>
  <si>
    <t>Data Fraud Project</t>
  </si>
  <si>
    <t>Pricing Specialist Financial</t>
  </si>
  <si>
    <t>Reporting Risk Associate</t>
  </si>
  <si>
    <t>Associate Project Underwriter</t>
  </si>
  <si>
    <t>Insurance Pricing Underwriter</t>
  </si>
  <si>
    <t>Reporting Risk Management</t>
  </si>
  <si>
    <t>Pricing Associate Actuarial</t>
  </si>
  <si>
    <t>Risk Research Management</t>
  </si>
  <si>
    <t>Financial Insurance Pricing</t>
  </si>
  <si>
    <t>Specialist Risk Reporting</t>
  </si>
  <si>
    <t>Analyst Management Underwriter</t>
  </si>
  <si>
    <t>Specialist Pricing Reporting</t>
  </si>
  <si>
    <t>Associate Analyst Pricing</t>
  </si>
  <si>
    <t>Pricing Business Financial</t>
  </si>
  <si>
    <t>Business Project Reporting</t>
  </si>
  <si>
    <t>Management Fraud Risk</t>
  </si>
  <si>
    <t>Specialist Risk Management</t>
  </si>
  <si>
    <t>Data Pricing Reporting</t>
  </si>
  <si>
    <t>Risk Data Reporting</t>
  </si>
  <si>
    <t>Financial Pricing Specialist</t>
  </si>
  <si>
    <t>Insurance Financial Underwriter</t>
  </si>
  <si>
    <t>Business Project Associate</t>
  </si>
  <si>
    <t>Specialist Management Project</t>
  </si>
  <si>
    <t>Data Risk Actuarial</t>
  </si>
  <si>
    <t>Pricing Data Analyst</t>
  </si>
  <si>
    <t>Business Insurance Underwriter</t>
  </si>
  <si>
    <t>Pricing Management Project</t>
  </si>
  <si>
    <t>Project Analyst Underwriter</t>
  </si>
  <si>
    <t>Reporting Pricing Fraud</t>
  </si>
  <si>
    <t>Research Pricing Data</t>
  </si>
  <si>
    <t>Pricing Project Analyst</t>
  </si>
  <si>
    <t>Risk Insurance Analyst</t>
  </si>
  <si>
    <t>Risk Specialist Research</t>
  </si>
  <si>
    <t>Underwriter Data Business</t>
  </si>
  <si>
    <t>Analyst Pricing Data</t>
  </si>
  <si>
    <t>Project Research Reporting</t>
  </si>
  <si>
    <t>Management Underwriter Insurance</t>
  </si>
  <si>
    <t>Business Project Analyst</t>
  </si>
  <si>
    <t>Actuarial Pricing Specialist</t>
  </si>
  <si>
    <t>Project Reporting Management</t>
  </si>
  <si>
    <t>Financial Project Specialist</t>
  </si>
  <si>
    <t>Risk Research Analyst</t>
  </si>
  <si>
    <t>Risk Analyst Underwriter</t>
  </si>
  <si>
    <t>Fraud Business Pricing</t>
  </si>
  <si>
    <t>Pricing Management Financial</t>
  </si>
  <si>
    <t>Risk Specialist Insurance</t>
  </si>
  <si>
    <t>Pricing Actuarial Analyst</t>
  </si>
  <si>
    <t>Underwriter Management Data</t>
  </si>
  <si>
    <t>Pricing Insurance Data</t>
  </si>
  <si>
    <t>Specialist Risk Research</t>
  </si>
  <si>
    <t>Analyst Actuarial Underwriter</t>
  </si>
  <si>
    <t>Underwriter Insurance Financial</t>
  </si>
  <si>
    <t>Pricing Underwriter Risk</t>
  </si>
  <si>
    <t>Risk Management Business</t>
  </si>
  <si>
    <t>Project Reporting Business</t>
  </si>
  <si>
    <t>Specialist Pricing Project</t>
  </si>
  <si>
    <t>Specialist Underwriter Fraud</t>
  </si>
  <si>
    <t>Pricing Research Data</t>
  </si>
  <si>
    <t>Analyst Risk Underwriter</t>
  </si>
  <si>
    <t>Insurance Management Risk</t>
  </si>
  <si>
    <t>Insurance Specialist Project</t>
  </si>
  <si>
    <t>Analyst Actuarial Risk</t>
  </si>
  <si>
    <t>Research Project Financial</t>
  </si>
  <si>
    <t>Insurance Risk Pricing</t>
  </si>
  <si>
    <t>Risk Pricing Actuarial</t>
  </si>
  <si>
    <t>Insurance Project Pricing</t>
  </si>
  <si>
    <t>Risk Actuarial Research</t>
  </si>
  <si>
    <t>Management Actuarial Pricing</t>
  </si>
  <si>
    <t>Business Financial Underwriter</t>
  </si>
  <si>
    <t>Pricing Underwriter Data</t>
  </si>
  <si>
    <t>Reporting Fraud Risk</t>
  </si>
  <si>
    <t>Underwriter Fraud Project</t>
  </si>
  <si>
    <t>Project Risk Underwriter</t>
  </si>
  <si>
    <t>Pricing Insurance Specialist</t>
  </si>
  <si>
    <t>Actuarial Reporting Risk</t>
  </si>
  <si>
    <t>Reporting Financial Underwriter</t>
  </si>
  <si>
    <t>Financial Underwriter Insurance</t>
  </si>
  <si>
    <t>Reporting Business Risk</t>
  </si>
  <si>
    <t>Risk Underwriter Pricing</t>
  </si>
  <si>
    <t>Research Pricing Reporting</t>
  </si>
  <si>
    <t>Management Analyst Pricing</t>
  </si>
  <si>
    <t>Risk Research Associate</t>
  </si>
  <si>
    <t>Analyst Reporting Project</t>
  </si>
  <si>
    <t>Analyst Project Pricing</t>
  </si>
  <si>
    <t>Research Underwriter Business</t>
  </si>
  <si>
    <t>Research Management Project</t>
  </si>
  <si>
    <t>Risk Financial Project</t>
  </si>
  <si>
    <t>Pricing Data Specialist</t>
  </si>
  <si>
    <t>Risk Financial Research</t>
  </si>
  <si>
    <t>Underwriter Data Actuarial</t>
  </si>
  <si>
    <t>Risk Insurance Underwriter</t>
  </si>
  <si>
    <t>Pricing Data Actuarial</t>
  </si>
  <si>
    <t>Underwriter Business Specialist</t>
  </si>
  <si>
    <t>Pricing Financial Fraud</t>
  </si>
  <si>
    <t>Research Pricing Financial</t>
  </si>
  <si>
    <t>Fraud Underwriter Pricing</t>
  </si>
  <si>
    <t>Underwriter Business Risk</t>
  </si>
  <si>
    <t>Actuarial Pricing Financial</t>
  </si>
  <si>
    <t>Data Pricing Project</t>
  </si>
  <si>
    <t>Financial Pricing Insurance</t>
  </si>
  <si>
    <t>Actuarial Management Project</t>
  </si>
  <si>
    <t>Pricing Business Management</t>
  </si>
  <si>
    <t>Business Pricing Insurance</t>
  </si>
  <si>
    <t>Risk Data Actuarial</t>
  </si>
  <si>
    <t>Management Project Business</t>
  </si>
  <si>
    <t>Associate Underwriter Pricing</t>
  </si>
  <si>
    <t>Associate Management Underwriter</t>
  </si>
  <si>
    <t>Financial Risk Data</t>
  </si>
  <si>
    <t>Pricing Business Associate</t>
  </si>
  <si>
    <t>Project Pricing Risk</t>
  </si>
  <si>
    <t>Risk Associate Pricing</t>
  </si>
  <si>
    <t>Research Reporting Risk</t>
  </si>
  <si>
    <t>Pricing Risk Specialist</t>
  </si>
  <si>
    <t>Insurance Underwriter Data</t>
  </si>
  <si>
    <t>Analyst Project Research</t>
  </si>
  <si>
    <t>Underwriter Fraud Business</t>
  </si>
  <si>
    <t>Research Specialist Underwriter</t>
  </si>
  <si>
    <t>Underwriter Specialist Insurance</t>
  </si>
  <si>
    <t>Underwriter Project Business</t>
  </si>
  <si>
    <t>Risk Insurance Reporting</t>
  </si>
  <si>
    <t>Actuarial Project Fraud</t>
  </si>
  <si>
    <t>Business Data Risk</t>
  </si>
  <si>
    <t>Management Underwriter Project</t>
  </si>
  <si>
    <t>Risk Fraud Management</t>
  </si>
  <si>
    <t>Underwriter Risk Management</t>
  </si>
  <si>
    <t>Project Associate Data</t>
  </si>
  <si>
    <t>Actuarial Risk Financial</t>
  </si>
  <si>
    <t>Risk Data Financial</t>
  </si>
  <si>
    <t>Data Financial Pricing</t>
  </si>
  <si>
    <t>Specialist Fraud Project</t>
  </si>
  <si>
    <t>Financial Pricing Actuarial</t>
  </si>
  <si>
    <t>Actuarial Project Associate</t>
  </si>
  <si>
    <t>Financial Risk Specialist</t>
  </si>
  <si>
    <t>Research Financial Underwriter</t>
  </si>
  <si>
    <t>Insurance Research Project</t>
  </si>
  <si>
    <t>Analyst Project Underwriter</t>
  </si>
  <si>
    <t>Project Financial Insurance</t>
  </si>
  <si>
    <t>Project Fraud Risk</t>
  </si>
  <si>
    <t>Risk Analyst Business</t>
  </si>
  <si>
    <t>Underwriter Management Research</t>
  </si>
  <si>
    <t>Fraud Data Project</t>
  </si>
  <si>
    <t>Pricing Data Insurance</t>
  </si>
  <si>
    <t>Management Actuarial Project</t>
  </si>
  <si>
    <t>Analyst Risk Associate</t>
  </si>
  <si>
    <t>Project Fraud Data</t>
  </si>
  <si>
    <t>Insurance Data Underwriter</t>
  </si>
  <si>
    <t>Research Data Project</t>
  </si>
  <si>
    <t>Associate Project Risk</t>
  </si>
  <si>
    <t>Management Financial Project</t>
  </si>
  <si>
    <t>Analyst Pricing Underwriter</t>
  </si>
  <si>
    <t>Reporting Pricing Analyst</t>
  </si>
  <si>
    <t>Pricing Project Insurance</t>
  </si>
  <si>
    <t>Management Data Project</t>
  </si>
  <si>
    <t>Reporting Underwriter Research</t>
  </si>
  <si>
    <t>Data Actuarial Pricing</t>
  </si>
  <si>
    <t>Project Data Financial</t>
  </si>
  <si>
    <t>Project Fraud Analyst</t>
  </si>
  <si>
    <t>Analyst Data Underwriter</t>
  </si>
  <si>
    <t>Specialist Risk Pricing</t>
  </si>
  <si>
    <t>Specialist Insurance Project</t>
  </si>
  <si>
    <t>Project Management Data</t>
  </si>
  <si>
    <t>Project Data Pricing</t>
  </si>
  <si>
    <t>Management Specialist Risk</t>
  </si>
  <si>
    <t>Management Pricing Business</t>
  </si>
  <si>
    <t>Reporting Specialist Risk</t>
  </si>
  <si>
    <t>Business Financial Project</t>
  </si>
  <si>
    <t>Analyst Pricing Research</t>
  </si>
  <si>
    <t>Research Specialist Pricing</t>
  </si>
  <si>
    <t>Risk Underwriter Specialist</t>
  </si>
  <si>
    <t>Insurance Associate Underwriter</t>
  </si>
  <si>
    <t>Fraud Underwriter Insurance</t>
  </si>
  <si>
    <t>Management Project Underwriter</t>
  </si>
  <si>
    <t>Underwriter Project Actuarial</t>
  </si>
  <si>
    <t>Risk Insurance Pricing</t>
  </si>
  <si>
    <t>Reporting Underwriter Associate</t>
  </si>
  <si>
    <t>Project Reporting Fraud</t>
  </si>
  <si>
    <t>Underwriter Financial Associate</t>
  </si>
  <si>
    <t>Associate Business Project</t>
  </si>
  <si>
    <t>Risk Insurance Project</t>
  </si>
  <si>
    <t>Underwriter Analyst Specialist</t>
  </si>
  <si>
    <t>Fraud Analyst Underwriter</t>
  </si>
  <si>
    <t>Analyst Underwriter Associate</t>
  </si>
  <si>
    <t>Pricing Insurance Project</t>
  </si>
  <si>
    <t>Management Business Underwriter</t>
  </si>
  <si>
    <t>Project Underwriter Research</t>
  </si>
  <si>
    <t>Business Project Underwriter</t>
  </si>
  <si>
    <t>Underwriter Actuarial Business</t>
  </si>
  <si>
    <t>Specialist Project Business</t>
  </si>
  <si>
    <t>Pricing Actuarial Risk</t>
  </si>
  <si>
    <t>Reporting Pricing Project</t>
  </si>
  <si>
    <t>Reporting Data Underwriter</t>
  </si>
  <si>
    <t>Management Risk Reporting</t>
  </si>
  <si>
    <t>Pricing Reporting Actuarial</t>
  </si>
  <si>
    <t>Pricing Analyst Data</t>
  </si>
  <si>
    <t>Business Underwriter Management</t>
  </si>
  <si>
    <t>Project Underwriter Associate</t>
  </si>
  <si>
    <t>Project Insurance Data</t>
  </si>
  <si>
    <t>Project Research Data</t>
  </si>
  <si>
    <t>Underwriter Actuarial Insurance</t>
  </si>
  <si>
    <t>Financial Business Pricing</t>
  </si>
  <si>
    <t>Underwriter Research Analyst</t>
  </si>
  <si>
    <t>Financial Project Management</t>
  </si>
  <si>
    <t>Risk Underwriter Associate</t>
  </si>
  <si>
    <t>Pricing Specialist Underwriter</t>
  </si>
  <si>
    <t>Risk Reporting Fraud</t>
  </si>
  <si>
    <t>Pricing Underwriter Actuarial</t>
  </si>
  <si>
    <t>Risk Project Specialist</t>
  </si>
  <si>
    <t>Business Project Risk</t>
  </si>
  <si>
    <t>Project Associate Specialist</t>
  </si>
  <si>
    <t>Risk Fraud Analyst</t>
  </si>
  <si>
    <t>Actuarial Financial Risk</t>
  </si>
  <si>
    <t>Actuarial Risk Data</t>
  </si>
  <si>
    <t>Risk Business Data</t>
  </si>
  <si>
    <t>Actuarial Project Specialist</t>
  </si>
  <si>
    <t>Analyst Underwriter Financial</t>
  </si>
  <si>
    <t>Actuarial Reporting Pricing</t>
  </si>
  <si>
    <t>Data Project Pricing</t>
  </si>
  <si>
    <t>Project Insurance Reporting</t>
  </si>
  <si>
    <t>Business Insurance Risk</t>
  </si>
  <si>
    <t>Research Underwriter Specialist</t>
  </si>
  <si>
    <t>Research Data Underwriter</t>
  </si>
  <si>
    <t>Data Underwriter Reporting</t>
  </si>
  <si>
    <t>Reporting Management Pricing</t>
  </si>
  <si>
    <t>Reporting Project Actuarial</t>
  </si>
  <si>
    <t>Research Insurance Underwriter</t>
  </si>
  <si>
    <t>Risk Analyst Data</t>
  </si>
  <si>
    <t>Pricing Fraud Data</t>
  </si>
  <si>
    <t>Management Reporting Project</t>
  </si>
  <si>
    <t>Pricing Reporting Financial</t>
  </si>
  <si>
    <t>Business Risk Reporting</t>
  </si>
  <si>
    <t>Research Underwriter Data</t>
  </si>
  <si>
    <t>Risk Associate Financial</t>
  </si>
  <si>
    <t>Research Pricing Underwriter</t>
  </si>
  <si>
    <t>Insurance Pricing Fraud</t>
  </si>
  <si>
    <t>Analyst Underwriter Project</t>
  </si>
  <si>
    <t>Analyst Management Risk</t>
  </si>
  <si>
    <t>Pricing Project Risk</t>
  </si>
  <si>
    <t>Underwriter Risk Reporting</t>
  </si>
  <si>
    <t>Research Associate Project</t>
  </si>
  <si>
    <t>Data Pricing Associate</t>
  </si>
  <si>
    <t>Underwriter Data Insurance</t>
  </si>
  <si>
    <t>Associate Project Reporting</t>
  </si>
  <si>
    <t>Specialist Pricing Analyst</t>
  </si>
  <si>
    <t>Underwriter Insurance Pricing</t>
  </si>
  <si>
    <t>Specialist Associate Project</t>
  </si>
  <si>
    <t>Pricing Actuarial Financial</t>
  </si>
  <si>
    <t>Research Financial Pricing</t>
  </si>
  <si>
    <t>Reporting Risk Analyst</t>
  </si>
  <si>
    <t>Management Underwriter Associate</t>
  </si>
  <si>
    <t>Associate Pricing Management</t>
  </si>
  <si>
    <t>Risk Specialist Analyst</t>
  </si>
  <si>
    <t>Management Data Underwriter</t>
  </si>
  <si>
    <t>Reporting Pricing Underwriter</t>
  </si>
  <si>
    <t>Fraud Business Risk</t>
  </si>
  <si>
    <t>Project Risk Associate</t>
  </si>
  <si>
    <t>Pricing Underwriter Insurance</t>
  </si>
  <si>
    <t>Project Business Fraud</t>
  </si>
  <si>
    <t>Risk Associate Project</t>
  </si>
  <si>
    <t>Project Underwriter Financial</t>
  </si>
  <si>
    <t>Analyst Project Reporting</t>
  </si>
  <si>
    <t>Insurance Management Underwriter</t>
  </si>
  <si>
    <t>Management Risk Data</t>
  </si>
  <si>
    <t>Pricing Analyst Risk</t>
  </si>
  <si>
    <t>Pricing Underwriter Business</t>
  </si>
  <si>
    <t>Analyst Underwriter Actuarial</t>
  </si>
  <si>
    <t>Underwriter Specialist Risk</t>
  </si>
  <si>
    <t>Reporting Pricing Data</t>
  </si>
  <si>
    <t>Underwriter Fraud Data</t>
  </si>
  <si>
    <t>Data Project Analyst</t>
  </si>
  <si>
    <t>Research Insurance Pricing</t>
  </si>
  <si>
    <t>Financial Risk Management</t>
  </si>
  <si>
    <t>Pricing Associate Specialist</t>
  </si>
  <si>
    <t>Risk Associate Analyst</t>
  </si>
  <si>
    <t>Project Pricing Actuarial</t>
  </si>
  <si>
    <t>Associate Actuarial Risk</t>
  </si>
  <si>
    <t>Specialist Underwriter Associate</t>
  </si>
  <si>
    <t>Fraud Project Financial</t>
  </si>
  <si>
    <t>Financial Risk Associate</t>
  </si>
  <si>
    <t>Project Fraud Specialist</t>
  </si>
  <si>
    <t>Specialist Research Underwriter</t>
  </si>
  <si>
    <t>Risk Specialist Fraud</t>
  </si>
  <si>
    <t>Specialist Research Pricing</t>
  </si>
  <si>
    <t>Risk Specialist Business</t>
  </si>
  <si>
    <t>Pricing Risk Underwriter</t>
  </si>
  <si>
    <t>Pricing Financial Project</t>
  </si>
  <si>
    <t>Pricing Actuarial Reporting</t>
  </si>
  <si>
    <t>Management Pricing Analyst</t>
  </si>
  <si>
    <t>Project Specialist Analyst</t>
  </si>
  <si>
    <t>Business Underwriter Associate</t>
  </si>
  <si>
    <t>Management Pricing Associate</t>
  </si>
  <si>
    <t>Pricing Management Actuarial</t>
  </si>
  <si>
    <t>Analyst Underwriter Specialist</t>
  </si>
  <si>
    <t>Data Risk Fraud</t>
  </si>
  <si>
    <t>Risk Associate Insurance</t>
  </si>
  <si>
    <t>Associate Risk Reporting</t>
  </si>
  <si>
    <t>Data Management Underwriter</t>
  </si>
  <si>
    <t>Actuarial Risk Business</t>
  </si>
  <si>
    <t>Pricing Specialist Management</t>
  </si>
  <si>
    <t>Underwriter Fraud Financial</t>
  </si>
  <si>
    <t>Risk Data Analyst</t>
  </si>
  <si>
    <t>Risk Underwriter Reporting</t>
  </si>
  <si>
    <t>Financial Pricing Reporting</t>
  </si>
  <si>
    <t>Underwriter Data Associate</t>
  </si>
  <si>
    <t>Pricing Management Research</t>
  </si>
  <si>
    <t>Actuarial Underwriter Risk</t>
  </si>
  <si>
    <t>Business Pricing Data</t>
  </si>
  <si>
    <t>Analyst Associate Pricing</t>
  </si>
  <si>
    <t>Underwriter Financial Management</t>
  </si>
  <si>
    <t>Underwriter Project Insurance</t>
  </si>
  <si>
    <t>Financial Specialist Pricing</t>
  </si>
  <si>
    <t>Research Analyst Risk</t>
  </si>
  <si>
    <t>Fraud Underwriter Financial</t>
  </si>
  <si>
    <t>Data Financial Underwriter</t>
  </si>
  <si>
    <t>Research Underwriter Fraud</t>
  </si>
  <si>
    <t>Management Pricing Project</t>
  </si>
  <si>
    <t>Management Pricing Fraud</t>
  </si>
  <si>
    <t>Insurance Business Project</t>
  </si>
  <si>
    <t>Risk Financial Business</t>
  </si>
  <si>
    <t>Insurance Management Pricing</t>
  </si>
  <si>
    <t>Data Project Underwriter</t>
  </si>
  <si>
    <t>Risk Fraud Actuarial</t>
  </si>
  <si>
    <t>Pricing Risk Fraud</t>
  </si>
  <si>
    <t>Risk Fraud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</si>
</sst>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s>
  <fills count="3">
    <fill>
      <patternFill patternType="none"/>
    </fill>
    <fill>
      <patternFill patternType="gray125"/>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0" fillId="0" borderId="0" xfId="0" quotePrefix="1"/>
    <xf numFmtId="0" fontId="2" fillId="0" borderId="0" xfId="0" applyFont="1"/>
    <xf numFmtId="0" fontId="0" fillId="0" borderId="0" xfId="0" applyAlignment="1">
      <alignment horizontal="left"/>
    </xf>
    <xf numFmtId="164" fontId="0" fillId="0" borderId="0" xfId="1" applyNumberFormat="1" applyFont="1"/>
    <xf numFmtId="0" fontId="0" fillId="0" borderId="0" xfId="0" applyAlignment="1">
      <alignment horizontal="center"/>
    </xf>
    <xf numFmtId="0" fontId="0" fillId="0" borderId="0" xfId="0" pivotButton="1"/>
    <xf numFmtId="0" fontId="0" fillId="0" borderId="0" xfId="0" applyNumberFormat="1"/>
    <xf numFmtId="0" fontId="0" fillId="2" borderId="0" xfId="0" applyFill="1" applyAlignment="1">
      <alignment horizontal="center" vertical="center" textRotation="255"/>
    </xf>
    <xf numFmtId="0" fontId="0" fillId="0" borderId="0" xfId="0" applyAlignment="1">
      <alignment horizontal="center"/>
    </xf>
    <xf numFmtId="0" fontId="0" fillId="0" borderId="1" xfId="0" applyBorder="1" applyAlignment="1">
      <alignment horizontal="left"/>
    </xf>
    <xf numFmtId="0" fontId="3" fillId="0" borderId="0" xfId="0" applyFont="1"/>
    <xf numFmtId="0" fontId="2" fillId="0" borderId="0" xfId="0" applyFont="1" applyAlignment="1">
      <alignment horizontal="center"/>
    </xf>
    <xf numFmtId="0" fontId="0" fillId="0" borderId="1" xfId="0" applyBorder="1" applyAlignment="1">
      <alignment horizontal="center"/>
    </xf>
    <xf numFmtId="0" fontId="4" fillId="0" borderId="1" xfId="0" applyFont="1" applyBorder="1" applyAlignment="1">
      <alignment horizontal="left"/>
    </xf>
    <xf numFmtId="0" fontId="0" fillId="0" borderId="0" xfId="0" applyBorder="1" applyAlignment="1">
      <alignment horizontal="left"/>
    </xf>
    <xf numFmtId="0" fontId="0" fillId="0" borderId="1" xfId="0" applyBorder="1"/>
    <xf numFmtId="0" fontId="0" fillId="2" borderId="0" xfId="0" applyFill="1" applyAlignment="1">
      <alignment vertical="center" textRotation="255"/>
    </xf>
    <xf numFmtId="0" fontId="0" fillId="2" borderId="0" xfId="0" applyFill="1"/>
    <xf numFmtId="0" fontId="0" fillId="0" borderId="0" xfId="0" applyFill="1"/>
    <xf numFmtId="0" fontId="0" fillId="0" borderId="0" xfId="0" applyBorder="1" applyAlignment="1">
      <alignment horizontal="center"/>
    </xf>
    <xf numFmtId="0" fontId="0" fillId="0" borderId="0" xfId="0" applyBorder="1"/>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Pivot Tabl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600075</xdr:colOff>
      <xdr:row>10</xdr:row>
      <xdr:rowOff>9524</xdr:rowOff>
    </xdr:to>
    <xdr:sp macro="" textlink="">
      <xdr:nvSpPr>
        <xdr:cNvPr id="2" name="TextBox 1">
          <a:extLst>
            <a:ext uri="{FF2B5EF4-FFF2-40B4-BE49-F238E27FC236}">
              <a16:creationId xmlns:a16="http://schemas.microsoft.com/office/drawing/2014/main" id="{68B77766-B72B-4291-BB58-29DC6EB395D8}"/>
            </a:ext>
          </a:extLst>
        </xdr:cNvPr>
        <xdr:cNvSpPr txBox="1"/>
      </xdr:nvSpPr>
      <xdr:spPr>
        <a:xfrm>
          <a:off x="0" y="0"/>
          <a:ext cx="15840075" cy="1914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Black" panose="020B0A04020102020204" pitchFamily="34" charset="0"/>
            </a:rPr>
            <a:t>1. The Word Count tab lists each of a plurality of job search keywords with a 1 in the second column. </a:t>
          </a:r>
        </a:p>
        <a:p>
          <a:r>
            <a:rPr lang="en-US" sz="1600">
              <a:latin typeface="Arial Black" panose="020B0A04020102020204" pitchFamily="34" charset="0"/>
            </a:rPr>
            <a:t>2. The Pivot Table tab is a</a:t>
          </a:r>
          <a:r>
            <a:rPr lang="en-US" sz="1600" baseline="0">
              <a:latin typeface="Arial Black" panose="020B0A04020102020204" pitchFamily="34" charset="0"/>
            </a:rPr>
            <a:t> pivot table calculated from the Word Count tab so don't try to change it.</a:t>
          </a:r>
        </a:p>
        <a:p>
          <a:r>
            <a:rPr lang="en-US" sz="1600" baseline="0">
              <a:latin typeface="Arial Black" panose="020B0A04020102020204" pitchFamily="34" charset="0"/>
            </a:rPr>
            <a:t>3. Click the "Click Me" right-pointing triangle below to run the script that generates a list of suggested job titles in a new worksheet.</a:t>
          </a:r>
        </a:p>
        <a:p>
          <a:r>
            <a:rPr lang="en-US" sz="1600" baseline="0">
              <a:latin typeface="Arial Black" panose="020B0A04020102020204" pitchFamily="34" charset="0"/>
            </a:rPr>
            <a:t>4. If you wish to modify this workbook for your evil purposes, unprotect the Word Count worksheet (no password) and feel free to change some of the keywords, but leave the count column alone. And don't alter the Pivot Table - that depends on the Word Count tab.</a:t>
          </a:r>
          <a:endParaRPr lang="en-US" sz="1600">
            <a:latin typeface="Arial Black" panose="020B0A04020102020204" pitchFamily="34" charset="0"/>
          </a:endParaRPr>
        </a:p>
      </xdr:txBody>
    </xdr:sp>
    <xdr:clientData/>
  </xdr:twoCellAnchor>
  <xdr:twoCellAnchor editAs="oneCell">
    <xdr:from>
      <xdr:col>0</xdr:col>
      <xdr:colOff>114300</xdr:colOff>
      <xdr:row>10</xdr:row>
      <xdr:rowOff>47625</xdr:rowOff>
    </xdr:from>
    <xdr:to>
      <xdr:col>2</xdr:col>
      <xdr:colOff>266700</xdr:colOff>
      <xdr:row>17</xdr:row>
      <xdr:rowOff>85725</xdr:rowOff>
    </xdr:to>
    <xdr:pic>
      <xdr:nvPicPr>
        <xdr:cNvPr id="3" name="Graphic 2" descr="Play outline">
          <a:hlinkClick xmlns:r="http://schemas.openxmlformats.org/officeDocument/2006/relationships" r:id="rId1"/>
          <a:extLst>
            <a:ext uri="{FF2B5EF4-FFF2-40B4-BE49-F238E27FC236}">
              <a16:creationId xmlns:a16="http://schemas.microsoft.com/office/drawing/2014/main" id="{6BBEB7E1-FC40-40E4-8444-6C148410B79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4300" y="1952625"/>
          <a:ext cx="1371600" cy="1371600"/>
        </a:xfrm>
        <a:prstGeom prst="rect">
          <a:avLst/>
        </a:prstGeom>
      </xdr:spPr>
    </xdr:pic>
    <xdr:clientData/>
  </xdr:twoCellAnchor>
  <xdr:twoCellAnchor>
    <xdr:from>
      <xdr:col>5</xdr:col>
      <xdr:colOff>0</xdr:colOff>
      <xdr:row>15</xdr:row>
      <xdr:rowOff>0</xdr:rowOff>
    </xdr:from>
    <xdr:to>
      <xdr:col>7</xdr:col>
      <xdr:colOff>238443</xdr:colOff>
      <xdr:row>24</xdr:row>
      <xdr:rowOff>151076</xdr:rowOff>
    </xdr:to>
    <xdr:sp macro="[0]!JobTitleMaker" textlink="">
      <xdr:nvSpPr>
        <xdr:cNvPr id="4" name="Graphic 2" descr="Play with solid fill">
          <a:extLst>
            <a:ext uri="{FF2B5EF4-FFF2-40B4-BE49-F238E27FC236}">
              <a16:creationId xmlns:a16="http://schemas.microsoft.com/office/drawing/2014/main" id="{FF94BB93-2F84-4BDB-B3FB-6D42F2588FA9}"/>
            </a:ext>
          </a:extLst>
        </xdr:cNvPr>
        <xdr:cNvSpPr/>
      </xdr:nvSpPr>
      <xdr:spPr>
        <a:xfrm>
          <a:off x="3048000" y="2857500"/>
          <a:ext cx="1457643" cy="1865576"/>
        </a:xfrm>
        <a:custGeom>
          <a:avLst/>
          <a:gdLst>
            <a:gd name="connsiteX0" fmla="*/ 0 w 546734"/>
            <a:gd name="connsiteY0" fmla="*/ 0 h 704850"/>
            <a:gd name="connsiteX1" fmla="*/ 546735 w 546734"/>
            <a:gd name="connsiteY1" fmla="*/ 352425 h 704850"/>
            <a:gd name="connsiteX2" fmla="*/ 0 w 546734"/>
            <a:gd name="connsiteY2" fmla="*/ 704850 h 704850"/>
          </a:gdLst>
          <a:ahLst/>
          <a:cxnLst>
            <a:cxn ang="0">
              <a:pos x="connsiteX0" y="connsiteY0"/>
            </a:cxn>
            <a:cxn ang="0">
              <a:pos x="connsiteX1" y="connsiteY1"/>
            </a:cxn>
            <a:cxn ang="0">
              <a:pos x="connsiteX2" y="connsiteY2"/>
            </a:cxn>
          </a:cxnLst>
          <a:rect l="l" t="t" r="r" b="b"/>
          <a:pathLst>
            <a:path w="546734" h="704850">
              <a:moveTo>
                <a:pt x="0" y="0"/>
              </a:moveTo>
              <a:lnTo>
                <a:pt x="546735" y="352425"/>
              </a:lnTo>
              <a:lnTo>
                <a:pt x="0" y="704850"/>
              </a:lnTo>
              <a:close/>
            </a:path>
          </a:pathLst>
        </a:custGeom>
        <a:solidFill>
          <a:srgbClr val="000000"/>
        </a:solidFill>
        <a:ln w="9525" cap="flat">
          <a:noFill/>
          <a:prstDash val="solid"/>
          <a:miter/>
        </a:ln>
      </xdr:spPr>
      <xdr:txBody>
        <a:bodyPr rtlCol="0" anchor="ctr"/>
        <a:lstStyle/>
        <a:p>
          <a:r>
            <a:rPr lang="en-US" sz="2000" b="1">
              <a:solidFill>
                <a:schemeClr val="bg1"/>
              </a:solidFill>
            </a:rPr>
            <a:t>CLICK ME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on Antonino" refreshedDate="44351.774437037035" createdVersion="7" refreshedVersion="7" minRefreshableVersion="3" recordCount="179" xr:uid="{55111CA7-2113-4C58-AB1A-0A5004184CCA}">
  <cacheSource type="worksheet">
    <worksheetSource ref="A1:B180" sheet="Word Count"/>
  </cacheSource>
  <cacheFields count="2">
    <cacheField name="Word" numFmtId="0">
      <sharedItems count="82">
        <s v="Catastrophe"/>
        <s v="Risk"/>
        <s v="Associate"/>
        <s v="Actuarial"/>
        <s v="Analyst"/>
        <s v="Insurance"/>
        <s v="Research"/>
        <s v="Data"/>
        <s v="Commercial"/>
        <s v="Underwriter"/>
        <s v="Document"/>
        <s v="Services"/>
        <s v="Specialist"/>
        <s v="Financial"/>
        <s v="Underwriting"/>
        <s v="Product"/>
        <s v="Facilities"/>
        <s v="Admin"/>
        <s v="Assistant"/>
        <s v="Entry"/>
        <s v="Clerk"/>
        <s v="Anti"/>
        <s v="Money"/>
        <s v="Laundering"/>
        <s v="Junior"/>
        <s v="BI"/>
        <s v="Grants"/>
        <s v="Contracts"/>
        <s v="Fraud"/>
        <s v="Trainee"/>
        <s v="Quality"/>
        <s v="Policy"/>
        <s v="Project"/>
        <s v="Management"/>
        <s v="Coordinator"/>
        <s v="Business"/>
        <s v="Expert"/>
        <s v="Inside"/>
        <s v="Sales"/>
        <s v="Representative"/>
        <s v="Claims"/>
        <s v="Decision"/>
        <s v="Science"/>
        <s v="Digital"/>
        <s v="Portfolio"/>
        <s v="Technology"/>
        <s v="PMO"/>
        <s v="Contact"/>
        <s v="Center"/>
        <s v="Reporting"/>
        <s v="Pricing"/>
        <s v="Actuary"/>
        <s v="Lines"/>
        <s v="Software"/>
        <s v="Engineer"/>
        <s v="Small"/>
        <s v="Local"/>
        <s v="IT"/>
        <s v="VBA"/>
        <s v="Programmer"/>
        <s v="Client"/>
        <s v="Clinical"/>
        <s v="Medical"/>
        <s v="AnalystData"/>
        <s v="Senior"/>
        <s v="Firm"/>
        <s v="Analytics"/>
        <s v="Information"/>
        <s v="AnalystRisk"/>
        <s v="Info"/>
        <s v="Treasury"/>
        <s v="Cash"/>
        <s v="Predictive"/>
        <s v="Systems"/>
        <s v="Intelligence"/>
        <s v="Investment"/>
        <s v="Audit"/>
        <s v="Auditing"/>
        <s v="Performance"/>
        <s v="Modeling"/>
        <s v="Qualitative"/>
        <s v="Quantitative"/>
      </sharedItems>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
  <r>
    <x v="0"/>
    <n v="1"/>
  </r>
  <r>
    <x v="1"/>
    <n v="1"/>
  </r>
  <r>
    <x v="2"/>
    <n v="1"/>
  </r>
  <r>
    <x v="3"/>
    <n v="1"/>
  </r>
  <r>
    <x v="4"/>
    <n v="1"/>
  </r>
  <r>
    <x v="5"/>
    <n v="1"/>
  </r>
  <r>
    <x v="4"/>
    <n v="1"/>
  </r>
  <r>
    <x v="3"/>
    <n v="1"/>
  </r>
  <r>
    <x v="4"/>
    <n v="1"/>
  </r>
  <r>
    <x v="3"/>
    <n v="1"/>
  </r>
  <r>
    <x v="2"/>
    <n v="1"/>
  </r>
  <r>
    <x v="6"/>
    <n v="1"/>
  </r>
  <r>
    <x v="7"/>
    <n v="1"/>
  </r>
  <r>
    <x v="4"/>
    <n v="1"/>
  </r>
  <r>
    <x v="8"/>
    <n v="1"/>
  </r>
  <r>
    <x v="9"/>
    <n v="1"/>
  </r>
  <r>
    <x v="10"/>
    <n v="1"/>
  </r>
  <r>
    <x v="11"/>
    <n v="1"/>
  </r>
  <r>
    <x v="12"/>
    <n v="1"/>
  </r>
  <r>
    <x v="7"/>
    <n v="1"/>
  </r>
  <r>
    <x v="4"/>
    <n v="1"/>
  </r>
  <r>
    <x v="7"/>
    <n v="1"/>
  </r>
  <r>
    <x v="4"/>
    <n v="1"/>
  </r>
  <r>
    <x v="2"/>
    <n v="1"/>
  </r>
  <r>
    <x v="7"/>
    <n v="1"/>
  </r>
  <r>
    <x v="4"/>
    <n v="1"/>
  </r>
  <r>
    <x v="13"/>
    <n v="1"/>
  </r>
  <r>
    <x v="7"/>
    <n v="1"/>
  </r>
  <r>
    <x v="4"/>
    <n v="1"/>
  </r>
  <r>
    <x v="5"/>
    <n v="1"/>
  </r>
  <r>
    <x v="14"/>
    <n v="1"/>
  </r>
  <r>
    <x v="15"/>
    <n v="1"/>
  </r>
  <r>
    <x v="12"/>
    <n v="1"/>
  </r>
  <r>
    <x v="3"/>
    <n v="1"/>
  </r>
  <r>
    <x v="4"/>
    <n v="1"/>
  </r>
  <r>
    <x v="16"/>
    <n v="1"/>
  </r>
  <r>
    <x v="17"/>
    <n v="1"/>
  </r>
  <r>
    <x v="18"/>
    <n v="1"/>
  </r>
  <r>
    <x v="2"/>
    <n v="1"/>
  </r>
  <r>
    <x v="4"/>
    <n v="1"/>
  </r>
  <r>
    <x v="6"/>
    <n v="1"/>
  </r>
  <r>
    <x v="4"/>
    <n v="1"/>
  </r>
  <r>
    <x v="7"/>
    <n v="1"/>
  </r>
  <r>
    <x v="19"/>
    <n v="1"/>
  </r>
  <r>
    <x v="20"/>
    <n v="1"/>
  </r>
  <r>
    <x v="21"/>
    <n v="1"/>
  </r>
  <r>
    <x v="22"/>
    <n v="1"/>
  </r>
  <r>
    <x v="23"/>
    <n v="1"/>
  </r>
  <r>
    <x v="12"/>
    <n v="1"/>
  </r>
  <r>
    <x v="24"/>
    <n v="1"/>
  </r>
  <r>
    <x v="25"/>
    <n v="1"/>
  </r>
  <r>
    <x v="7"/>
    <n v="1"/>
  </r>
  <r>
    <x v="4"/>
    <n v="1"/>
  </r>
  <r>
    <x v="26"/>
    <n v="1"/>
  </r>
  <r>
    <x v="27"/>
    <n v="1"/>
  </r>
  <r>
    <x v="12"/>
    <n v="1"/>
  </r>
  <r>
    <x v="28"/>
    <n v="1"/>
  </r>
  <r>
    <x v="4"/>
    <n v="1"/>
  </r>
  <r>
    <x v="9"/>
    <n v="1"/>
  </r>
  <r>
    <x v="29"/>
    <n v="1"/>
  </r>
  <r>
    <x v="30"/>
    <n v="1"/>
  </r>
  <r>
    <x v="7"/>
    <n v="1"/>
  </r>
  <r>
    <x v="4"/>
    <n v="1"/>
  </r>
  <r>
    <x v="31"/>
    <n v="1"/>
  </r>
  <r>
    <x v="32"/>
    <n v="1"/>
  </r>
  <r>
    <x v="33"/>
    <n v="1"/>
  </r>
  <r>
    <x v="34"/>
    <n v="1"/>
  </r>
  <r>
    <x v="35"/>
    <n v="1"/>
  </r>
  <r>
    <x v="4"/>
    <n v="1"/>
  </r>
  <r>
    <x v="13"/>
    <n v="1"/>
  </r>
  <r>
    <x v="4"/>
    <n v="1"/>
  </r>
  <r>
    <x v="36"/>
    <n v="1"/>
  </r>
  <r>
    <x v="37"/>
    <n v="1"/>
  </r>
  <r>
    <x v="38"/>
    <n v="1"/>
  </r>
  <r>
    <x v="39"/>
    <n v="1"/>
  </r>
  <r>
    <x v="7"/>
    <n v="1"/>
  </r>
  <r>
    <x v="19"/>
    <n v="1"/>
  </r>
  <r>
    <x v="20"/>
    <n v="1"/>
  </r>
  <r>
    <x v="7"/>
    <n v="1"/>
  </r>
  <r>
    <x v="4"/>
    <n v="1"/>
  </r>
  <r>
    <x v="7"/>
    <n v="1"/>
  </r>
  <r>
    <x v="34"/>
    <n v="1"/>
  </r>
  <r>
    <x v="40"/>
    <n v="1"/>
  </r>
  <r>
    <x v="7"/>
    <n v="1"/>
  </r>
  <r>
    <x v="19"/>
    <n v="1"/>
  </r>
  <r>
    <x v="12"/>
    <n v="1"/>
  </r>
  <r>
    <x v="41"/>
    <n v="1"/>
  </r>
  <r>
    <x v="42"/>
    <n v="1"/>
  </r>
  <r>
    <x v="4"/>
    <n v="1"/>
  </r>
  <r>
    <x v="35"/>
    <n v="1"/>
  </r>
  <r>
    <x v="4"/>
    <n v="1"/>
  </r>
  <r>
    <x v="28"/>
    <n v="1"/>
  </r>
  <r>
    <x v="4"/>
    <n v="1"/>
  </r>
  <r>
    <x v="32"/>
    <n v="1"/>
  </r>
  <r>
    <x v="34"/>
    <n v="1"/>
  </r>
  <r>
    <x v="5"/>
    <n v="1"/>
  </r>
  <r>
    <x v="15"/>
    <n v="1"/>
  </r>
  <r>
    <x v="4"/>
    <n v="1"/>
  </r>
  <r>
    <x v="43"/>
    <n v="1"/>
  </r>
  <r>
    <x v="44"/>
    <n v="1"/>
  </r>
  <r>
    <x v="25"/>
    <n v="1"/>
  </r>
  <r>
    <x v="4"/>
    <n v="1"/>
  </r>
  <r>
    <x v="45"/>
    <n v="1"/>
  </r>
  <r>
    <x v="46"/>
    <n v="1"/>
  </r>
  <r>
    <x v="47"/>
    <n v="1"/>
  </r>
  <r>
    <x v="48"/>
    <n v="1"/>
  </r>
  <r>
    <x v="49"/>
    <n v="1"/>
  </r>
  <r>
    <x v="4"/>
    <n v="1"/>
  </r>
  <r>
    <x v="50"/>
    <n v="1"/>
  </r>
  <r>
    <x v="51"/>
    <n v="1"/>
  </r>
  <r>
    <x v="8"/>
    <n v="1"/>
  </r>
  <r>
    <x v="52"/>
    <n v="1"/>
  </r>
  <r>
    <x v="28"/>
    <n v="1"/>
  </r>
  <r>
    <x v="4"/>
    <n v="1"/>
  </r>
  <r>
    <x v="19"/>
    <n v="1"/>
  </r>
  <r>
    <x v="53"/>
    <n v="1"/>
  </r>
  <r>
    <x v="54"/>
    <n v="1"/>
  </r>
  <r>
    <x v="2"/>
    <n v="1"/>
  </r>
  <r>
    <x v="55"/>
    <n v="1"/>
  </r>
  <r>
    <x v="35"/>
    <n v="1"/>
  </r>
  <r>
    <x v="14"/>
    <n v="1"/>
  </r>
  <r>
    <x v="56"/>
    <n v="1"/>
  </r>
  <r>
    <x v="6"/>
    <n v="1"/>
  </r>
  <r>
    <x v="4"/>
    <n v="1"/>
  </r>
  <r>
    <x v="57"/>
    <n v="1"/>
  </r>
  <r>
    <x v="58"/>
    <n v="1"/>
  </r>
  <r>
    <x v="4"/>
    <n v="1"/>
  </r>
  <r>
    <x v="7"/>
    <n v="1"/>
  </r>
  <r>
    <x v="4"/>
    <n v="1"/>
  </r>
  <r>
    <x v="28"/>
    <n v="1"/>
  </r>
  <r>
    <x v="4"/>
    <n v="1"/>
  </r>
  <r>
    <x v="59"/>
    <n v="1"/>
  </r>
  <r>
    <x v="4"/>
    <n v="1"/>
  </r>
  <r>
    <x v="60"/>
    <n v="1"/>
  </r>
  <r>
    <x v="49"/>
    <n v="1"/>
  </r>
  <r>
    <x v="4"/>
    <n v="1"/>
  </r>
  <r>
    <x v="61"/>
    <n v="1"/>
  </r>
  <r>
    <x v="62"/>
    <n v="1"/>
  </r>
  <r>
    <x v="40"/>
    <n v="1"/>
  </r>
  <r>
    <x v="63"/>
    <n v="1"/>
  </r>
  <r>
    <x v="42"/>
    <n v="1"/>
  </r>
  <r>
    <x v="64"/>
    <n v="1"/>
  </r>
  <r>
    <x v="7"/>
    <n v="1"/>
  </r>
  <r>
    <x v="4"/>
    <n v="1"/>
  </r>
  <r>
    <x v="65"/>
    <n v="1"/>
  </r>
  <r>
    <x v="66"/>
    <n v="1"/>
  </r>
  <r>
    <x v="35"/>
    <n v="1"/>
  </r>
  <r>
    <x v="67"/>
    <n v="1"/>
  </r>
  <r>
    <x v="4"/>
    <n v="1"/>
  </r>
  <r>
    <x v="68"/>
    <n v="1"/>
  </r>
  <r>
    <x v="69"/>
    <n v="1"/>
  </r>
  <r>
    <x v="33"/>
    <n v="1"/>
  </r>
  <r>
    <x v="70"/>
    <n v="1"/>
  </r>
  <r>
    <x v="4"/>
    <n v="1"/>
  </r>
  <r>
    <x v="71"/>
    <n v="1"/>
  </r>
  <r>
    <x v="33"/>
    <n v="1"/>
  </r>
  <r>
    <x v="7"/>
    <n v="1"/>
  </r>
  <r>
    <x v="4"/>
    <n v="1"/>
  </r>
  <r>
    <x v="72"/>
    <n v="1"/>
  </r>
  <r>
    <x v="66"/>
    <n v="1"/>
  </r>
  <r>
    <x v="73"/>
    <n v="1"/>
  </r>
  <r>
    <x v="34"/>
    <n v="1"/>
  </r>
  <r>
    <x v="4"/>
    <n v="1"/>
  </r>
  <r>
    <x v="35"/>
    <n v="1"/>
  </r>
  <r>
    <x v="74"/>
    <n v="1"/>
  </r>
  <r>
    <x v="4"/>
    <n v="1"/>
  </r>
  <r>
    <x v="1"/>
    <n v="1"/>
  </r>
  <r>
    <x v="75"/>
    <n v="1"/>
  </r>
  <r>
    <x v="6"/>
    <n v="1"/>
  </r>
  <r>
    <x v="49"/>
    <n v="1"/>
  </r>
  <r>
    <x v="76"/>
    <n v="1"/>
  </r>
  <r>
    <x v="77"/>
    <n v="1"/>
  </r>
  <r>
    <x v="78"/>
    <n v="1"/>
  </r>
  <r>
    <x v="74"/>
    <n v="1"/>
  </r>
  <r>
    <x v="79"/>
    <n v="1"/>
  </r>
  <r>
    <x v="50"/>
    <n v="1"/>
  </r>
  <r>
    <x v="80"/>
    <n v="1"/>
  </r>
  <r>
    <x v="30"/>
    <n v="1"/>
  </r>
  <r>
    <x v="8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68D184-DF3A-4259-88DE-79786CD44905}" name="PivotTable9"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84" firstHeaderRow="1" firstDataRow="1" firstDataCol="1"/>
  <pivotFields count="2">
    <pivotField axis="axisRow" showAll="0" sortType="descending">
      <items count="83">
        <item x="3"/>
        <item x="51"/>
        <item x="17"/>
        <item x="4"/>
        <item x="63"/>
        <item x="68"/>
        <item x="66"/>
        <item x="21"/>
        <item x="18"/>
        <item x="2"/>
        <item x="25"/>
        <item x="35"/>
        <item x="71"/>
        <item x="0"/>
        <item x="48"/>
        <item x="40"/>
        <item x="20"/>
        <item x="60"/>
        <item x="61"/>
        <item x="8"/>
        <item x="47"/>
        <item x="27"/>
        <item x="34"/>
        <item x="7"/>
        <item x="41"/>
        <item x="43"/>
        <item x="10"/>
        <item x="54"/>
        <item x="19"/>
        <item x="36"/>
        <item x="16"/>
        <item x="13"/>
        <item x="65"/>
        <item x="28"/>
        <item x="26"/>
        <item x="69"/>
        <item x="67"/>
        <item x="37"/>
        <item x="5"/>
        <item x="74"/>
        <item x="57"/>
        <item x="24"/>
        <item x="23"/>
        <item x="52"/>
        <item x="56"/>
        <item x="33"/>
        <item x="62"/>
        <item x="22"/>
        <item x="46"/>
        <item x="31"/>
        <item x="44"/>
        <item x="72"/>
        <item x="50"/>
        <item x="15"/>
        <item x="59"/>
        <item x="32"/>
        <item x="30"/>
        <item x="49"/>
        <item x="39"/>
        <item x="6"/>
        <item x="1"/>
        <item x="38"/>
        <item x="42"/>
        <item x="64"/>
        <item x="11"/>
        <item x="55"/>
        <item x="53"/>
        <item x="12"/>
        <item x="73"/>
        <item x="45"/>
        <item x="29"/>
        <item x="70"/>
        <item x="9"/>
        <item x="14"/>
        <item x="58"/>
        <item x="75"/>
        <item x="76"/>
        <item x="77"/>
        <item x="78"/>
        <item x="79"/>
        <item x="80"/>
        <item x="81"/>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83">
    <i>
      <x v="3"/>
    </i>
    <i>
      <x v="23"/>
    </i>
    <i>
      <x v="67"/>
    </i>
    <i>
      <x v="9"/>
    </i>
    <i>
      <x v="11"/>
    </i>
    <i>
      <x v="59"/>
    </i>
    <i>
      <x v="33"/>
    </i>
    <i>
      <x v="28"/>
    </i>
    <i>
      <x v="22"/>
    </i>
    <i>
      <x/>
    </i>
    <i>
      <x v="38"/>
    </i>
    <i>
      <x v="57"/>
    </i>
    <i>
      <x v="45"/>
    </i>
    <i>
      <x v="52"/>
    </i>
    <i>
      <x v="60"/>
    </i>
    <i>
      <x v="55"/>
    </i>
    <i>
      <x v="15"/>
    </i>
    <i>
      <x v="72"/>
    </i>
    <i>
      <x v="16"/>
    </i>
    <i>
      <x v="53"/>
    </i>
    <i>
      <x v="19"/>
    </i>
    <i>
      <x v="56"/>
    </i>
    <i>
      <x v="6"/>
    </i>
    <i>
      <x v="62"/>
    </i>
    <i>
      <x v="31"/>
    </i>
    <i>
      <x v="73"/>
    </i>
    <i>
      <x v="39"/>
    </i>
    <i>
      <x v="10"/>
    </i>
    <i>
      <x v="8"/>
    </i>
    <i>
      <x v="75"/>
    </i>
    <i>
      <x v="2"/>
    </i>
    <i>
      <x v="29"/>
    </i>
    <i>
      <x v="4"/>
    </i>
    <i>
      <x v="30"/>
    </i>
    <i>
      <x v="63"/>
    </i>
    <i>
      <x v="18"/>
    </i>
    <i>
      <x v="71"/>
    </i>
    <i>
      <x v="32"/>
    </i>
    <i>
      <x v="17"/>
    </i>
    <i>
      <x v="7"/>
    </i>
    <i>
      <x v="12"/>
    </i>
    <i>
      <x v="34"/>
    </i>
    <i>
      <x v="61"/>
    </i>
    <i>
      <x v="35"/>
    </i>
    <i>
      <x v="65"/>
    </i>
    <i>
      <x v="36"/>
    </i>
    <i>
      <x v="69"/>
    </i>
    <i>
      <x v="37"/>
    </i>
    <i>
      <x v="27"/>
    </i>
    <i>
      <x v="1"/>
    </i>
    <i>
      <x v="77"/>
    </i>
    <i>
      <x v="14"/>
    </i>
    <i>
      <x v="54"/>
    </i>
    <i>
      <x v="81"/>
    </i>
    <i>
      <x v="5"/>
    </i>
    <i>
      <x v="41"/>
    </i>
    <i>
      <x v="58"/>
    </i>
    <i>
      <x v="42"/>
    </i>
    <i>
      <x v="24"/>
    </i>
    <i>
      <x v="43"/>
    </i>
    <i>
      <x v="25"/>
    </i>
    <i>
      <x v="44"/>
    </i>
    <i>
      <x v="64"/>
    </i>
    <i>
      <x v="79"/>
    </i>
    <i>
      <x v="66"/>
    </i>
    <i>
      <x v="80"/>
    </i>
    <i>
      <x v="68"/>
    </i>
    <i>
      <x v="47"/>
    </i>
    <i>
      <x v="70"/>
    </i>
    <i>
      <x v="48"/>
    </i>
    <i>
      <x v="26"/>
    </i>
    <i>
      <x v="49"/>
    </i>
    <i>
      <x v="74"/>
    </i>
    <i>
      <x v="50"/>
    </i>
    <i>
      <x v="76"/>
    </i>
    <i>
      <x v="51"/>
    </i>
    <i>
      <x v="78"/>
    </i>
    <i>
      <x v="20"/>
    </i>
    <i>
      <x v="21"/>
    </i>
    <i>
      <x v="13"/>
    </i>
    <i>
      <x v="46"/>
    </i>
    <i>
      <x v="40"/>
    </i>
    <i t="grand">
      <x/>
    </i>
  </rowItems>
  <colItems count="1">
    <i/>
  </colItems>
  <dataFields count="1">
    <dataField name="Sum of cou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4E153-5B55-449B-9069-15437B05A64D}">
  <sheetPr codeName="Sheet34"/>
  <dimension ref="A1:B752"/>
  <sheetViews>
    <sheetView topLeftCell="A733" workbookViewId="0">
      <selection activeCell="B752" sqref="B752"/>
    </sheetView>
  </sheetViews>
  <sheetFormatPr defaultRowHeight="15" x14ac:dyDescent="0.25"/>
  <cols>
    <col min="1" max="1" width="33.85546875" bestFit="1" customWidth="1"/>
    <col min="2" max="2" width="7" bestFit="1" customWidth="1"/>
  </cols>
  <sheetData>
    <row r="1" spans="1:2" ht="18.75" x14ac:dyDescent="0.3">
      <c r="A1" s="11" t="s">
        <v>94</v>
      </c>
      <c r="B1" s="11" t="s">
        <v>95</v>
      </c>
    </row>
    <row r="2" spans="1:2" x14ac:dyDescent="0.25">
      <c r="A2" t="s">
        <v>228</v>
      </c>
      <c r="B2">
        <v>413</v>
      </c>
    </row>
    <row r="3" spans="1:2" x14ac:dyDescent="0.25">
      <c r="A3" t="s">
        <v>173</v>
      </c>
      <c r="B3">
        <v>836</v>
      </c>
    </row>
    <row r="4" spans="1:2" x14ac:dyDescent="0.25">
      <c r="A4" t="s">
        <v>485</v>
      </c>
      <c r="B4">
        <v>51613</v>
      </c>
    </row>
    <row r="5" spans="1:2" x14ac:dyDescent="0.25">
      <c r="A5" t="s">
        <v>575</v>
      </c>
      <c r="B5">
        <v>16148</v>
      </c>
    </row>
    <row r="6" spans="1:2" x14ac:dyDescent="0.25">
      <c r="A6" t="s">
        <v>318</v>
      </c>
      <c r="B6">
        <v>10126</v>
      </c>
    </row>
    <row r="7" spans="1:2" x14ac:dyDescent="0.25">
      <c r="A7" t="s">
        <v>521</v>
      </c>
      <c r="B7">
        <v>1686</v>
      </c>
    </row>
    <row r="8" spans="1:2" x14ac:dyDescent="0.25">
      <c r="A8" t="s">
        <v>204</v>
      </c>
      <c r="B8">
        <v>529</v>
      </c>
    </row>
    <row r="9" spans="1:2" x14ac:dyDescent="0.25">
      <c r="A9" t="s">
        <v>227</v>
      </c>
      <c r="B9">
        <v>431</v>
      </c>
    </row>
    <row r="10" spans="1:2" x14ac:dyDescent="0.25">
      <c r="A10" t="s">
        <v>576</v>
      </c>
      <c r="B10">
        <v>15914</v>
      </c>
    </row>
    <row r="11" spans="1:2" x14ac:dyDescent="0.25">
      <c r="A11" t="s">
        <v>332</v>
      </c>
      <c r="B11">
        <v>4105</v>
      </c>
    </row>
    <row r="12" spans="1:2" x14ac:dyDescent="0.25">
      <c r="A12" t="s">
        <v>235</v>
      </c>
      <c r="B12">
        <v>41110</v>
      </c>
    </row>
    <row r="13" spans="1:2" x14ac:dyDescent="0.25">
      <c r="A13" t="s">
        <v>322</v>
      </c>
      <c r="B13">
        <v>5410</v>
      </c>
    </row>
    <row r="14" spans="1:2" x14ac:dyDescent="0.25">
      <c r="A14" t="s">
        <v>345</v>
      </c>
      <c r="B14">
        <v>2812</v>
      </c>
    </row>
    <row r="15" spans="1:2" x14ac:dyDescent="0.25">
      <c r="A15" t="s">
        <v>317</v>
      </c>
      <c r="B15">
        <v>574</v>
      </c>
    </row>
    <row r="16" spans="1:2" x14ac:dyDescent="0.25">
      <c r="A16" t="s">
        <v>577</v>
      </c>
      <c r="B16">
        <v>9164</v>
      </c>
    </row>
    <row r="17" spans="1:2" x14ac:dyDescent="0.25">
      <c r="A17" t="s">
        <v>578</v>
      </c>
      <c r="B17">
        <v>16414</v>
      </c>
    </row>
    <row r="18" spans="1:2" x14ac:dyDescent="0.25">
      <c r="A18" t="s">
        <v>352</v>
      </c>
      <c r="B18">
        <v>471</v>
      </c>
    </row>
    <row r="19" spans="1:2" x14ac:dyDescent="0.25">
      <c r="A19" t="s">
        <v>579</v>
      </c>
      <c r="B19">
        <v>15211</v>
      </c>
    </row>
    <row r="20" spans="1:2" x14ac:dyDescent="0.25">
      <c r="A20" t="s">
        <v>580</v>
      </c>
      <c r="B20">
        <v>7155</v>
      </c>
    </row>
    <row r="21" spans="1:2" x14ac:dyDescent="0.25">
      <c r="A21" t="s">
        <v>581</v>
      </c>
      <c r="B21">
        <v>1347</v>
      </c>
    </row>
    <row r="22" spans="1:2" x14ac:dyDescent="0.25">
      <c r="A22" t="s">
        <v>582</v>
      </c>
      <c r="B22">
        <v>2713</v>
      </c>
    </row>
    <row r="23" spans="1:2" x14ac:dyDescent="0.25">
      <c r="A23" t="s">
        <v>244</v>
      </c>
      <c r="B23">
        <v>2710</v>
      </c>
    </row>
    <row r="24" spans="1:2" x14ac:dyDescent="0.25">
      <c r="A24" t="s">
        <v>583</v>
      </c>
      <c r="B24">
        <v>16411</v>
      </c>
    </row>
    <row r="25" spans="1:2" x14ac:dyDescent="0.25">
      <c r="A25" t="s">
        <v>584</v>
      </c>
      <c r="B25">
        <v>12145</v>
      </c>
    </row>
    <row r="26" spans="1:2" x14ac:dyDescent="0.25">
      <c r="A26" t="s">
        <v>585</v>
      </c>
      <c r="B26">
        <v>51315</v>
      </c>
    </row>
    <row r="27" spans="1:2" x14ac:dyDescent="0.25">
      <c r="A27" t="s">
        <v>586</v>
      </c>
      <c r="B27">
        <v>81615</v>
      </c>
    </row>
    <row r="28" spans="1:2" x14ac:dyDescent="0.25">
      <c r="A28" t="s">
        <v>380</v>
      </c>
      <c r="B28">
        <v>5610</v>
      </c>
    </row>
    <row r="29" spans="1:2" x14ac:dyDescent="0.25">
      <c r="A29" t="s">
        <v>211</v>
      </c>
      <c r="B29">
        <v>386</v>
      </c>
    </row>
    <row r="30" spans="1:2" x14ac:dyDescent="0.25">
      <c r="A30" t="s">
        <v>587</v>
      </c>
      <c r="B30">
        <v>12149</v>
      </c>
    </row>
    <row r="31" spans="1:2" x14ac:dyDescent="0.25">
      <c r="A31" t="s">
        <v>563</v>
      </c>
      <c r="B31">
        <v>31610</v>
      </c>
    </row>
    <row r="32" spans="1:2" x14ac:dyDescent="0.25">
      <c r="A32" t="s">
        <v>588</v>
      </c>
      <c r="B32">
        <v>1656</v>
      </c>
    </row>
    <row r="33" spans="1:2" x14ac:dyDescent="0.25">
      <c r="A33" t="s">
        <v>321</v>
      </c>
      <c r="B33">
        <v>237</v>
      </c>
    </row>
    <row r="34" spans="1:2" x14ac:dyDescent="0.25">
      <c r="A34" t="s">
        <v>589</v>
      </c>
      <c r="B34">
        <v>14109</v>
      </c>
    </row>
    <row r="35" spans="1:2" x14ac:dyDescent="0.25">
      <c r="A35" t="s">
        <v>301</v>
      </c>
      <c r="B35">
        <v>638</v>
      </c>
    </row>
    <row r="36" spans="1:2" x14ac:dyDescent="0.25">
      <c r="A36" t="s">
        <v>569</v>
      </c>
      <c r="B36">
        <v>3161</v>
      </c>
    </row>
    <row r="37" spans="1:2" x14ac:dyDescent="0.25">
      <c r="A37" t="s">
        <v>590</v>
      </c>
      <c r="B37">
        <v>11816</v>
      </c>
    </row>
    <row r="38" spans="1:2" x14ac:dyDescent="0.25">
      <c r="A38" t="s">
        <v>591</v>
      </c>
      <c r="B38">
        <v>41412</v>
      </c>
    </row>
    <row r="39" spans="1:2" x14ac:dyDescent="0.25">
      <c r="A39" t="s">
        <v>517</v>
      </c>
      <c r="B39">
        <v>161115</v>
      </c>
    </row>
    <row r="40" spans="1:2" x14ac:dyDescent="0.25">
      <c r="A40" t="s">
        <v>592</v>
      </c>
      <c r="B40">
        <v>1915</v>
      </c>
    </row>
    <row r="41" spans="1:2" x14ac:dyDescent="0.25">
      <c r="A41" t="s">
        <v>593</v>
      </c>
      <c r="B41">
        <v>41612</v>
      </c>
    </row>
    <row r="42" spans="1:2" x14ac:dyDescent="0.25">
      <c r="A42" t="s">
        <v>537</v>
      </c>
      <c r="B42">
        <v>13141</v>
      </c>
    </row>
    <row r="43" spans="1:2" x14ac:dyDescent="0.25">
      <c r="A43" t="s">
        <v>410</v>
      </c>
      <c r="B43">
        <v>4311</v>
      </c>
    </row>
    <row r="44" spans="1:2" x14ac:dyDescent="0.25">
      <c r="A44" t="s">
        <v>594</v>
      </c>
      <c r="B44">
        <v>5116</v>
      </c>
    </row>
    <row r="45" spans="1:2" x14ac:dyDescent="0.25">
      <c r="A45" t="s">
        <v>192</v>
      </c>
      <c r="B45">
        <v>5127</v>
      </c>
    </row>
    <row r="46" spans="1:2" x14ac:dyDescent="0.25">
      <c r="A46" t="s">
        <v>478</v>
      </c>
      <c r="B46">
        <v>121514</v>
      </c>
    </row>
    <row r="47" spans="1:2" x14ac:dyDescent="0.25">
      <c r="A47" t="s">
        <v>595</v>
      </c>
      <c r="B47">
        <v>16311</v>
      </c>
    </row>
    <row r="48" spans="1:2" x14ac:dyDescent="0.25">
      <c r="A48" t="s">
        <v>165</v>
      </c>
      <c r="B48">
        <v>679</v>
      </c>
    </row>
    <row r="49" spans="1:2" x14ac:dyDescent="0.25">
      <c r="A49" t="s">
        <v>452</v>
      </c>
      <c r="B49">
        <v>9101</v>
      </c>
    </row>
    <row r="50" spans="1:2" x14ac:dyDescent="0.25">
      <c r="A50" t="s">
        <v>311</v>
      </c>
      <c r="B50">
        <v>4210</v>
      </c>
    </row>
    <row r="51" spans="1:2" x14ac:dyDescent="0.25">
      <c r="A51" t="s">
        <v>399</v>
      </c>
      <c r="B51">
        <v>8412</v>
      </c>
    </row>
    <row r="52" spans="1:2" x14ac:dyDescent="0.25">
      <c r="A52" t="s">
        <v>566</v>
      </c>
      <c r="B52">
        <v>13612</v>
      </c>
    </row>
    <row r="53" spans="1:2" x14ac:dyDescent="0.25">
      <c r="A53" t="s">
        <v>596</v>
      </c>
      <c r="B53">
        <v>31312</v>
      </c>
    </row>
    <row r="54" spans="1:2" x14ac:dyDescent="0.25">
      <c r="A54" t="s">
        <v>362</v>
      </c>
      <c r="B54">
        <v>7812</v>
      </c>
    </row>
    <row r="55" spans="1:2" x14ac:dyDescent="0.25">
      <c r="A55" t="s">
        <v>262</v>
      </c>
      <c r="B55">
        <v>5311</v>
      </c>
    </row>
    <row r="56" spans="1:2" x14ac:dyDescent="0.25">
      <c r="A56" t="s">
        <v>597</v>
      </c>
      <c r="B56">
        <v>9714</v>
      </c>
    </row>
    <row r="57" spans="1:2" x14ac:dyDescent="0.25">
      <c r="A57" t="s">
        <v>598</v>
      </c>
      <c r="B57">
        <v>4149</v>
      </c>
    </row>
    <row r="58" spans="1:2" x14ac:dyDescent="0.25">
      <c r="A58" t="s">
        <v>599</v>
      </c>
      <c r="B58">
        <v>21612</v>
      </c>
    </row>
    <row r="59" spans="1:2" x14ac:dyDescent="0.25">
      <c r="A59" t="s">
        <v>391</v>
      </c>
      <c r="B59">
        <v>823</v>
      </c>
    </row>
    <row r="60" spans="1:2" x14ac:dyDescent="0.25">
      <c r="A60" t="s">
        <v>600</v>
      </c>
      <c r="B60">
        <v>14212</v>
      </c>
    </row>
    <row r="61" spans="1:2" x14ac:dyDescent="0.25">
      <c r="A61" t="s">
        <v>176</v>
      </c>
      <c r="B61">
        <v>213</v>
      </c>
    </row>
    <row r="62" spans="1:2" x14ac:dyDescent="0.25">
      <c r="A62" t="s">
        <v>412</v>
      </c>
      <c r="B62">
        <v>5103</v>
      </c>
    </row>
    <row r="63" spans="1:2" x14ac:dyDescent="0.25">
      <c r="A63" t="s">
        <v>601</v>
      </c>
      <c r="B63">
        <v>11164</v>
      </c>
    </row>
    <row r="64" spans="1:2" x14ac:dyDescent="0.25">
      <c r="A64" t="s">
        <v>182</v>
      </c>
      <c r="B64">
        <v>3107</v>
      </c>
    </row>
    <row r="65" spans="1:2" x14ac:dyDescent="0.25">
      <c r="A65" t="s">
        <v>511</v>
      </c>
      <c r="B65">
        <v>8169</v>
      </c>
    </row>
    <row r="66" spans="1:2" x14ac:dyDescent="0.25">
      <c r="A66" t="s">
        <v>602</v>
      </c>
      <c r="B66">
        <v>81115</v>
      </c>
    </row>
    <row r="67" spans="1:2" x14ac:dyDescent="0.25">
      <c r="A67" t="s">
        <v>438</v>
      </c>
      <c r="B67">
        <v>1023</v>
      </c>
    </row>
    <row r="68" spans="1:2" x14ac:dyDescent="0.25">
      <c r="A68" t="s">
        <v>418</v>
      </c>
      <c r="B68">
        <v>169</v>
      </c>
    </row>
    <row r="69" spans="1:2" x14ac:dyDescent="0.25">
      <c r="A69" t="s">
        <v>603</v>
      </c>
      <c r="B69">
        <v>3135</v>
      </c>
    </row>
    <row r="70" spans="1:2" x14ac:dyDescent="0.25">
      <c r="A70" t="s">
        <v>604</v>
      </c>
      <c r="B70">
        <v>4913</v>
      </c>
    </row>
    <row r="71" spans="1:2" x14ac:dyDescent="0.25">
      <c r="A71" t="s">
        <v>357</v>
      </c>
      <c r="B71">
        <v>813</v>
      </c>
    </row>
    <row r="72" spans="1:2" x14ac:dyDescent="0.25">
      <c r="A72" t="s">
        <v>605</v>
      </c>
      <c r="B72">
        <v>2146</v>
      </c>
    </row>
    <row r="73" spans="1:2" x14ac:dyDescent="0.25">
      <c r="A73" t="s">
        <v>347</v>
      </c>
      <c r="B73">
        <v>4128</v>
      </c>
    </row>
    <row r="74" spans="1:2" x14ac:dyDescent="0.25">
      <c r="A74" t="s">
        <v>606</v>
      </c>
      <c r="B74">
        <v>1621</v>
      </c>
    </row>
    <row r="75" spans="1:2" x14ac:dyDescent="0.25">
      <c r="A75" t="s">
        <v>607</v>
      </c>
      <c r="B75">
        <v>3815</v>
      </c>
    </row>
    <row r="76" spans="1:2" x14ac:dyDescent="0.25">
      <c r="A76" t="s">
        <v>346</v>
      </c>
      <c r="B76">
        <v>179</v>
      </c>
    </row>
    <row r="77" spans="1:2" x14ac:dyDescent="0.25">
      <c r="A77" t="s">
        <v>549</v>
      </c>
      <c r="B77">
        <v>1351</v>
      </c>
    </row>
    <row r="78" spans="1:2" x14ac:dyDescent="0.25">
      <c r="A78" t="s">
        <v>608</v>
      </c>
      <c r="B78">
        <v>16913</v>
      </c>
    </row>
    <row r="79" spans="1:2" x14ac:dyDescent="0.25">
      <c r="A79" t="s">
        <v>609</v>
      </c>
      <c r="B79">
        <v>13115</v>
      </c>
    </row>
    <row r="80" spans="1:2" x14ac:dyDescent="0.25">
      <c r="A80" t="s">
        <v>404</v>
      </c>
      <c r="B80">
        <v>9512</v>
      </c>
    </row>
    <row r="81" spans="1:2" x14ac:dyDescent="0.25">
      <c r="A81" t="s">
        <v>610</v>
      </c>
      <c r="B81">
        <v>12167</v>
      </c>
    </row>
    <row r="82" spans="1:2" x14ac:dyDescent="0.25">
      <c r="A82" t="s">
        <v>611</v>
      </c>
      <c r="B82">
        <v>10162</v>
      </c>
    </row>
    <row r="83" spans="1:2" x14ac:dyDescent="0.25">
      <c r="A83" t="s">
        <v>179</v>
      </c>
      <c r="B83">
        <v>51211</v>
      </c>
    </row>
    <row r="84" spans="1:2" x14ac:dyDescent="0.25">
      <c r="A84" t="s">
        <v>160</v>
      </c>
      <c r="B84">
        <v>71012</v>
      </c>
    </row>
    <row r="85" spans="1:2" x14ac:dyDescent="0.25">
      <c r="A85" t="s">
        <v>612</v>
      </c>
      <c r="B85">
        <v>16131</v>
      </c>
    </row>
    <row r="86" spans="1:2" x14ac:dyDescent="0.25">
      <c r="A86" t="s">
        <v>613</v>
      </c>
      <c r="B86">
        <v>1481</v>
      </c>
    </row>
    <row r="87" spans="1:2" x14ac:dyDescent="0.25">
      <c r="A87" t="s">
        <v>614</v>
      </c>
      <c r="B87">
        <v>14410</v>
      </c>
    </row>
    <row r="88" spans="1:2" x14ac:dyDescent="0.25">
      <c r="A88" t="s">
        <v>213</v>
      </c>
      <c r="B88">
        <v>1812</v>
      </c>
    </row>
    <row r="89" spans="1:2" x14ac:dyDescent="0.25">
      <c r="A89" t="s">
        <v>234</v>
      </c>
      <c r="B89">
        <v>412</v>
      </c>
    </row>
    <row r="90" spans="1:2" x14ac:dyDescent="0.25">
      <c r="A90" t="s">
        <v>615</v>
      </c>
      <c r="B90">
        <v>1523</v>
      </c>
    </row>
    <row r="91" spans="1:2" x14ac:dyDescent="0.25">
      <c r="A91" t="s">
        <v>616</v>
      </c>
      <c r="B91">
        <v>1162</v>
      </c>
    </row>
    <row r="92" spans="1:2" x14ac:dyDescent="0.25">
      <c r="A92" t="s">
        <v>147</v>
      </c>
      <c r="B92">
        <v>6113</v>
      </c>
    </row>
    <row r="93" spans="1:2" x14ac:dyDescent="0.25">
      <c r="A93" t="s">
        <v>395</v>
      </c>
      <c r="B93">
        <v>9113</v>
      </c>
    </row>
    <row r="94" spans="1:2" x14ac:dyDescent="0.25">
      <c r="A94" t="s">
        <v>510</v>
      </c>
      <c r="B94">
        <v>141016</v>
      </c>
    </row>
    <row r="95" spans="1:2" x14ac:dyDescent="0.25">
      <c r="A95" t="s">
        <v>617</v>
      </c>
      <c r="B95">
        <v>131012</v>
      </c>
    </row>
    <row r="96" spans="1:2" x14ac:dyDescent="0.25">
      <c r="A96" t="s">
        <v>193</v>
      </c>
      <c r="B96">
        <v>951</v>
      </c>
    </row>
    <row r="97" spans="1:2" x14ac:dyDescent="0.25">
      <c r="A97" t="s">
        <v>618</v>
      </c>
      <c r="B97">
        <v>9158</v>
      </c>
    </row>
    <row r="98" spans="1:2" x14ac:dyDescent="0.25">
      <c r="A98" t="s">
        <v>619</v>
      </c>
      <c r="B98">
        <v>3131</v>
      </c>
    </row>
    <row r="99" spans="1:2" x14ac:dyDescent="0.25">
      <c r="A99" t="s">
        <v>278</v>
      </c>
      <c r="B99">
        <v>439</v>
      </c>
    </row>
    <row r="100" spans="1:2" x14ac:dyDescent="0.25">
      <c r="A100" t="s">
        <v>620</v>
      </c>
      <c r="B100">
        <v>6164</v>
      </c>
    </row>
    <row r="101" spans="1:2" x14ac:dyDescent="0.25">
      <c r="A101" t="s">
        <v>377</v>
      </c>
      <c r="B101">
        <v>1410</v>
      </c>
    </row>
    <row r="102" spans="1:2" x14ac:dyDescent="0.25">
      <c r="A102" t="s">
        <v>621</v>
      </c>
      <c r="B102">
        <v>13129</v>
      </c>
    </row>
    <row r="103" spans="1:2" x14ac:dyDescent="0.25">
      <c r="A103" t="s">
        <v>622</v>
      </c>
      <c r="B103">
        <v>11134</v>
      </c>
    </row>
    <row r="104" spans="1:2" x14ac:dyDescent="0.25">
      <c r="A104" t="s">
        <v>623</v>
      </c>
      <c r="B104">
        <v>14101</v>
      </c>
    </row>
    <row r="105" spans="1:2" x14ac:dyDescent="0.25">
      <c r="A105" t="s">
        <v>341</v>
      </c>
      <c r="B105">
        <v>186</v>
      </c>
    </row>
    <row r="106" spans="1:2" x14ac:dyDescent="0.25">
      <c r="A106" t="s">
        <v>397</v>
      </c>
      <c r="B106">
        <v>10911</v>
      </c>
    </row>
    <row r="107" spans="1:2" x14ac:dyDescent="0.25">
      <c r="A107" t="s">
        <v>574</v>
      </c>
      <c r="B107">
        <v>1683</v>
      </c>
    </row>
    <row r="108" spans="1:2" x14ac:dyDescent="0.25">
      <c r="A108" t="s">
        <v>624</v>
      </c>
      <c r="B108">
        <v>14115</v>
      </c>
    </row>
    <row r="109" spans="1:2" x14ac:dyDescent="0.25">
      <c r="A109" t="s">
        <v>293</v>
      </c>
      <c r="B109">
        <v>7111</v>
      </c>
    </row>
    <row r="110" spans="1:2" x14ac:dyDescent="0.25">
      <c r="A110" t="s">
        <v>520</v>
      </c>
      <c r="B110">
        <v>101416</v>
      </c>
    </row>
    <row r="111" spans="1:2" x14ac:dyDescent="0.25">
      <c r="A111" t="s">
        <v>625</v>
      </c>
      <c r="B111">
        <v>7316</v>
      </c>
    </row>
    <row r="112" spans="1:2" x14ac:dyDescent="0.25">
      <c r="A112" t="s">
        <v>183</v>
      </c>
      <c r="B112">
        <v>384</v>
      </c>
    </row>
    <row r="113" spans="1:2" x14ac:dyDescent="0.25">
      <c r="A113" t="s">
        <v>351</v>
      </c>
      <c r="B113">
        <v>3610</v>
      </c>
    </row>
    <row r="114" spans="1:2" x14ac:dyDescent="0.25">
      <c r="A114" t="s">
        <v>368</v>
      </c>
      <c r="B114">
        <v>618</v>
      </c>
    </row>
    <row r="115" spans="1:2" x14ac:dyDescent="0.25">
      <c r="A115" t="s">
        <v>626</v>
      </c>
      <c r="B115">
        <v>16911</v>
      </c>
    </row>
    <row r="116" spans="1:2" x14ac:dyDescent="0.25">
      <c r="A116" t="s">
        <v>419</v>
      </c>
      <c r="B116">
        <v>279</v>
      </c>
    </row>
    <row r="117" spans="1:2" x14ac:dyDescent="0.25">
      <c r="A117" t="s">
        <v>256</v>
      </c>
      <c r="B117">
        <v>857</v>
      </c>
    </row>
    <row r="118" spans="1:2" x14ac:dyDescent="0.25">
      <c r="A118" t="s">
        <v>492</v>
      </c>
      <c r="B118">
        <v>5216</v>
      </c>
    </row>
    <row r="119" spans="1:2" x14ac:dyDescent="0.25">
      <c r="A119" t="s">
        <v>538</v>
      </c>
      <c r="B119">
        <v>11412</v>
      </c>
    </row>
    <row r="120" spans="1:2" x14ac:dyDescent="0.25">
      <c r="A120" t="s">
        <v>627</v>
      </c>
      <c r="B120">
        <v>1448</v>
      </c>
    </row>
    <row r="121" spans="1:2" x14ac:dyDescent="0.25">
      <c r="A121" t="s">
        <v>366</v>
      </c>
      <c r="B121">
        <v>8111</v>
      </c>
    </row>
    <row r="122" spans="1:2" x14ac:dyDescent="0.25">
      <c r="A122" t="s">
        <v>570</v>
      </c>
      <c r="B122">
        <v>141210</v>
      </c>
    </row>
    <row r="123" spans="1:2" x14ac:dyDescent="0.25">
      <c r="A123" t="s">
        <v>628</v>
      </c>
      <c r="B123">
        <v>1661</v>
      </c>
    </row>
    <row r="124" spans="1:2" x14ac:dyDescent="0.25">
      <c r="A124" t="s">
        <v>629</v>
      </c>
      <c r="B124">
        <v>1592</v>
      </c>
    </row>
    <row r="125" spans="1:2" x14ac:dyDescent="0.25">
      <c r="A125" t="s">
        <v>630</v>
      </c>
      <c r="B125">
        <v>1682</v>
      </c>
    </row>
    <row r="126" spans="1:2" x14ac:dyDescent="0.25">
      <c r="A126" t="s">
        <v>310</v>
      </c>
      <c r="B126">
        <v>549</v>
      </c>
    </row>
    <row r="127" spans="1:2" x14ac:dyDescent="0.25">
      <c r="A127" t="s">
        <v>469</v>
      </c>
      <c r="B127">
        <v>10813</v>
      </c>
    </row>
    <row r="128" spans="1:2" x14ac:dyDescent="0.25">
      <c r="A128" t="s">
        <v>214</v>
      </c>
      <c r="B128">
        <v>482</v>
      </c>
    </row>
    <row r="129" spans="1:2" x14ac:dyDescent="0.25">
      <c r="A129" t="s">
        <v>186</v>
      </c>
      <c r="B129">
        <v>712</v>
      </c>
    </row>
    <row r="130" spans="1:2" x14ac:dyDescent="0.25">
      <c r="A130" t="s">
        <v>631</v>
      </c>
      <c r="B130">
        <v>41410</v>
      </c>
    </row>
    <row r="131" spans="1:2" x14ac:dyDescent="0.25">
      <c r="A131" t="s">
        <v>548</v>
      </c>
      <c r="B131">
        <v>3115</v>
      </c>
    </row>
    <row r="132" spans="1:2" x14ac:dyDescent="0.25">
      <c r="A132" t="s">
        <v>632</v>
      </c>
      <c r="B132">
        <v>1615</v>
      </c>
    </row>
    <row r="133" spans="1:2" x14ac:dyDescent="0.25">
      <c r="A133" t="s">
        <v>388</v>
      </c>
      <c r="B133">
        <v>654</v>
      </c>
    </row>
    <row r="134" spans="1:2" x14ac:dyDescent="0.25">
      <c r="A134" t="s">
        <v>503</v>
      </c>
      <c r="B134">
        <v>71612</v>
      </c>
    </row>
    <row r="135" spans="1:2" x14ac:dyDescent="0.25">
      <c r="A135" t="s">
        <v>633</v>
      </c>
      <c r="B135">
        <v>15811</v>
      </c>
    </row>
    <row r="136" spans="1:2" x14ac:dyDescent="0.25">
      <c r="A136" t="s">
        <v>240</v>
      </c>
      <c r="B136">
        <v>7115</v>
      </c>
    </row>
    <row r="137" spans="1:2" x14ac:dyDescent="0.25">
      <c r="A137" t="s">
        <v>634</v>
      </c>
      <c r="B137">
        <v>161514</v>
      </c>
    </row>
    <row r="138" spans="1:2" x14ac:dyDescent="0.25">
      <c r="A138" t="s">
        <v>389</v>
      </c>
      <c r="B138">
        <v>275</v>
      </c>
    </row>
    <row r="139" spans="1:2" x14ac:dyDescent="0.25">
      <c r="A139" t="s">
        <v>327</v>
      </c>
      <c r="B139">
        <v>269</v>
      </c>
    </row>
    <row r="140" spans="1:2" x14ac:dyDescent="0.25">
      <c r="A140" t="s">
        <v>172</v>
      </c>
      <c r="B140">
        <v>4612</v>
      </c>
    </row>
    <row r="141" spans="1:2" x14ac:dyDescent="0.25">
      <c r="A141" t="s">
        <v>282</v>
      </c>
      <c r="B141">
        <v>12311</v>
      </c>
    </row>
    <row r="142" spans="1:2" x14ac:dyDescent="0.25">
      <c r="A142" t="s">
        <v>125</v>
      </c>
      <c r="B142">
        <v>523</v>
      </c>
    </row>
    <row r="143" spans="1:2" x14ac:dyDescent="0.25">
      <c r="A143" t="s">
        <v>635</v>
      </c>
      <c r="B143">
        <v>1493</v>
      </c>
    </row>
    <row r="144" spans="1:2" x14ac:dyDescent="0.25">
      <c r="A144" t="s">
        <v>184</v>
      </c>
      <c r="B144">
        <v>1107</v>
      </c>
    </row>
    <row r="145" spans="1:2" x14ac:dyDescent="0.25">
      <c r="A145" t="s">
        <v>636</v>
      </c>
      <c r="B145">
        <v>13123</v>
      </c>
    </row>
    <row r="146" spans="1:2" x14ac:dyDescent="0.25">
      <c r="A146" t="s">
        <v>238</v>
      </c>
      <c r="B146">
        <v>741</v>
      </c>
    </row>
    <row r="147" spans="1:2" x14ac:dyDescent="0.25">
      <c r="A147" t="s">
        <v>637</v>
      </c>
      <c r="B147">
        <v>41613</v>
      </c>
    </row>
    <row r="148" spans="1:2" x14ac:dyDescent="0.25">
      <c r="A148" t="s">
        <v>638</v>
      </c>
      <c r="B148">
        <v>4157</v>
      </c>
    </row>
    <row r="149" spans="1:2" x14ac:dyDescent="0.25">
      <c r="A149" t="s">
        <v>301</v>
      </c>
      <c r="B149">
        <v>638</v>
      </c>
    </row>
    <row r="150" spans="1:2" x14ac:dyDescent="0.25">
      <c r="A150" t="s">
        <v>639</v>
      </c>
      <c r="B150">
        <v>16102</v>
      </c>
    </row>
    <row r="151" spans="1:2" x14ac:dyDescent="0.25">
      <c r="A151" t="s">
        <v>474</v>
      </c>
      <c r="B151">
        <v>151612</v>
      </c>
    </row>
    <row r="152" spans="1:2" x14ac:dyDescent="0.25">
      <c r="A152" t="s">
        <v>547</v>
      </c>
      <c r="B152">
        <v>15145</v>
      </c>
    </row>
    <row r="153" spans="1:2" x14ac:dyDescent="0.25">
      <c r="A153" t="s">
        <v>162</v>
      </c>
      <c r="B153">
        <v>743</v>
      </c>
    </row>
    <row r="154" spans="1:2" x14ac:dyDescent="0.25">
      <c r="A154" t="s">
        <v>495</v>
      </c>
      <c r="B154">
        <v>1166</v>
      </c>
    </row>
    <row r="155" spans="1:2" x14ac:dyDescent="0.25">
      <c r="A155" t="s">
        <v>277</v>
      </c>
      <c r="B155">
        <v>1109</v>
      </c>
    </row>
    <row r="156" spans="1:2" x14ac:dyDescent="0.25">
      <c r="A156" t="s">
        <v>554</v>
      </c>
      <c r="B156">
        <v>4615</v>
      </c>
    </row>
    <row r="157" spans="1:2" x14ac:dyDescent="0.25">
      <c r="A157" t="s">
        <v>532</v>
      </c>
      <c r="B157">
        <v>91314</v>
      </c>
    </row>
    <row r="158" spans="1:2" x14ac:dyDescent="0.25">
      <c r="A158" t="s">
        <v>451</v>
      </c>
      <c r="B158">
        <v>1091</v>
      </c>
    </row>
    <row r="159" spans="1:2" x14ac:dyDescent="0.25">
      <c r="A159" t="s">
        <v>312</v>
      </c>
      <c r="B159">
        <v>2512</v>
      </c>
    </row>
    <row r="160" spans="1:2" x14ac:dyDescent="0.25">
      <c r="A160" t="s">
        <v>428</v>
      </c>
      <c r="B160">
        <v>964</v>
      </c>
    </row>
    <row r="161" spans="1:2" x14ac:dyDescent="0.25">
      <c r="A161" t="s">
        <v>640</v>
      </c>
      <c r="B161">
        <v>11415</v>
      </c>
    </row>
    <row r="162" spans="1:2" x14ac:dyDescent="0.25">
      <c r="A162" t="s">
        <v>522</v>
      </c>
      <c r="B162">
        <v>6315</v>
      </c>
    </row>
    <row r="163" spans="1:2" x14ac:dyDescent="0.25">
      <c r="A163" t="s">
        <v>641</v>
      </c>
      <c r="B163">
        <v>8914</v>
      </c>
    </row>
    <row r="164" spans="1:2" x14ac:dyDescent="0.25">
      <c r="A164" t="s">
        <v>147</v>
      </c>
      <c r="B164">
        <v>6113</v>
      </c>
    </row>
    <row r="165" spans="1:2" x14ac:dyDescent="0.25">
      <c r="A165" t="s">
        <v>642</v>
      </c>
      <c r="B165">
        <v>8413</v>
      </c>
    </row>
    <row r="166" spans="1:2" x14ac:dyDescent="0.25">
      <c r="A166" t="s">
        <v>251</v>
      </c>
      <c r="B166">
        <v>2128</v>
      </c>
    </row>
    <row r="167" spans="1:2" x14ac:dyDescent="0.25">
      <c r="A167" t="s">
        <v>643</v>
      </c>
      <c r="B167">
        <v>1614</v>
      </c>
    </row>
    <row r="168" spans="1:2" x14ac:dyDescent="0.25">
      <c r="A168" t="s">
        <v>262</v>
      </c>
      <c r="B168">
        <v>5311</v>
      </c>
    </row>
    <row r="169" spans="1:2" x14ac:dyDescent="0.25">
      <c r="A169" t="s">
        <v>644</v>
      </c>
      <c r="B169">
        <v>101311</v>
      </c>
    </row>
    <row r="170" spans="1:2" x14ac:dyDescent="0.25">
      <c r="A170" t="s">
        <v>467</v>
      </c>
      <c r="B170">
        <v>5214</v>
      </c>
    </row>
    <row r="171" spans="1:2" x14ac:dyDescent="0.25">
      <c r="A171" t="s">
        <v>373</v>
      </c>
      <c r="B171">
        <v>5109</v>
      </c>
    </row>
    <row r="172" spans="1:2" x14ac:dyDescent="0.25">
      <c r="A172" t="s">
        <v>645</v>
      </c>
      <c r="B172">
        <v>81416</v>
      </c>
    </row>
    <row r="173" spans="1:2" x14ac:dyDescent="0.25">
      <c r="A173" t="s">
        <v>488</v>
      </c>
      <c r="B173">
        <v>5157</v>
      </c>
    </row>
    <row r="174" spans="1:2" x14ac:dyDescent="0.25">
      <c r="A174" t="s">
        <v>524</v>
      </c>
      <c r="B174">
        <v>11616</v>
      </c>
    </row>
    <row r="175" spans="1:2" x14ac:dyDescent="0.25">
      <c r="A175" t="s">
        <v>427</v>
      </c>
      <c r="B175">
        <v>2113</v>
      </c>
    </row>
    <row r="176" spans="1:2" x14ac:dyDescent="0.25">
      <c r="A176" t="s">
        <v>646</v>
      </c>
      <c r="B176">
        <v>14166</v>
      </c>
    </row>
    <row r="177" spans="1:2" x14ac:dyDescent="0.25">
      <c r="A177" t="s">
        <v>431</v>
      </c>
      <c r="B177">
        <v>10123</v>
      </c>
    </row>
    <row r="178" spans="1:2" x14ac:dyDescent="0.25">
      <c r="A178" t="s">
        <v>607</v>
      </c>
      <c r="B178">
        <v>3815</v>
      </c>
    </row>
    <row r="179" spans="1:2" x14ac:dyDescent="0.25">
      <c r="A179" t="s">
        <v>573</v>
      </c>
      <c r="B179">
        <v>15611</v>
      </c>
    </row>
    <row r="180" spans="1:2" x14ac:dyDescent="0.25">
      <c r="A180" t="s">
        <v>647</v>
      </c>
      <c r="B180">
        <v>81316</v>
      </c>
    </row>
    <row r="181" spans="1:2" x14ac:dyDescent="0.25">
      <c r="A181" t="s">
        <v>230</v>
      </c>
      <c r="B181">
        <v>143</v>
      </c>
    </row>
    <row r="182" spans="1:2" x14ac:dyDescent="0.25">
      <c r="A182" t="s">
        <v>290</v>
      </c>
      <c r="B182">
        <v>3810</v>
      </c>
    </row>
    <row r="183" spans="1:2" x14ac:dyDescent="0.25">
      <c r="A183" t="s">
        <v>367</v>
      </c>
      <c r="B183">
        <v>4116</v>
      </c>
    </row>
    <row r="184" spans="1:2" x14ac:dyDescent="0.25">
      <c r="A184" t="s">
        <v>648</v>
      </c>
      <c r="B184">
        <v>14610</v>
      </c>
    </row>
    <row r="185" spans="1:2" x14ac:dyDescent="0.25">
      <c r="A185" t="s">
        <v>649</v>
      </c>
      <c r="B185">
        <v>9616</v>
      </c>
    </row>
    <row r="186" spans="1:2" x14ac:dyDescent="0.25">
      <c r="A186" t="s">
        <v>650</v>
      </c>
      <c r="B186">
        <v>31115</v>
      </c>
    </row>
    <row r="187" spans="1:2" x14ac:dyDescent="0.25">
      <c r="A187" t="s">
        <v>319</v>
      </c>
      <c r="B187">
        <v>61211</v>
      </c>
    </row>
    <row r="188" spans="1:2" x14ac:dyDescent="0.25">
      <c r="A188" t="s">
        <v>245</v>
      </c>
      <c r="B188">
        <v>157</v>
      </c>
    </row>
    <row r="189" spans="1:2" x14ac:dyDescent="0.25">
      <c r="A189" t="s">
        <v>469</v>
      </c>
      <c r="B189">
        <v>10813</v>
      </c>
    </row>
    <row r="190" spans="1:2" x14ac:dyDescent="0.25">
      <c r="A190" t="s">
        <v>318</v>
      </c>
      <c r="B190">
        <v>10126</v>
      </c>
    </row>
    <row r="191" spans="1:2" x14ac:dyDescent="0.25">
      <c r="A191" t="s">
        <v>280</v>
      </c>
      <c r="B191">
        <v>347</v>
      </c>
    </row>
    <row r="192" spans="1:2" x14ac:dyDescent="0.25">
      <c r="A192" t="s">
        <v>651</v>
      </c>
      <c r="B192">
        <v>16152</v>
      </c>
    </row>
    <row r="193" spans="1:2" x14ac:dyDescent="0.25">
      <c r="A193" t="s">
        <v>652</v>
      </c>
      <c r="B193">
        <v>12714</v>
      </c>
    </row>
    <row r="194" spans="1:2" x14ac:dyDescent="0.25">
      <c r="A194" t="s">
        <v>497</v>
      </c>
      <c r="B194">
        <v>1428</v>
      </c>
    </row>
    <row r="195" spans="1:2" x14ac:dyDescent="0.25">
      <c r="A195" t="s">
        <v>479</v>
      </c>
      <c r="B195">
        <v>6414</v>
      </c>
    </row>
    <row r="196" spans="1:2" x14ac:dyDescent="0.25">
      <c r="A196" t="s">
        <v>653</v>
      </c>
      <c r="B196">
        <v>15713</v>
      </c>
    </row>
    <row r="197" spans="1:2" x14ac:dyDescent="0.25">
      <c r="A197" t="s">
        <v>654</v>
      </c>
      <c r="B197">
        <v>131415</v>
      </c>
    </row>
    <row r="198" spans="1:2" x14ac:dyDescent="0.25">
      <c r="A198" t="s">
        <v>456</v>
      </c>
      <c r="B198">
        <v>71013</v>
      </c>
    </row>
    <row r="199" spans="1:2" x14ac:dyDescent="0.25">
      <c r="A199" t="s">
        <v>655</v>
      </c>
      <c r="B199">
        <v>1684</v>
      </c>
    </row>
    <row r="200" spans="1:2" x14ac:dyDescent="0.25">
      <c r="A200" t="s">
        <v>656</v>
      </c>
      <c r="B200">
        <v>61214</v>
      </c>
    </row>
    <row r="201" spans="1:2" x14ac:dyDescent="0.25">
      <c r="A201" t="s">
        <v>657</v>
      </c>
      <c r="B201">
        <v>121115</v>
      </c>
    </row>
    <row r="202" spans="1:2" x14ac:dyDescent="0.25">
      <c r="A202" t="s">
        <v>309</v>
      </c>
      <c r="B202">
        <v>1114</v>
      </c>
    </row>
    <row r="203" spans="1:2" x14ac:dyDescent="0.25">
      <c r="A203" t="s">
        <v>658</v>
      </c>
      <c r="B203">
        <v>11158</v>
      </c>
    </row>
    <row r="204" spans="1:2" x14ac:dyDescent="0.25">
      <c r="A204" t="s">
        <v>203</v>
      </c>
      <c r="B204">
        <v>7111</v>
      </c>
    </row>
    <row r="205" spans="1:2" x14ac:dyDescent="0.25">
      <c r="A205" t="s">
        <v>659</v>
      </c>
      <c r="B205">
        <v>12314</v>
      </c>
    </row>
    <row r="206" spans="1:2" x14ac:dyDescent="0.25">
      <c r="A206" t="s">
        <v>531</v>
      </c>
      <c r="B206">
        <v>16103</v>
      </c>
    </row>
    <row r="207" spans="1:2" x14ac:dyDescent="0.25">
      <c r="A207" t="s">
        <v>337</v>
      </c>
      <c r="B207">
        <v>11012</v>
      </c>
    </row>
    <row r="208" spans="1:2" x14ac:dyDescent="0.25">
      <c r="A208" t="s">
        <v>660</v>
      </c>
      <c r="B208">
        <v>141516</v>
      </c>
    </row>
    <row r="209" spans="1:2" x14ac:dyDescent="0.25">
      <c r="A209" t="s">
        <v>613</v>
      </c>
      <c r="B209">
        <v>1481</v>
      </c>
    </row>
    <row r="210" spans="1:2" x14ac:dyDescent="0.25">
      <c r="A210" t="s">
        <v>296</v>
      </c>
      <c r="B210">
        <v>51210</v>
      </c>
    </row>
    <row r="211" spans="1:2" x14ac:dyDescent="0.25">
      <c r="A211" t="s">
        <v>339</v>
      </c>
      <c r="B211">
        <v>1084</v>
      </c>
    </row>
    <row r="212" spans="1:2" x14ac:dyDescent="0.25">
      <c r="A212" t="s">
        <v>661</v>
      </c>
      <c r="B212">
        <v>101612</v>
      </c>
    </row>
    <row r="213" spans="1:2" x14ac:dyDescent="0.25">
      <c r="A213" t="s">
        <v>662</v>
      </c>
      <c r="B213">
        <v>9116</v>
      </c>
    </row>
    <row r="214" spans="1:2" x14ac:dyDescent="0.25">
      <c r="A214" t="s">
        <v>447</v>
      </c>
      <c r="B214">
        <v>3116</v>
      </c>
    </row>
    <row r="215" spans="1:2" x14ac:dyDescent="0.25">
      <c r="A215" t="s">
        <v>663</v>
      </c>
      <c r="B215">
        <v>14105</v>
      </c>
    </row>
    <row r="216" spans="1:2" x14ac:dyDescent="0.25">
      <c r="A216" t="s">
        <v>664</v>
      </c>
      <c r="B216">
        <v>11213</v>
      </c>
    </row>
    <row r="217" spans="1:2" x14ac:dyDescent="0.25">
      <c r="A217" t="s">
        <v>369</v>
      </c>
      <c r="B217">
        <v>8612</v>
      </c>
    </row>
    <row r="218" spans="1:2" x14ac:dyDescent="0.25">
      <c r="A218" t="s">
        <v>665</v>
      </c>
      <c r="B218">
        <v>11316</v>
      </c>
    </row>
    <row r="219" spans="1:2" x14ac:dyDescent="0.25">
      <c r="A219" t="s">
        <v>187</v>
      </c>
      <c r="B219">
        <v>1079</v>
      </c>
    </row>
    <row r="220" spans="1:2" x14ac:dyDescent="0.25">
      <c r="A220" t="s">
        <v>666</v>
      </c>
      <c r="B220">
        <v>10153</v>
      </c>
    </row>
    <row r="221" spans="1:2" x14ac:dyDescent="0.25">
      <c r="A221" t="s">
        <v>667</v>
      </c>
      <c r="B221">
        <v>10913</v>
      </c>
    </row>
    <row r="222" spans="1:2" x14ac:dyDescent="0.25">
      <c r="A222" t="s">
        <v>668</v>
      </c>
      <c r="B222">
        <v>141113</v>
      </c>
    </row>
    <row r="223" spans="1:2" x14ac:dyDescent="0.25">
      <c r="A223" t="s">
        <v>390</v>
      </c>
      <c r="B223">
        <v>613</v>
      </c>
    </row>
    <row r="224" spans="1:2" x14ac:dyDescent="0.25">
      <c r="A224" t="s">
        <v>315</v>
      </c>
      <c r="B224">
        <v>1710</v>
      </c>
    </row>
    <row r="225" spans="1:2" x14ac:dyDescent="0.25">
      <c r="A225" t="s">
        <v>480</v>
      </c>
      <c r="B225">
        <v>21615</v>
      </c>
    </row>
    <row r="226" spans="1:2" x14ac:dyDescent="0.25">
      <c r="A226" t="s">
        <v>539</v>
      </c>
      <c r="B226">
        <v>61013</v>
      </c>
    </row>
    <row r="227" spans="1:2" x14ac:dyDescent="0.25">
      <c r="A227" t="s">
        <v>540</v>
      </c>
      <c r="B227">
        <v>1574</v>
      </c>
    </row>
    <row r="228" spans="1:2" x14ac:dyDescent="0.25">
      <c r="A228" t="s">
        <v>423</v>
      </c>
      <c r="B228">
        <v>915</v>
      </c>
    </row>
    <row r="229" spans="1:2" x14ac:dyDescent="0.25">
      <c r="A229" t="s">
        <v>669</v>
      </c>
      <c r="B229">
        <v>1624</v>
      </c>
    </row>
    <row r="230" spans="1:2" x14ac:dyDescent="0.25">
      <c r="A230" t="s">
        <v>201</v>
      </c>
      <c r="B230">
        <v>3129</v>
      </c>
    </row>
    <row r="231" spans="1:2" x14ac:dyDescent="0.25">
      <c r="A231" t="s">
        <v>326</v>
      </c>
      <c r="B231">
        <v>326</v>
      </c>
    </row>
    <row r="232" spans="1:2" x14ac:dyDescent="0.25">
      <c r="A232" t="s">
        <v>670</v>
      </c>
      <c r="B232">
        <v>141110</v>
      </c>
    </row>
    <row r="233" spans="1:2" x14ac:dyDescent="0.25">
      <c r="A233" t="s">
        <v>422</v>
      </c>
      <c r="B233">
        <v>3127</v>
      </c>
    </row>
    <row r="234" spans="1:2" x14ac:dyDescent="0.25">
      <c r="A234" t="s">
        <v>449</v>
      </c>
      <c r="B234">
        <v>1128</v>
      </c>
    </row>
    <row r="235" spans="1:2" x14ac:dyDescent="0.25">
      <c r="A235" t="s">
        <v>535</v>
      </c>
      <c r="B235">
        <v>91615</v>
      </c>
    </row>
    <row r="236" spans="1:2" x14ac:dyDescent="0.25">
      <c r="A236" t="s">
        <v>671</v>
      </c>
      <c r="B236">
        <v>1526</v>
      </c>
    </row>
    <row r="237" spans="1:2" x14ac:dyDescent="0.25">
      <c r="A237" t="s">
        <v>658</v>
      </c>
      <c r="B237">
        <v>11158</v>
      </c>
    </row>
    <row r="238" spans="1:2" x14ac:dyDescent="0.25">
      <c r="A238" t="s">
        <v>468</v>
      </c>
      <c r="B238">
        <v>13121</v>
      </c>
    </row>
    <row r="239" spans="1:2" x14ac:dyDescent="0.25">
      <c r="A239" t="s">
        <v>672</v>
      </c>
      <c r="B239">
        <v>14815</v>
      </c>
    </row>
    <row r="240" spans="1:2" x14ac:dyDescent="0.25">
      <c r="A240" t="s">
        <v>504</v>
      </c>
      <c r="B240">
        <v>14103</v>
      </c>
    </row>
    <row r="241" spans="1:2" x14ac:dyDescent="0.25">
      <c r="A241" t="s">
        <v>487</v>
      </c>
      <c r="B241">
        <v>1149</v>
      </c>
    </row>
    <row r="242" spans="1:2" x14ac:dyDescent="0.25">
      <c r="A242" t="s">
        <v>328</v>
      </c>
      <c r="B242">
        <v>1181</v>
      </c>
    </row>
    <row r="243" spans="1:2" x14ac:dyDescent="0.25">
      <c r="A243" t="s">
        <v>374</v>
      </c>
      <c r="B243">
        <v>534</v>
      </c>
    </row>
    <row r="244" spans="1:2" x14ac:dyDescent="0.25">
      <c r="A244" t="s">
        <v>560</v>
      </c>
      <c r="B244">
        <v>111614</v>
      </c>
    </row>
    <row r="245" spans="1:2" x14ac:dyDescent="0.25">
      <c r="A245" t="s">
        <v>589</v>
      </c>
      <c r="B245">
        <v>14109</v>
      </c>
    </row>
    <row r="246" spans="1:2" x14ac:dyDescent="0.25">
      <c r="A246" t="s">
        <v>553</v>
      </c>
      <c r="B246">
        <v>4158</v>
      </c>
    </row>
    <row r="247" spans="1:2" x14ac:dyDescent="0.25">
      <c r="A247" t="s">
        <v>490</v>
      </c>
      <c r="B247">
        <v>6716</v>
      </c>
    </row>
    <row r="248" spans="1:2" x14ac:dyDescent="0.25">
      <c r="A248" t="s">
        <v>673</v>
      </c>
      <c r="B248">
        <v>1626</v>
      </c>
    </row>
    <row r="249" spans="1:2" x14ac:dyDescent="0.25">
      <c r="A249" t="s">
        <v>363</v>
      </c>
      <c r="B249">
        <v>7101</v>
      </c>
    </row>
    <row r="250" spans="1:2" x14ac:dyDescent="0.25">
      <c r="A250" t="s">
        <v>180</v>
      </c>
      <c r="B250">
        <v>1229</v>
      </c>
    </row>
    <row r="251" spans="1:2" x14ac:dyDescent="0.25">
      <c r="A251" t="s">
        <v>279</v>
      </c>
      <c r="B251">
        <v>8112</v>
      </c>
    </row>
    <row r="252" spans="1:2" x14ac:dyDescent="0.25">
      <c r="A252" t="s">
        <v>571</v>
      </c>
      <c r="B252">
        <v>6214</v>
      </c>
    </row>
    <row r="253" spans="1:2" x14ac:dyDescent="0.25">
      <c r="A253" t="s">
        <v>379</v>
      </c>
      <c r="B253">
        <v>251</v>
      </c>
    </row>
    <row r="254" spans="1:2" x14ac:dyDescent="0.25">
      <c r="A254" t="s">
        <v>306</v>
      </c>
      <c r="B254">
        <v>1042</v>
      </c>
    </row>
    <row r="255" spans="1:2" x14ac:dyDescent="0.25">
      <c r="A255" t="s">
        <v>201</v>
      </c>
      <c r="B255">
        <v>3129</v>
      </c>
    </row>
    <row r="256" spans="1:2" x14ac:dyDescent="0.25">
      <c r="A256" t="s">
        <v>401</v>
      </c>
      <c r="B256">
        <v>111012</v>
      </c>
    </row>
    <row r="257" spans="1:2" x14ac:dyDescent="0.25">
      <c r="A257" t="s">
        <v>291</v>
      </c>
      <c r="B257">
        <v>6115</v>
      </c>
    </row>
    <row r="258" spans="1:2" x14ac:dyDescent="0.25">
      <c r="A258" t="s">
        <v>674</v>
      </c>
      <c r="B258">
        <v>1534</v>
      </c>
    </row>
    <row r="259" spans="1:2" x14ac:dyDescent="0.25">
      <c r="A259" t="s">
        <v>675</v>
      </c>
      <c r="B259">
        <v>16117</v>
      </c>
    </row>
    <row r="260" spans="1:2" x14ac:dyDescent="0.25">
      <c r="A260" t="s">
        <v>676</v>
      </c>
      <c r="B260">
        <v>101611</v>
      </c>
    </row>
    <row r="261" spans="1:2" x14ac:dyDescent="0.25">
      <c r="A261" t="s">
        <v>677</v>
      </c>
      <c r="B261">
        <v>71516</v>
      </c>
    </row>
    <row r="262" spans="1:2" x14ac:dyDescent="0.25">
      <c r="A262" t="s">
        <v>678</v>
      </c>
      <c r="B262">
        <v>15314</v>
      </c>
    </row>
    <row r="263" spans="1:2" x14ac:dyDescent="0.25">
      <c r="A263" t="s">
        <v>541</v>
      </c>
      <c r="B263">
        <v>5147</v>
      </c>
    </row>
    <row r="264" spans="1:2" x14ac:dyDescent="0.25">
      <c r="A264" t="s">
        <v>669</v>
      </c>
      <c r="B264">
        <v>1624</v>
      </c>
    </row>
    <row r="265" spans="1:2" x14ac:dyDescent="0.25">
      <c r="A265" t="s">
        <v>679</v>
      </c>
      <c r="B265">
        <v>61611</v>
      </c>
    </row>
    <row r="266" spans="1:2" x14ac:dyDescent="0.25">
      <c r="A266" t="s">
        <v>551</v>
      </c>
      <c r="B266">
        <v>61115</v>
      </c>
    </row>
    <row r="267" spans="1:2" x14ac:dyDescent="0.25">
      <c r="A267" t="s">
        <v>261</v>
      </c>
      <c r="B267">
        <v>2311</v>
      </c>
    </row>
    <row r="268" spans="1:2" x14ac:dyDescent="0.25">
      <c r="A268" t="s">
        <v>496</v>
      </c>
      <c r="B268">
        <v>131610</v>
      </c>
    </row>
    <row r="269" spans="1:2" x14ac:dyDescent="0.25">
      <c r="A269" t="s">
        <v>288</v>
      </c>
      <c r="B269">
        <v>1147</v>
      </c>
    </row>
    <row r="270" spans="1:2" x14ac:dyDescent="0.25">
      <c r="A270" t="s">
        <v>237</v>
      </c>
      <c r="B270">
        <v>1272</v>
      </c>
    </row>
    <row r="271" spans="1:2" x14ac:dyDescent="0.25">
      <c r="A271" t="s">
        <v>528</v>
      </c>
      <c r="B271">
        <v>1673</v>
      </c>
    </row>
    <row r="272" spans="1:2" x14ac:dyDescent="0.25">
      <c r="A272" t="s">
        <v>680</v>
      </c>
      <c r="B272">
        <v>21613</v>
      </c>
    </row>
    <row r="273" spans="1:2" x14ac:dyDescent="0.25">
      <c r="A273" t="s">
        <v>415</v>
      </c>
      <c r="B273">
        <v>61110</v>
      </c>
    </row>
    <row r="274" spans="1:2" x14ac:dyDescent="0.25">
      <c r="A274" t="s">
        <v>196</v>
      </c>
      <c r="B274">
        <v>634</v>
      </c>
    </row>
    <row r="275" spans="1:2" x14ac:dyDescent="0.25">
      <c r="A275" t="s">
        <v>681</v>
      </c>
      <c r="B275">
        <v>11168</v>
      </c>
    </row>
    <row r="276" spans="1:2" x14ac:dyDescent="0.25">
      <c r="A276" t="s">
        <v>682</v>
      </c>
      <c r="B276">
        <v>6913</v>
      </c>
    </row>
    <row r="277" spans="1:2" x14ac:dyDescent="0.25">
      <c r="A277" t="s">
        <v>683</v>
      </c>
      <c r="B277">
        <v>1639</v>
      </c>
    </row>
    <row r="278" spans="1:2" x14ac:dyDescent="0.25">
      <c r="A278" t="s">
        <v>417</v>
      </c>
      <c r="B278">
        <v>871</v>
      </c>
    </row>
    <row r="279" spans="1:2" x14ac:dyDescent="0.25">
      <c r="A279" t="s">
        <v>684</v>
      </c>
      <c r="B279">
        <v>3168</v>
      </c>
    </row>
    <row r="280" spans="1:2" x14ac:dyDescent="0.25">
      <c r="A280" t="s">
        <v>685</v>
      </c>
      <c r="B280">
        <v>1426</v>
      </c>
    </row>
    <row r="281" spans="1:2" x14ac:dyDescent="0.25">
      <c r="A281" t="s">
        <v>325</v>
      </c>
      <c r="B281">
        <v>7310</v>
      </c>
    </row>
    <row r="282" spans="1:2" x14ac:dyDescent="0.25">
      <c r="A282" t="s">
        <v>562</v>
      </c>
      <c r="B282">
        <v>1593</v>
      </c>
    </row>
    <row r="283" spans="1:2" x14ac:dyDescent="0.25">
      <c r="A283" t="s">
        <v>686</v>
      </c>
      <c r="B283">
        <v>9133</v>
      </c>
    </row>
    <row r="284" spans="1:2" x14ac:dyDescent="0.25">
      <c r="A284" t="s">
        <v>344</v>
      </c>
      <c r="B284">
        <v>9111</v>
      </c>
    </row>
    <row r="285" spans="1:2" x14ac:dyDescent="0.25">
      <c r="A285" t="s">
        <v>406</v>
      </c>
      <c r="B285">
        <v>1124</v>
      </c>
    </row>
    <row r="286" spans="1:2" x14ac:dyDescent="0.25">
      <c r="A286" t="s">
        <v>687</v>
      </c>
      <c r="B286">
        <v>51516</v>
      </c>
    </row>
    <row r="287" spans="1:2" x14ac:dyDescent="0.25">
      <c r="A287" t="s">
        <v>378</v>
      </c>
      <c r="B287">
        <v>9122</v>
      </c>
    </row>
    <row r="288" spans="1:2" x14ac:dyDescent="0.25">
      <c r="A288" t="s">
        <v>411</v>
      </c>
      <c r="B288">
        <v>1014</v>
      </c>
    </row>
    <row r="289" spans="1:2" x14ac:dyDescent="0.25">
      <c r="A289" t="s">
        <v>136</v>
      </c>
      <c r="B289">
        <v>9411</v>
      </c>
    </row>
    <row r="290" spans="1:2" x14ac:dyDescent="0.25">
      <c r="A290" t="s">
        <v>688</v>
      </c>
      <c r="B290">
        <v>5915</v>
      </c>
    </row>
    <row r="291" spans="1:2" x14ac:dyDescent="0.25">
      <c r="A291" t="s">
        <v>689</v>
      </c>
      <c r="B291">
        <v>11142</v>
      </c>
    </row>
    <row r="292" spans="1:2" x14ac:dyDescent="0.25">
      <c r="A292" t="s">
        <v>690</v>
      </c>
      <c r="B292">
        <v>1635</v>
      </c>
    </row>
    <row r="293" spans="1:2" x14ac:dyDescent="0.25">
      <c r="A293" t="s">
        <v>494</v>
      </c>
      <c r="B293">
        <v>7415</v>
      </c>
    </row>
    <row r="294" spans="1:2" x14ac:dyDescent="0.25">
      <c r="A294" t="s">
        <v>387</v>
      </c>
      <c r="B294">
        <v>4910</v>
      </c>
    </row>
    <row r="295" spans="1:2" x14ac:dyDescent="0.25">
      <c r="A295" t="s">
        <v>229</v>
      </c>
      <c r="B295">
        <v>3108</v>
      </c>
    </row>
    <row r="296" spans="1:2" x14ac:dyDescent="0.25">
      <c r="A296" t="s">
        <v>691</v>
      </c>
      <c r="B296">
        <v>131614</v>
      </c>
    </row>
    <row r="297" spans="1:2" x14ac:dyDescent="0.25">
      <c r="A297" t="s">
        <v>692</v>
      </c>
      <c r="B297">
        <v>14516</v>
      </c>
    </row>
    <row r="298" spans="1:2" x14ac:dyDescent="0.25">
      <c r="A298" t="s">
        <v>693</v>
      </c>
      <c r="B298">
        <v>101214</v>
      </c>
    </row>
    <row r="299" spans="1:2" x14ac:dyDescent="0.25">
      <c r="A299" t="s">
        <v>516</v>
      </c>
      <c r="B299">
        <v>10314</v>
      </c>
    </row>
    <row r="300" spans="1:2" x14ac:dyDescent="0.25">
      <c r="A300" t="s">
        <v>660</v>
      </c>
      <c r="B300">
        <v>141516</v>
      </c>
    </row>
    <row r="301" spans="1:2" x14ac:dyDescent="0.25">
      <c r="A301" t="s">
        <v>239</v>
      </c>
      <c r="B301">
        <v>861</v>
      </c>
    </row>
    <row r="302" spans="1:2" x14ac:dyDescent="0.25">
      <c r="A302" t="s">
        <v>694</v>
      </c>
      <c r="B302">
        <v>16144</v>
      </c>
    </row>
    <row r="303" spans="1:2" x14ac:dyDescent="0.25">
      <c r="A303" t="s">
        <v>470</v>
      </c>
      <c r="B303">
        <v>31214</v>
      </c>
    </row>
    <row r="304" spans="1:2" x14ac:dyDescent="0.25">
      <c r="A304" t="s">
        <v>514</v>
      </c>
      <c r="B304">
        <v>14168</v>
      </c>
    </row>
    <row r="305" spans="1:2" x14ac:dyDescent="0.25">
      <c r="A305" t="s">
        <v>316</v>
      </c>
      <c r="B305">
        <v>1235</v>
      </c>
    </row>
    <row r="306" spans="1:2" x14ac:dyDescent="0.25">
      <c r="A306" t="s">
        <v>695</v>
      </c>
      <c r="B306">
        <v>8152</v>
      </c>
    </row>
    <row r="307" spans="1:2" x14ac:dyDescent="0.25">
      <c r="A307" t="s">
        <v>696</v>
      </c>
      <c r="B307">
        <v>11310</v>
      </c>
    </row>
    <row r="308" spans="1:2" x14ac:dyDescent="0.25">
      <c r="A308" t="s">
        <v>697</v>
      </c>
      <c r="B308">
        <v>1573</v>
      </c>
    </row>
    <row r="309" spans="1:2" x14ac:dyDescent="0.25">
      <c r="A309" t="s">
        <v>515</v>
      </c>
      <c r="B309">
        <v>91614</v>
      </c>
    </row>
    <row r="310" spans="1:2" x14ac:dyDescent="0.25">
      <c r="A310" t="s">
        <v>698</v>
      </c>
      <c r="B310">
        <v>10415</v>
      </c>
    </row>
    <row r="311" spans="1:2" x14ac:dyDescent="0.25">
      <c r="A311" t="s">
        <v>289</v>
      </c>
      <c r="B311">
        <v>657</v>
      </c>
    </row>
    <row r="312" spans="1:2" x14ac:dyDescent="0.25">
      <c r="A312" t="s">
        <v>212</v>
      </c>
      <c r="B312">
        <v>826</v>
      </c>
    </row>
    <row r="313" spans="1:2" x14ac:dyDescent="0.25">
      <c r="A313" t="s">
        <v>699</v>
      </c>
      <c r="B313">
        <v>1548</v>
      </c>
    </row>
    <row r="314" spans="1:2" x14ac:dyDescent="0.25">
      <c r="A314" t="s">
        <v>303</v>
      </c>
      <c r="B314">
        <v>497</v>
      </c>
    </row>
    <row r="315" spans="1:2" x14ac:dyDescent="0.25">
      <c r="A315" t="s">
        <v>267</v>
      </c>
      <c r="B315">
        <v>10212</v>
      </c>
    </row>
    <row r="316" spans="1:2" x14ac:dyDescent="0.25">
      <c r="A316" t="s">
        <v>509</v>
      </c>
      <c r="B316">
        <v>14210</v>
      </c>
    </row>
    <row r="317" spans="1:2" x14ac:dyDescent="0.25">
      <c r="A317" t="s">
        <v>700</v>
      </c>
      <c r="B317">
        <v>15133</v>
      </c>
    </row>
    <row r="318" spans="1:2" x14ac:dyDescent="0.25">
      <c r="A318" t="s">
        <v>462</v>
      </c>
      <c r="B318">
        <v>1662</v>
      </c>
    </row>
    <row r="319" spans="1:2" x14ac:dyDescent="0.25">
      <c r="A319" t="s">
        <v>209</v>
      </c>
      <c r="B319">
        <v>642</v>
      </c>
    </row>
    <row r="320" spans="1:2" x14ac:dyDescent="0.25">
      <c r="A320" t="s">
        <v>474</v>
      </c>
      <c r="B320">
        <v>151612</v>
      </c>
    </row>
    <row r="321" spans="1:2" x14ac:dyDescent="0.25">
      <c r="A321" t="s">
        <v>701</v>
      </c>
      <c r="B321">
        <v>14812</v>
      </c>
    </row>
    <row r="322" spans="1:2" x14ac:dyDescent="0.25">
      <c r="A322" t="s">
        <v>702</v>
      </c>
      <c r="B322">
        <v>6137</v>
      </c>
    </row>
    <row r="323" spans="1:2" x14ac:dyDescent="0.25">
      <c r="A323" t="s">
        <v>703</v>
      </c>
      <c r="B323">
        <v>3214</v>
      </c>
    </row>
    <row r="324" spans="1:2" x14ac:dyDescent="0.25">
      <c r="A324" t="s">
        <v>356</v>
      </c>
      <c r="B324">
        <v>814</v>
      </c>
    </row>
    <row r="325" spans="1:2" x14ac:dyDescent="0.25">
      <c r="A325" t="s">
        <v>704</v>
      </c>
      <c r="B325">
        <v>91513</v>
      </c>
    </row>
    <row r="326" spans="1:2" x14ac:dyDescent="0.25">
      <c r="A326" t="s">
        <v>523</v>
      </c>
      <c r="B326">
        <v>1694</v>
      </c>
    </row>
    <row r="327" spans="1:2" x14ac:dyDescent="0.25">
      <c r="A327" t="s">
        <v>705</v>
      </c>
      <c r="B327">
        <v>1479</v>
      </c>
    </row>
    <row r="328" spans="1:2" x14ac:dyDescent="0.25">
      <c r="A328" t="s">
        <v>299</v>
      </c>
      <c r="B328">
        <v>173</v>
      </c>
    </row>
    <row r="329" spans="1:2" x14ac:dyDescent="0.25">
      <c r="A329" t="s">
        <v>287</v>
      </c>
      <c r="B329">
        <v>2111</v>
      </c>
    </row>
    <row r="330" spans="1:2" x14ac:dyDescent="0.25">
      <c r="A330" t="s">
        <v>163</v>
      </c>
      <c r="B330">
        <v>1098</v>
      </c>
    </row>
    <row r="331" spans="1:2" x14ac:dyDescent="0.25">
      <c r="A331" t="s">
        <v>333</v>
      </c>
      <c r="B331">
        <v>6511</v>
      </c>
    </row>
    <row r="332" spans="1:2" x14ac:dyDescent="0.25">
      <c r="A332" t="s">
        <v>706</v>
      </c>
      <c r="B332">
        <v>15149</v>
      </c>
    </row>
    <row r="333" spans="1:2" x14ac:dyDescent="0.25">
      <c r="A333" t="s">
        <v>403</v>
      </c>
      <c r="B333">
        <v>371</v>
      </c>
    </row>
    <row r="334" spans="1:2" x14ac:dyDescent="0.25">
      <c r="A334" t="s">
        <v>192</v>
      </c>
      <c r="B334">
        <v>5127</v>
      </c>
    </row>
    <row r="335" spans="1:2" x14ac:dyDescent="0.25">
      <c r="A335" t="s">
        <v>385</v>
      </c>
      <c r="B335">
        <v>149</v>
      </c>
    </row>
    <row r="336" spans="1:2" x14ac:dyDescent="0.25">
      <c r="A336" t="s">
        <v>283</v>
      </c>
      <c r="B336">
        <v>8110</v>
      </c>
    </row>
    <row r="337" spans="1:2" x14ac:dyDescent="0.25">
      <c r="A337" t="s">
        <v>707</v>
      </c>
      <c r="B337">
        <v>1352</v>
      </c>
    </row>
    <row r="338" spans="1:2" x14ac:dyDescent="0.25">
      <c r="A338" t="s">
        <v>533</v>
      </c>
      <c r="B338">
        <v>2153</v>
      </c>
    </row>
    <row r="339" spans="1:2" x14ac:dyDescent="0.25">
      <c r="A339" t="s">
        <v>371</v>
      </c>
      <c r="B339">
        <v>593</v>
      </c>
    </row>
    <row r="340" spans="1:2" x14ac:dyDescent="0.25">
      <c r="A340" t="s">
        <v>558</v>
      </c>
      <c r="B340">
        <v>16115</v>
      </c>
    </row>
    <row r="341" spans="1:2" x14ac:dyDescent="0.25">
      <c r="A341" t="s">
        <v>434</v>
      </c>
      <c r="B341">
        <v>176</v>
      </c>
    </row>
    <row r="342" spans="1:2" x14ac:dyDescent="0.25">
      <c r="A342" t="s">
        <v>340</v>
      </c>
      <c r="B342">
        <v>1142</v>
      </c>
    </row>
    <row r="343" spans="1:2" x14ac:dyDescent="0.25">
      <c r="A343" t="s">
        <v>519</v>
      </c>
      <c r="B343">
        <v>13104</v>
      </c>
    </row>
    <row r="344" spans="1:2" x14ac:dyDescent="0.25">
      <c r="A344" t="s">
        <v>221</v>
      </c>
      <c r="B344">
        <v>31011</v>
      </c>
    </row>
    <row r="345" spans="1:2" x14ac:dyDescent="0.25">
      <c r="A345" t="s">
        <v>460</v>
      </c>
      <c r="B345">
        <v>15516</v>
      </c>
    </row>
    <row r="346" spans="1:2" x14ac:dyDescent="0.25">
      <c r="A346" t="s">
        <v>486</v>
      </c>
      <c r="B346">
        <v>13144</v>
      </c>
    </row>
    <row r="347" spans="1:2" x14ac:dyDescent="0.25">
      <c r="A347" t="s">
        <v>708</v>
      </c>
      <c r="B347">
        <v>61411</v>
      </c>
    </row>
    <row r="348" spans="1:2" x14ac:dyDescent="0.25">
      <c r="A348" t="s">
        <v>360</v>
      </c>
      <c r="B348">
        <v>461</v>
      </c>
    </row>
    <row r="349" spans="1:2" x14ac:dyDescent="0.25">
      <c r="A349" t="s">
        <v>264</v>
      </c>
      <c r="B349">
        <v>781</v>
      </c>
    </row>
    <row r="350" spans="1:2" x14ac:dyDescent="0.25">
      <c r="A350" t="s">
        <v>709</v>
      </c>
      <c r="B350">
        <v>14211</v>
      </c>
    </row>
    <row r="351" spans="1:2" x14ac:dyDescent="0.25">
      <c r="A351" t="s">
        <v>334</v>
      </c>
      <c r="B351">
        <v>1912</v>
      </c>
    </row>
    <row r="352" spans="1:2" x14ac:dyDescent="0.25">
      <c r="A352" t="s">
        <v>710</v>
      </c>
      <c r="B352">
        <v>21116</v>
      </c>
    </row>
    <row r="353" spans="1:2" x14ac:dyDescent="0.25">
      <c r="A353" t="s">
        <v>275</v>
      </c>
      <c r="B353">
        <v>2111</v>
      </c>
    </row>
    <row r="354" spans="1:2" x14ac:dyDescent="0.25">
      <c r="A354" t="s">
        <v>711</v>
      </c>
      <c r="B354">
        <v>4713</v>
      </c>
    </row>
    <row r="355" spans="1:2" x14ac:dyDescent="0.25">
      <c r="A355" t="s">
        <v>204</v>
      </c>
      <c r="B355">
        <v>529</v>
      </c>
    </row>
    <row r="356" spans="1:2" x14ac:dyDescent="0.25">
      <c r="A356" t="s">
        <v>712</v>
      </c>
      <c r="B356">
        <v>11166</v>
      </c>
    </row>
    <row r="357" spans="1:2" x14ac:dyDescent="0.25">
      <c r="A357" t="s">
        <v>481</v>
      </c>
      <c r="B357">
        <v>9716</v>
      </c>
    </row>
    <row r="358" spans="1:2" x14ac:dyDescent="0.25">
      <c r="A358" t="s">
        <v>308</v>
      </c>
      <c r="B358">
        <v>8102</v>
      </c>
    </row>
    <row r="359" spans="1:2" x14ac:dyDescent="0.25">
      <c r="A359" t="s">
        <v>713</v>
      </c>
      <c r="B359">
        <v>6135</v>
      </c>
    </row>
    <row r="360" spans="1:2" x14ac:dyDescent="0.25">
      <c r="A360" t="s">
        <v>714</v>
      </c>
      <c r="B360">
        <v>11144</v>
      </c>
    </row>
    <row r="361" spans="1:2" x14ac:dyDescent="0.25">
      <c r="A361" t="s">
        <v>433</v>
      </c>
      <c r="B361">
        <v>364</v>
      </c>
    </row>
    <row r="362" spans="1:2" x14ac:dyDescent="0.25">
      <c r="A362" t="s">
        <v>715</v>
      </c>
      <c r="B362">
        <v>101115</v>
      </c>
    </row>
    <row r="363" spans="1:2" x14ac:dyDescent="0.25">
      <c r="A363" t="s">
        <v>188</v>
      </c>
      <c r="B363">
        <v>952</v>
      </c>
    </row>
    <row r="364" spans="1:2" x14ac:dyDescent="0.25">
      <c r="A364" t="s">
        <v>716</v>
      </c>
      <c r="B364">
        <v>81013</v>
      </c>
    </row>
    <row r="365" spans="1:2" x14ac:dyDescent="0.25">
      <c r="A365" t="s">
        <v>194</v>
      </c>
      <c r="B365">
        <v>8212</v>
      </c>
    </row>
    <row r="366" spans="1:2" x14ac:dyDescent="0.25">
      <c r="A366" t="s">
        <v>557</v>
      </c>
      <c r="B366">
        <v>1329</v>
      </c>
    </row>
    <row r="367" spans="1:2" x14ac:dyDescent="0.25">
      <c r="A367" t="s">
        <v>207</v>
      </c>
      <c r="B367">
        <v>1145</v>
      </c>
    </row>
    <row r="368" spans="1:2" x14ac:dyDescent="0.25">
      <c r="A368" t="s">
        <v>171</v>
      </c>
      <c r="B368">
        <v>8103</v>
      </c>
    </row>
    <row r="369" spans="1:2" x14ac:dyDescent="0.25">
      <c r="A369" t="s">
        <v>284</v>
      </c>
      <c r="B369">
        <v>9610</v>
      </c>
    </row>
    <row r="370" spans="1:2" x14ac:dyDescent="0.25">
      <c r="A370" t="s">
        <v>508</v>
      </c>
      <c r="B370">
        <v>51610</v>
      </c>
    </row>
    <row r="371" spans="1:2" x14ac:dyDescent="0.25">
      <c r="A371" t="s">
        <v>717</v>
      </c>
      <c r="B371">
        <v>11315</v>
      </c>
    </row>
    <row r="372" spans="1:2" x14ac:dyDescent="0.25">
      <c r="A372" t="s">
        <v>365</v>
      </c>
      <c r="B372">
        <v>2312</v>
      </c>
    </row>
    <row r="373" spans="1:2" x14ac:dyDescent="0.25">
      <c r="A373" t="s">
        <v>444</v>
      </c>
      <c r="B373">
        <v>11810</v>
      </c>
    </row>
    <row r="374" spans="1:2" x14ac:dyDescent="0.25">
      <c r="A374" t="s">
        <v>718</v>
      </c>
      <c r="B374">
        <v>13118</v>
      </c>
    </row>
    <row r="375" spans="1:2" x14ac:dyDescent="0.25">
      <c r="A375" t="s">
        <v>719</v>
      </c>
      <c r="B375">
        <v>13714</v>
      </c>
    </row>
    <row r="376" spans="1:2" x14ac:dyDescent="0.25">
      <c r="A376" t="s">
        <v>226</v>
      </c>
      <c r="B376">
        <v>10112</v>
      </c>
    </row>
    <row r="377" spans="1:2" x14ac:dyDescent="0.25">
      <c r="A377" t="s">
        <v>413</v>
      </c>
      <c r="B377">
        <v>516</v>
      </c>
    </row>
    <row r="378" spans="1:2" x14ac:dyDescent="0.25">
      <c r="A378" t="s">
        <v>220</v>
      </c>
      <c r="B378">
        <v>3119</v>
      </c>
    </row>
    <row r="379" spans="1:2" x14ac:dyDescent="0.25">
      <c r="A379" t="s">
        <v>720</v>
      </c>
      <c r="B379">
        <v>1413</v>
      </c>
    </row>
    <row r="380" spans="1:2" x14ac:dyDescent="0.25">
      <c r="A380" t="s">
        <v>721</v>
      </c>
      <c r="B380">
        <v>15910</v>
      </c>
    </row>
    <row r="381" spans="1:2" x14ac:dyDescent="0.25">
      <c r="A381" t="s">
        <v>722</v>
      </c>
      <c r="B381">
        <v>7213</v>
      </c>
    </row>
    <row r="382" spans="1:2" x14ac:dyDescent="0.25">
      <c r="A382" t="s">
        <v>723</v>
      </c>
      <c r="B382">
        <v>1628</v>
      </c>
    </row>
    <row r="383" spans="1:2" x14ac:dyDescent="0.25">
      <c r="A383" t="s">
        <v>354</v>
      </c>
      <c r="B383">
        <v>21211</v>
      </c>
    </row>
    <row r="384" spans="1:2" x14ac:dyDescent="0.25">
      <c r="A384" t="s">
        <v>498</v>
      </c>
      <c r="B384">
        <v>1625</v>
      </c>
    </row>
    <row r="385" spans="1:2" x14ac:dyDescent="0.25">
      <c r="A385" t="s">
        <v>724</v>
      </c>
      <c r="B385">
        <v>9613</v>
      </c>
    </row>
    <row r="386" spans="1:2" x14ac:dyDescent="0.25">
      <c r="A386" t="s">
        <v>455</v>
      </c>
      <c r="B386">
        <v>51114</v>
      </c>
    </row>
    <row r="387" spans="1:2" x14ac:dyDescent="0.25">
      <c r="A387" t="s">
        <v>725</v>
      </c>
      <c r="B387">
        <v>1145</v>
      </c>
    </row>
    <row r="388" spans="1:2" x14ac:dyDescent="0.25">
      <c r="A388" t="s">
        <v>726</v>
      </c>
      <c r="B388">
        <v>1372</v>
      </c>
    </row>
    <row r="389" spans="1:2" x14ac:dyDescent="0.25">
      <c r="A389" t="s">
        <v>690</v>
      </c>
      <c r="B389">
        <v>1635</v>
      </c>
    </row>
    <row r="390" spans="1:2" x14ac:dyDescent="0.25">
      <c r="A390" t="s">
        <v>727</v>
      </c>
      <c r="B390">
        <v>8215</v>
      </c>
    </row>
    <row r="391" spans="1:2" x14ac:dyDescent="0.25">
      <c r="A391" t="s">
        <v>728</v>
      </c>
      <c r="B391">
        <v>10213</v>
      </c>
    </row>
    <row r="392" spans="1:2" x14ac:dyDescent="0.25">
      <c r="A392" t="s">
        <v>729</v>
      </c>
      <c r="B392">
        <v>51314</v>
      </c>
    </row>
    <row r="393" spans="1:2" x14ac:dyDescent="0.25">
      <c r="A393" t="s">
        <v>730</v>
      </c>
      <c r="B393">
        <v>91113</v>
      </c>
    </row>
    <row r="394" spans="1:2" x14ac:dyDescent="0.25">
      <c r="A394" t="s">
        <v>731</v>
      </c>
      <c r="B394">
        <v>11615</v>
      </c>
    </row>
    <row r="395" spans="1:2" x14ac:dyDescent="0.25">
      <c r="A395" t="s">
        <v>138</v>
      </c>
      <c r="B395">
        <v>7123</v>
      </c>
    </row>
    <row r="396" spans="1:2" x14ac:dyDescent="0.25">
      <c r="A396" t="s">
        <v>732</v>
      </c>
      <c r="B396">
        <v>12161</v>
      </c>
    </row>
    <row r="397" spans="1:2" x14ac:dyDescent="0.25">
      <c r="A397" t="s">
        <v>733</v>
      </c>
      <c r="B397">
        <v>16138</v>
      </c>
    </row>
    <row r="398" spans="1:2" x14ac:dyDescent="0.25">
      <c r="A398" t="s">
        <v>260</v>
      </c>
      <c r="B398">
        <v>351</v>
      </c>
    </row>
    <row r="399" spans="1:2" x14ac:dyDescent="0.25">
      <c r="A399" t="s">
        <v>734</v>
      </c>
      <c r="B399">
        <v>9213</v>
      </c>
    </row>
    <row r="400" spans="1:2" x14ac:dyDescent="0.25">
      <c r="A400" t="s">
        <v>124</v>
      </c>
      <c r="B400">
        <v>9510</v>
      </c>
    </row>
    <row r="401" spans="1:2" x14ac:dyDescent="0.25">
      <c r="A401" t="s">
        <v>501</v>
      </c>
      <c r="B401">
        <v>14125</v>
      </c>
    </row>
    <row r="402" spans="1:2" x14ac:dyDescent="0.25">
      <c r="A402" t="s">
        <v>559</v>
      </c>
      <c r="B402">
        <v>2815</v>
      </c>
    </row>
    <row r="403" spans="1:2" x14ac:dyDescent="0.25">
      <c r="A403" t="s">
        <v>735</v>
      </c>
      <c r="B403">
        <v>121510</v>
      </c>
    </row>
    <row r="404" spans="1:2" x14ac:dyDescent="0.25">
      <c r="A404" t="s">
        <v>736</v>
      </c>
      <c r="B404">
        <v>2616</v>
      </c>
    </row>
    <row r="405" spans="1:2" x14ac:dyDescent="0.25">
      <c r="A405" t="s">
        <v>493</v>
      </c>
      <c r="B405">
        <v>2145</v>
      </c>
    </row>
    <row r="406" spans="1:2" x14ac:dyDescent="0.25">
      <c r="A406" t="s">
        <v>703</v>
      </c>
      <c r="B406">
        <v>3214</v>
      </c>
    </row>
    <row r="407" spans="1:2" x14ac:dyDescent="0.25">
      <c r="A407" t="s">
        <v>463</v>
      </c>
      <c r="B407">
        <v>2159</v>
      </c>
    </row>
    <row r="408" spans="1:2" x14ac:dyDescent="0.25">
      <c r="A408" t="s">
        <v>394</v>
      </c>
      <c r="B408">
        <v>526</v>
      </c>
    </row>
    <row r="409" spans="1:2" x14ac:dyDescent="0.25">
      <c r="A409" t="s">
        <v>737</v>
      </c>
      <c r="B409">
        <v>13211</v>
      </c>
    </row>
    <row r="410" spans="1:2" x14ac:dyDescent="0.25">
      <c r="A410" t="s">
        <v>292</v>
      </c>
      <c r="B410">
        <v>318</v>
      </c>
    </row>
    <row r="411" spans="1:2" x14ac:dyDescent="0.25">
      <c r="A411" t="s">
        <v>375</v>
      </c>
      <c r="B411">
        <v>829</v>
      </c>
    </row>
    <row r="412" spans="1:2" x14ac:dyDescent="0.25">
      <c r="A412" t="s">
        <v>738</v>
      </c>
      <c r="B412">
        <v>1371</v>
      </c>
    </row>
    <row r="413" spans="1:2" x14ac:dyDescent="0.25">
      <c r="A413" t="s">
        <v>568</v>
      </c>
      <c r="B413">
        <v>11410</v>
      </c>
    </row>
    <row r="414" spans="1:2" x14ac:dyDescent="0.25">
      <c r="A414" t="s">
        <v>223</v>
      </c>
      <c r="B414">
        <v>1025</v>
      </c>
    </row>
    <row r="415" spans="1:2" x14ac:dyDescent="0.25">
      <c r="A415" t="s">
        <v>244</v>
      </c>
      <c r="B415">
        <v>2710</v>
      </c>
    </row>
    <row r="416" spans="1:2" x14ac:dyDescent="0.25">
      <c r="A416" t="s">
        <v>739</v>
      </c>
      <c r="B416">
        <v>1215</v>
      </c>
    </row>
    <row r="417" spans="1:2" x14ac:dyDescent="0.25">
      <c r="A417" t="s">
        <v>740</v>
      </c>
      <c r="B417">
        <v>41416</v>
      </c>
    </row>
    <row r="418" spans="1:2" x14ac:dyDescent="0.25">
      <c r="A418" t="s">
        <v>206</v>
      </c>
      <c r="B418">
        <v>428</v>
      </c>
    </row>
    <row r="419" spans="1:2" x14ac:dyDescent="0.25">
      <c r="A419" t="s">
        <v>741</v>
      </c>
      <c r="B419">
        <v>4813</v>
      </c>
    </row>
    <row r="420" spans="1:2" x14ac:dyDescent="0.25">
      <c r="A420" t="s">
        <v>615</v>
      </c>
      <c r="B420">
        <v>1523</v>
      </c>
    </row>
    <row r="421" spans="1:2" x14ac:dyDescent="0.25">
      <c r="A421" t="s">
        <v>281</v>
      </c>
      <c r="B421">
        <v>9112</v>
      </c>
    </row>
    <row r="422" spans="1:2" x14ac:dyDescent="0.25">
      <c r="A422" t="s">
        <v>742</v>
      </c>
      <c r="B422">
        <v>1392</v>
      </c>
    </row>
    <row r="423" spans="1:2" x14ac:dyDescent="0.25">
      <c r="A423" t="s">
        <v>324</v>
      </c>
      <c r="B423">
        <v>2310</v>
      </c>
    </row>
    <row r="424" spans="1:2" x14ac:dyDescent="0.25">
      <c r="A424" t="s">
        <v>546</v>
      </c>
      <c r="B424">
        <v>1669</v>
      </c>
    </row>
    <row r="425" spans="1:2" x14ac:dyDescent="0.25">
      <c r="A425" t="s">
        <v>743</v>
      </c>
      <c r="B425">
        <v>13216</v>
      </c>
    </row>
    <row r="426" spans="1:2" x14ac:dyDescent="0.25">
      <c r="A426" t="s">
        <v>346</v>
      </c>
      <c r="B426">
        <v>179</v>
      </c>
    </row>
    <row r="427" spans="1:2" x14ac:dyDescent="0.25">
      <c r="A427" t="s">
        <v>166</v>
      </c>
      <c r="B427">
        <v>6212</v>
      </c>
    </row>
    <row r="428" spans="1:2" x14ac:dyDescent="0.25">
      <c r="A428" t="s">
        <v>639</v>
      </c>
      <c r="B428">
        <v>16102</v>
      </c>
    </row>
    <row r="429" spans="1:2" x14ac:dyDescent="0.25">
      <c r="A429" t="s">
        <v>744</v>
      </c>
      <c r="B429">
        <v>9414</v>
      </c>
    </row>
    <row r="430" spans="1:2" x14ac:dyDescent="0.25">
      <c r="A430" t="s">
        <v>233</v>
      </c>
      <c r="B430">
        <v>1105</v>
      </c>
    </row>
    <row r="431" spans="1:2" x14ac:dyDescent="0.25">
      <c r="A431" t="s">
        <v>464</v>
      </c>
      <c r="B431">
        <v>1386</v>
      </c>
    </row>
    <row r="432" spans="1:2" x14ac:dyDescent="0.25">
      <c r="A432" t="s">
        <v>170</v>
      </c>
      <c r="B432">
        <v>11910</v>
      </c>
    </row>
    <row r="433" spans="1:2" x14ac:dyDescent="0.25">
      <c r="A433" t="s">
        <v>393</v>
      </c>
      <c r="B433">
        <v>258</v>
      </c>
    </row>
    <row r="434" spans="1:2" x14ac:dyDescent="0.25">
      <c r="A434" t="s">
        <v>745</v>
      </c>
      <c r="B434">
        <v>9163</v>
      </c>
    </row>
    <row r="435" spans="1:2" x14ac:dyDescent="0.25">
      <c r="A435" t="s">
        <v>425</v>
      </c>
      <c r="B435">
        <v>537</v>
      </c>
    </row>
    <row r="436" spans="1:2" x14ac:dyDescent="0.25">
      <c r="A436" t="s">
        <v>746</v>
      </c>
      <c r="B436">
        <v>12414</v>
      </c>
    </row>
    <row r="437" spans="1:2" x14ac:dyDescent="0.25">
      <c r="A437" t="s">
        <v>634</v>
      </c>
      <c r="B437">
        <v>161514</v>
      </c>
    </row>
    <row r="438" spans="1:2" x14ac:dyDescent="0.25">
      <c r="A438" t="s">
        <v>408</v>
      </c>
      <c r="B438">
        <v>1103</v>
      </c>
    </row>
    <row r="439" spans="1:2" x14ac:dyDescent="0.25">
      <c r="A439" t="s">
        <v>276</v>
      </c>
      <c r="B439">
        <v>872</v>
      </c>
    </row>
    <row r="440" spans="1:2" x14ac:dyDescent="0.25">
      <c r="A440" t="s">
        <v>747</v>
      </c>
      <c r="B440">
        <v>31113</v>
      </c>
    </row>
    <row r="441" spans="1:2" x14ac:dyDescent="0.25">
      <c r="A441" t="s">
        <v>748</v>
      </c>
      <c r="B441">
        <v>11610</v>
      </c>
    </row>
    <row r="442" spans="1:2" x14ac:dyDescent="0.25">
      <c r="A442" t="s">
        <v>254</v>
      </c>
      <c r="B442">
        <v>91011</v>
      </c>
    </row>
    <row r="443" spans="1:2" x14ac:dyDescent="0.25">
      <c r="A443" t="s">
        <v>224</v>
      </c>
      <c r="B443">
        <v>2410</v>
      </c>
    </row>
    <row r="444" spans="1:2" x14ac:dyDescent="0.25">
      <c r="A444" t="s">
        <v>749</v>
      </c>
      <c r="B444">
        <v>10416</v>
      </c>
    </row>
    <row r="445" spans="1:2" x14ac:dyDescent="0.25">
      <c r="A445" t="s">
        <v>513</v>
      </c>
      <c r="B445">
        <v>41215</v>
      </c>
    </row>
    <row r="446" spans="1:2" x14ac:dyDescent="0.25">
      <c r="A446" t="s">
        <v>750</v>
      </c>
      <c r="B446">
        <v>14154</v>
      </c>
    </row>
    <row r="447" spans="1:2" x14ac:dyDescent="0.25">
      <c r="A447" t="s">
        <v>304</v>
      </c>
      <c r="B447">
        <v>139</v>
      </c>
    </row>
    <row r="448" spans="1:2" x14ac:dyDescent="0.25">
      <c r="A448" t="s">
        <v>248</v>
      </c>
      <c r="B448">
        <v>7212</v>
      </c>
    </row>
    <row r="449" spans="1:2" x14ac:dyDescent="0.25">
      <c r="A449" t="s">
        <v>751</v>
      </c>
      <c r="B449">
        <v>8515</v>
      </c>
    </row>
    <row r="450" spans="1:2" x14ac:dyDescent="0.25">
      <c r="A450" t="s">
        <v>424</v>
      </c>
      <c r="B450">
        <v>7118</v>
      </c>
    </row>
    <row r="451" spans="1:2" x14ac:dyDescent="0.25">
      <c r="A451" t="s">
        <v>323</v>
      </c>
      <c r="B451">
        <v>9110</v>
      </c>
    </row>
    <row r="452" spans="1:2" x14ac:dyDescent="0.25">
      <c r="A452" t="s">
        <v>536</v>
      </c>
      <c r="B452">
        <v>7145</v>
      </c>
    </row>
    <row r="453" spans="1:2" x14ac:dyDescent="0.25">
      <c r="A453" t="s">
        <v>342</v>
      </c>
      <c r="B453">
        <v>863</v>
      </c>
    </row>
    <row r="454" spans="1:2" x14ac:dyDescent="0.25">
      <c r="A454" t="s">
        <v>195</v>
      </c>
      <c r="B454">
        <v>2127</v>
      </c>
    </row>
    <row r="455" spans="1:2" x14ac:dyDescent="0.25">
      <c r="A455" t="s">
        <v>518</v>
      </c>
      <c r="B455">
        <v>4145</v>
      </c>
    </row>
    <row r="456" spans="1:2" x14ac:dyDescent="0.25">
      <c r="A456" t="s">
        <v>442</v>
      </c>
      <c r="B456">
        <v>527</v>
      </c>
    </row>
    <row r="457" spans="1:2" x14ac:dyDescent="0.25">
      <c r="A457" t="s">
        <v>752</v>
      </c>
      <c r="B457">
        <v>7158</v>
      </c>
    </row>
    <row r="458" spans="1:2" x14ac:dyDescent="0.25">
      <c r="A458" t="s">
        <v>534</v>
      </c>
      <c r="B458">
        <v>1325</v>
      </c>
    </row>
    <row r="459" spans="1:2" x14ac:dyDescent="0.25">
      <c r="A459" t="s">
        <v>753</v>
      </c>
      <c r="B459">
        <v>91315</v>
      </c>
    </row>
    <row r="460" spans="1:2" x14ac:dyDescent="0.25">
      <c r="A460" t="s">
        <v>754</v>
      </c>
      <c r="B460">
        <v>15136</v>
      </c>
    </row>
    <row r="461" spans="1:2" x14ac:dyDescent="0.25">
      <c r="A461" t="s">
        <v>263</v>
      </c>
      <c r="B461">
        <v>495</v>
      </c>
    </row>
    <row r="462" spans="1:2" x14ac:dyDescent="0.25">
      <c r="A462" t="s">
        <v>172</v>
      </c>
      <c r="B462">
        <v>4612</v>
      </c>
    </row>
    <row r="463" spans="1:2" x14ac:dyDescent="0.25">
      <c r="A463" t="s">
        <v>653</v>
      </c>
      <c r="B463">
        <v>15713</v>
      </c>
    </row>
    <row r="464" spans="1:2" x14ac:dyDescent="0.25">
      <c r="A464" t="s">
        <v>475</v>
      </c>
      <c r="B464">
        <v>51512</v>
      </c>
    </row>
    <row r="465" spans="1:2" x14ac:dyDescent="0.25">
      <c r="A465" t="s">
        <v>443</v>
      </c>
      <c r="B465">
        <v>7312</v>
      </c>
    </row>
    <row r="466" spans="1:2" x14ac:dyDescent="0.25">
      <c r="A466" t="s">
        <v>555</v>
      </c>
      <c r="B466">
        <v>161311</v>
      </c>
    </row>
    <row r="467" spans="1:2" x14ac:dyDescent="0.25">
      <c r="A467" t="s">
        <v>496</v>
      </c>
      <c r="B467">
        <v>131610</v>
      </c>
    </row>
    <row r="468" spans="1:2" x14ac:dyDescent="0.25">
      <c r="A468" t="s">
        <v>755</v>
      </c>
      <c r="B468">
        <v>14816</v>
      </c>
    </row>
    <row r="469" spans="1:2" x14ac:dyDescent="0.25">
      <c r="A469" t="s">
        <v>457</v>
      </c>
      <c r="B469">
        <v>8164</v>
      </c>
    </row>
    <row r="470" spans="1:2" x14ac:dyDescent="0.25">
      <c r="A470" t="s">
        <v>505</v>
      </c>
      <c r="B470">
        <v>1689</v>
      </c>
    </row>
    <row r="471" spans="1:2" x14ac:dyDescent="0.25">
      <c r="A471" t="s">
        <v>312</v>
      </c>
      <c r="B471">
        <v>2512</v>
      </c>
    </row>
    <row r="472" spans="1:2" x14ac:dyDescent="0.25">
      <c r="A472" t="s">
        <v>215</v>
      </c>
      <c r="B472">
        <v>11512</v>
      </c>
    </row>
    <row r="473" spans="1:2" x14ac:dyDescent="0.25">
      <c r="A473" t="s">
        <v>756</v>
      </c>
      <c r="B473">
        <v>12155</v>
      </c>
    </row>
    <row r="474" spans="1:2" x14ac:dyDescent="0.25">
      <c r="A474" t="s">
        <v>175</v>
      </c>
      <c r="B474">
        <v>3912</v>
      </c>
    </row>
    <row r="475" spans="1:2" x14ac:dyDescent="0.25">
      <c r="A475" t="s">
        <v>546</v>
      </c>
      <c r="B475">
        <v>1669</v>
      </c>
    </row>
    <row r="476" spans="1:2" x14ac:dyDescent="0.25">
      <c r="A476" t="s">
        <v>273</v>
      </c>
      <c r="B476">
        <v>1179</v>
      </c>
    </row>
    <row r="477" spans="1:2" x14ac:dyDescent="0.25">
      <c r="A477" t="s">
        <v>757</v>
      </c>
      <c r="B477">
        <v>13127</v>
      </c>
    </row>
    <row r="478" spans="1:2" x14ac:dyDescent="0.25">
      <c r="A478" t="s">
        <v>758</v>
      </c>
      <c r="B478">
        <v>15115</v>
      </c>
    </row>
    <row r="479" spans="1:2" x14ac:dyDescent="0.25">
      <c r="A479" t="s">
        <v>427</v>
      </c>
      <c r="B479">
        <v>2113</v>
      </c>
    </row>
    <row r="480" spans="1:2" x14ac:dyDescent="0.25">
      <c r="A480" t="s">
        <v>759</v>
      </c>
      <c r="B480">
        <v>5313</v>
      </c>
    </row>
    <row r="481" spans="1:2" x14ac:dyDescent="0.25">
      <c r="A481" t="s">
        <v>419</v>
      </c>
      <c r="B481">
        <v>279</v>
      </c>
    </row>
    <row r="482" spans="1:2" x14ac:dyDescent="0.25">
      <c r="A482" t="s">
        <v>760</v>
      </c>
      <c r="B482">
        <v>14813</v>
      </c>
    </row>
    <row r="483" spans="1:2" x14ac:dyDescent="0.25">
      <c r="A483" t="s">
        <v>761</v>
      </c>
      <c r="B483">
        <v>1514</v>
      </c>
    </row>
    <row r="484" spans="1:2" x14ac:dyDescent="0.25">
      <c r="A484" t="s">
        <v>762</v>
      </c>
      <c r="B484">
        <v>7115</v>
      </c>
    </row>
    <row r="485" spans="1:2" x14ac:dyDescent="0.25">
      <c r="A485" t="s">
        <v>763</v>
      </c>
      <c r="B485">
        <v>1155</v>
      </c>
    </row>
    <row r="486" spans="1:2" x14ac:dyDescent="0.25">
      <c r="A486" t="s">
        <v>764</v>
      </c>
      <c r="B486">
        <v>16813</v>
      </c>
    </row>
    <row r="487" spans="1:2" x14ac:dyDescent="0.25">
      <c r="A487" t="s">
        <v>542</v>
      </c>
      <c r="B487">
        <v>5131</v>
      </c>
    </row>
    <row r="488" spans="1:2" x14ac:dyDescent="0.25">
      <c r="A488" t="s">
        <v>247</v>
      </c>
      <c r="B488">
        <v>785</v>
      </c>
    </row>
    <row r="489" spans="1:2" x14ac:dyDescent="0.25">
      <c r="A489" t="s">
        <v>465</v>
      </c>
      <c r="B489">
        <v>12169</v>
      </c>
    </row>
    <row r="490" spans="1:2" x14ac:dyDescent="0.25">
      <c r="A490" t="s">
        <v>349</v>
      </c>
      <c r="B490">
        <v>376</v>
      </c>
    </row>
    <row r="491" spans="1:2" x14ac:dyDescent="0.25">
      <c r="A491" t="s">
        <v>476</v>
      </c>
      <c r="B491">
        <v>14216</v>
      </c>
    </row>
    <row r="492" spans="1:2" x14ac:dyDescent="0.25">
      <c r="A492" t="s">
        <v>765</v>
      </c>
      <c r="B492">
        <v>9315</v>
      </c>
    </row>
    <row r="493" spans="1:2" x14ac:dyDescent="0.25">
      <c r="A493" t="s">
        <v>169</v>
      </c>
      <c r="B493">
        <v>12711</v>
      </c>
    </row>
    <row r="494" spans="1:2" x14ac:dyDescent="0.25">
      <c r="A494" t="s">
        <v>130</v>
      </c>
      <c r="B494">
        <v>4710</v>
      </c>
    </row>
    <row r="495" spans="1:2" x14ac:dyDescent="0.25">
      <c r="A495" t="s">
        <v>484</v>
      </c>
      <c r="B495">
        <v>12132</v>
      </c>
    </row>
    <row r="496" spans="1:2" x14ac:dyDescent="0.25">
      <c r="A496" t="s">
        <v>766</v>
      </c>
      <c r="B496">
        <v>131510</v>
      </c>
    </row>
    <row r="497" spans="1:2" x14ac:dyDescent="0.25">
      <c r="A497" t="s">
        <v>767</v>
      </c>
      <c r="B497">
        <v>31315</v>
      </c>
    </row>
    <row r="498" spans="1:2" x14ac:dyDescent="0.25">
      <c r="A498" t="s">
        <v>202</v>
      </c>
      <c r="B498">
        <v>1052</v>
      </c>
    </row>
    <row r="499" spans="1:2" x14ac:dyDescent="0.25">
      <c r="A499" t="s">
        <v>252</v>
      </c>
      <c r="B499">
        <v>8129</v>
      </c>
    </row>
    <row r="500" spans="1:2" x14ac:dyDescent="0.25">
      <c r="A500" t="s">
        <v>382</v>
      </c>
      <c r="B500">
        <v>358</v>
      </c>
    </row>
    <row r="501" spans="1:2" x14ac:dyDescent="0.25">
      <c r="A501" t="s">
        <v>232</v>
      </c>
      <c r="B501">
        <v>9102</v>
      </c>
    </row>
    <row r="502" spans="1:2" x14ac:dyDescent="0.25">
      <c r="A502" t="s">
        <v>768</v>
      </c>
      <c r="B502">
        <v>1563</v>
      </c>
    </row>
    <row r="503" spans="1:2" x14ac:dyDescent="0.25">
      <c r="A503" t="s">
        <v>250</v>
      </c>
      <c r="B503">
        <v>168</v>
      </c>
    </row>
    <row r="504" spans="1:2" x14ac:dyDescent="0.25">
      <c r="A504" t="s">
        <v>421</v>
      </c>
      <c r="B504">
        <v>6111</v>
      </c>
    </row>
    <row r="505" spans="1:2" x14ac:dyDescent="0.25">
      <c r="A505" t="s">
        <v>448</v>
      </c>
      <c r="B505">
        <v>1149</v>
      </c>
    </row>
    <row r="506" spans="1:2" x14ac:dyDescent="0.25">
      <c r="A506" t="s">
        <v>506</v>
      </c>
      <c r="B506">
        <v>91410</v>
      </c>
    </row>
    <row r="507" spans="1:2" x14ac:dyDescent="0.25">
      <c r="A507" t="s">
        <v>769</v>
      </c>
      <c r="B507">
        <v>4133</v>
      </c>
    </row>
    <row r="508" spans="1:2" x14ac:dyDescent="0.25">
      <c r="A508" t="s">
        <v>372</v>
      </c>
      <c r="B508">
        <v>794</v>
      </c>
    </row>
    <row r="509" spans="1:2" x14ac:dyDescent="0.25">
      <c r="A509" t="s">
        <v>770</v>
      </c>
      <c r="B509">
        <v>16614</v>
      </c>
    </row>
    <row r="510" spans="1:2" x14ac:dyDescent="0.25">
      <c r="A510" t="s">
        <v>564</v>
      </c>
      <c r="B510">
        <v>151416</v>
      </c>
    </row>
    <row r="511" spans="1:2" x14ac:dyDescent="0.25">
      <c r="A511" t="s">
        <v>396</v>
      </c>
      <c r="B511">
        <v>6111</v>
      </c>
    </row>
    <row r="512" spans="1:2" x14ac:dyDescent="0.25">
      <c r="A512" t="s">
        <v>286</v>
      </c>
      <c r="B512">
        <v>1264</v>
      </c>
    </row>
    <row r="513" spans="1:2" x14ac:dyDescent="0.25">
      <c r="A513" t="s">
        <v>572</v>
      </c>
      <c r="B513">
        <v>7153</v>
      </c>
    </row>
    <row r="514" spans="1:2" x14ac:dyDescent="0.25">
      <c r="A514" t="s">
        <v>771</v>
      </c>
      <c r="B514">
        <v>121613</v>
      </c>
    </row>
    <row r="515" spans="1:2" x14ac:dyDescent="0.25">
      <c r="A515" t="s">
        <v>164</v>
      </c>
      <c r="B515">
        <v>12112</v>
      </c>
    </row>
    <row r="516" spans="1:2" x14ac:dyDescent="0.25">
      <c r="A516" t="s">
        <v>329</v>
      </c>
      <c r="B516">
        <v>639</v>
      </c>
    </row>
    <row r="517" spans="1:2" x14ac:dyDescent="0.25">
      <c r="A517" t="s">
        <v>772</v>
      </c>
      <c r="B517">
        <v>12215</v>
      </c>
    </row>
    <row r="518" spans="1:2" x14ac:dyDescent="0.25">
      <c r="A518" t="s">
        <v>773</v>
      </c>
      <c r="B518">
        <v>91412</v>
      </c>
    </row>
    <row r="519" spans="1:2" x14ac:dyDescent="0.25">
      <c r="A519" t="s">
        <v>695</v>
      </c>
      <c r="B519">
        <v>8152</v>
      </c>
    </row>
    <row r="520" spans="1:2" x14ac:dyDescent="0.25">
      <c r="A520" t="s">
        <v>190</v>
      </c>
      <c r="B520">
        <v>1048</v>
      </c>
    </row>
    <row r="521" spans="1:2" x14ac:dyDescent="0.25">
      <c r="A521" t="s">
        <v>407</v>
      </c>
      <c r="B521">
        <v>974</v>
      </c>
    </row>
    <row r="522" spans="1:2" x14ac:dyDescent="0.25">
      <c r="A522" t="s">
        <v>168</v>
      </c>
      <c r="B522">
        <v>975</v>
      </c>
    </row>
    <row r="523" spans="1:2" x14ac:dyDescent="0.25">
      <c r="A523" t="s">
        <v>236</v>
      </c>
      <c r="B523">
        <v>746</v>
      </c>
    </row>
    <row r="524" spans="1:2" x14ac:dyDescent="0.25">
      <c r="A524" t="s">
        <v>774</v>
      </c>
      <c r="B524">
        <v>16126</v>
      </c>
    </row>
    <row r="525" spans="1:2" x14ac:dyDescent="0.25">
      <c r="A525" t="s">
        <v>440</v>
      </c>
      <c r="B525">
        <v>5108</v>
      </c>
    </row>
    <row r="526" spans="1:2" x14ac:dyDescent="0.25">
      <c r="A526" t="s">
        <v>775</v>
      </c>
      <c r="B526">
        <v>1612</v>
      </c>
    </row>
    <row r="527" spans="1:2" x14ac:dyDescent="0.25">
      <c r="A527" t="s">
        <v>483</v>
      </c>
      <c r="B527">
        <v>14412</v>
      </c>
    </row>
    <row r="528" spans="1:2" x14ac:dyDescent="0.25">
      <c r="A528" t="s">
        <v>776</v>
      </c>
      <c r="B528">
        <v>3159</v>
      </c>
    </row>
    <row r="529" spans="1:2" x14ac:dyDescent="0.25">
      <c r="A529" t="s">
        <v>777</v>
      </c>
      <c r="B529">
        <v>13155</v>
      </c>
    </row>
    <row r="530" spans="1:2" x14ac:dyDescent="0.25">
      <c r="A530" t="s">
        <v>586</v>
      </c>
      <c r="B530">
        <v>81615</v>
      </c>
    </row>
    <row r="531" spans="1:2" x14ac:dyDescent="0.25">
      <c r="A531" t="s">
        <v>778</v>
      </c>
      <c r="B531">
        <v>1382</v>
      </c>
    </row>
    <row r="532" spans="1:2" x14ac:dyDescent="0.25">
      <c r="A532" t="s">
        <v>512</v>
      </c>
      <c r="B532">
        <v>16210</v>
      </c>
    </row>
    <row r="533" spans="1:2" x14ac:dyDescent="0.25">
      <c r="A533" t="s">
        <v>779</v>
      </c>
      <c r="B533">
        <v>13102</v>
      </c>
    </row>
    <row r="534" spans="1:2" x14ac:dyDescent="0.25">
      <c r="A534" t="s">
        <v>552</v>
      </c>
      <c r="B534">
        <v>61015</v>
      </c>
    </row>
    <row r="535" spans="1:2" x14ac:dyDescent="0.25">
      <c r="A535" t="s">
        <v>780</v>
      </c>
      <c r="B535">
        <v>1568</v>
      </c>
    </row>
    <row r="536" spans="1:2" x14ac:dyDescent="0.25">
      <c r="A536" t="s">
        <v>781</v>
      </c>
      <c r="B536">
        <v>11316</v>
      </c>
    </row>
    <row r="537" spans="1:2" x14ac:dyDescent="0.25">
      <c r="A537" t="s">
        <v>782</v>
      </c>
      <c r="B537">
        <v>15101</v>
      </c>
    </row>
    <row r="538" spans="1:2" x14ac:dyDescent="0.25">
      <c r="A538" t="s">
        <v>783</v>
      </c>
      <c r="B538">
        <v>11139</v>
      </c>
    </row>
    <row r="539" spans="1:2" x14ac:dyDescent="0.25">
      <c r="A539" t="s">
        <v>177</v>
      </c>
      <c r="B539">
        <v>1148</v>
      </c>
    </row>
    <row r="540" spans="1:2" x14ac:dyDescent="0.25">
      <c r="A540" t="s">
        <v>356</v>
      </c>
      <c r="B540">
        <v>814</v>
      </c>
    </row>
    <row r="541" spans="1:2" x14ac:dyDescent="0.25">
      <c r="A541" t="s">
        <v>185</v>
      </c>
      <c r="B541">
        <v>967</v>
      </c>
    </row>
    <row r="542" spans="1:2" x14ac:dyDescent="0.25">
      <c r="A542" t="s">
        <v>225</v>
      </c>
      <c r="B542">
        <v>514</v>
      </c>
    </row>
    <row r="543" spans="1:2" x14ac:dyDescent="0.25">
      <c r="A543" t="s">
        <v>268</v>
      </c>
      <c r="B543">
        <v>2116</v>
      </c>
    </row>
    <row r="544" spans="1:2" x14ac:dyDescent="0.25">
      <c r="A544" t="s">
        <v>784</v>
      </c>
      <c r="B544">
        <v>14155</v>
      </c>
    </row>
    <row r="545" spans="1:2" x14ac:dyDescent="0.25">
      <c r="A545" t="s">
        <v>785</v>
      </c>
      <c r="B545">
        <v>16415</v>
      </c>
    </row>
    <row r="546" spans="1:2" x14ac:dyDescent="0.25">
      <c r="A546" t="s">
        <v>786</v>
      </c>
      <c r="B546">
        <v>14127</v>
      </c>
    </row>
    <row r="547" spans="1:2" x14ac:dyDescent="0.25">
      <c r="A547" t="s">
        <v>787</v>
      </c>
      <c r="B547">
        <v>16156</v>
      </c>
    </row>
    <row r="548" spans="1:2" x14ac:dyDescent="0.25">
      <c r="A548" t="s">
        <v>472</v>
      </c>
      <c r="B548">
        <v>14911</v>
      </c>
    </row>
    <row r="549" spans="1:2" x14ac:dyDescent="0.25">
      <c r="A549" t="s">
        <v>217</v>
      </c>
      <c r="B549">
        <v>7116</v>
      </c>
    </row>
    <row r="550" spans="1:2" x14ac:dyDescent="0.25">
      <c r="A550" t="s">
        <v>437</v>
      </c>
      <c r="B550">
        <v>698</v>
      </c>
    </row>
    <row r="551" spans="1:2" x14ac:dyDescent="0.25">
      <c r="A551" t="s">
        <v>500</v>
      </c>
      <c r="B551">
        <v>101415</v>
      </c>
    </row>
    <row r="552" spans="1:2" x14ac:dyDescent="0.25">
      <c r="A552" t="s">
        <v>788</v>
      </c>
      <c r="B552">
        <v>14134</v>
      </c>
    </row>
    <row r="553" spans="1:2" x14ac:dyDescent="0.25">
      <c r="A553" t="s">
        <v>129</v>
      </c>
      <c r="B553">
        <v>1610</v>
      </c>
    </row>
    <row r="554" spans="1:2" x14ac:dyDescent="0.25">
      <c r="A554" t="s">
        <v>789</v>
      </c>
      <c r="B554">
        <v>31314</v>
      </c>
    </row>
    <row r="555" spans="1:2" x14ac:dyDescent="0.25">
      <c r="A555" t="s">
        <v>790</v>
      </c>
      <c r="B555">
        <v>1354</v>
      </c>
    </row>
    <row r="556" spans="1:2" x14ac:dyDescent="0.25">
      <c r="A556" t="s">
        <v>791</v>
      </c>
      <c r="B556">
        <v>1471</v>
      </c>
    </row>
    <row r="557" spans="1:2" x14ac:dyDescent="0.25">
      <c r="A557" t="s">
        <v>348</v>
      </c>
      <c r="B557">
        <v>3811</v>
      </c>
    </row>
    <row r="558" spans="1:2" x14ac:dyDescent="0.25">
      <c r="A558" t="s">
        <v>446</v>
      </c>
      <c r="B558">
        <v>71110</v>
      </c>
    </row>
    <row r="559" spans="1:2" x14ac:dyDescent="0.25">
      <c r="A559" t="s">
        <v>343</v>
      </c>
      <c r="B559">
        <v>12107</v>
      </c>
    </row>
    <row r="560" spans="1:2" x14ac:dyDescent="0.25">
      <c r="A560" t="s">
        <v>782</v>
      </c>
      <c r="B560">
        <v>15101</v>
      </c>
    </row>
    <row r="561" spans="1:2" x14ac:dyDescent="0.25">
      <c r="A561" t="s">
        <v>542</v>
      </c>
      <c r="B561">
        <v>5131</v>
      </c>
    </row>
    <row r="562" spans="1:2" x14ac:dyDescent="0.25">
      <c r="A562" t="s">
        <v>550</v>
      </c>
      <c r="B562">
        <v>1164</v>
      </c>
    </row>
    <row r="563" spans="1:2" x14ac:dyDescent="0.25">
      <c r="A563" t="s">
        <v>792</v>
      </c>
      <c r="B563">
        <v>61114</v>
      </c>
    </row>
    <row r="564" spans="1:2" x14ac:dyDescent="0.25">
      <c r="A564" t="s">
        <v>793</v>
      </c>
      <c r="B564">
        <v>6142</v>
      </c>
    </row>
    <row r="565" spans="1:2" x14ac:dyDescent="0.25">
      <c r="A565" t="s">
        <v>794</v>
      </c>
      <c r="B565">
        <v>1432</v>
      </c>
    </row>
    <row r="566" spans="1:2" x14ac:dyDescent="0.25">
      <c r="A566" t="s">
        <v>210</v>
      </c>
      <c r="B566">
        <v>2106</v>
      </c>
    </row>
    <row r="567" spans="1:2" x14ac:dyDescent="0.25">
      <c r="A567" t="s">
        <v>795</v>
      </c>
      <c r="B567">
        <v>6134</v>
      </c>
    </row>
    <row r="568" spans="1:2" x14ac:dyDescent="0.25">
      <c r="A568" t="s">
        <v>297</v>
      </c>
      <c r="B568">
        <v>851</v>
      </c>
    </row>
    <row r="569" spans="1:2" x14ac:dyDescent="0.25">
      <c r="A569" t="s">
        <v>796</v>
      </c>
      <c r="B569">
        <v>11511</v>
      </c>
    </row>
    <row r="570" spans="1:2" x14ac:dyDescent="0.25">
      <c r="A570" t="s">
        <v>398</v>
      </c>
      <c r="B570">
        <v>91211</v>
      </c>
    </row>
    <row r="571" spans="1:2" x14ac:dyDescent="0.25">
      <c r="A571" t="s">
        <v>477</v>
      </c>
      <c r="B571">
        <v>5153</v>
      </c>
    </row>
    <row r="572" spans="1:2" x14ac:dyDescent="0.25">
      <c r="A572" t="s">
        <v>797</v>
      </c>
      <c r="B572">
        <v>61216</v>
      </c>
    </row>
    <row r="573" spans="1:2" x14ac:dyDescent="0.25">
      <c r="A573" t="s">
        <v>798</v>
      </c>
      <c r="B573">
        <v>21316</v>
      </c>
    </row>
    <row r="574" spans="1:2" x14ac:dyDescent="0.25">
      <c r="A574" t="s">
        <v>799</v>
      </c>
      <c r="B574">
        <v>13812</v>
      </c>
    </row>
    <row r="575" spans="1:2" x14ac:dyDescent="0.25">
      <c r="A575" t="s">
        <v>194</v>
      </c>
      <c r="B575">
        <v>8212</v>
      </c>
    </row>
    <row r="576" spans="1:2" x14ac:dyDescent="0.25">
      <c r="A576" t="s">
        <v>434</v>
      </c>
      <c r="B576">
        <v>176</v>
      </c>
    </row>
    <row r="577" spans="1:2" x14ac:dyDescent="0.25">
      <c r="A577" t="s">
        <v>458</v>
      </c>
      <c r="B577">
        <v>10143</v>
      </c>
    </row>
    <row r="578" spans="1:2" x14ac:dyDescent="0.25">
      <c r="A578" t="s">
        <v>269</v>
      </c>
      <c r="B578">
        <v>7106</v>
      </c>
    </row>
    <row r="579" spans="1:2" x14ac:dyDescent="0.25">
      <c r="A579" t="s">
        <v>359</v>
      </c>
      <c r="B579">
        <v>1218</v>
      </c>
    </row>
    <row r="580" spans="1:2" x14ac:dyDescent="0.25">
      <c r="A580" t="s">
        <v>748</v>
      </c>
      <c r="B580">
        <v>11610</v>
      </c>
    </row>
    <row r="581" spans="1:2" x14ac:dyDescent="0.25">
      <c r="A581" t="s">
        <v>249</v>
      </c>
      <c r="B581">
        <v>896</v>
      </c>
    </row>
    <row r="582" spans="1:2" x14ac:dyDescent="0.25">
      <c r="A582" t="s">
        <v>800</v>
      </c>
      <c r="B582">
        <v>3814</v>
      </c>
    </row>
    <row r="583" spans="1:2" x14ac:dyDescent="0.25">
      <c r="A583" t="s">
        <v>801</v>
      </c>
      <c r="B583">
        <v>10154</v>
      </c>
    </row>
    <row r="584" spans="1:2" x14ac:dyDescent="0.25">
      <c r="A584" t="s">
        <v>802</v>
      </c>
      <c r="B584">
        <v>10215</v>
      </c>
    </row>
    <row r="585" spans="1:2" x14ac:dyDescent="0.25">
      <c r="A585" t="s">
        <v>593</v>
      </c>
      <c r="B585">
        <v>41612</v>
      </c>
    </row>
    <row r="586" spans="1:2" x14ac:dyDescent="0.25">
      <c r="A586" t="s">
        <v>181</v>
      </c>
      <c r="B586">
        <v>1082</v>
      </c>
    </row>
    <row r="587" spans="1:2" x14ac:dyDescent="0.25">
      <c r="A587" t="s">
        <v>803</v>
      </c>
      <c r="B587">
        <v>21512</v>
      </c>
    </row>
    <row r="588" spans="1:2" x14ac:dyDescent="0.25">
      <c r="A588" t="s">
        <v>804</v>
      </c>
      <c r="B588">
        <v>12916</v>
      </c>
    </row>
    <row r="589" spans="1:2" x14ac:dyDescent="0.25">
      <c r="A589" t="s">
        <v>805</v>
      </c>
      <c r="B589">
        <v>12136</v>
      </c>
    </row>
    <row r="590" spans="1:2" x14ac:dyDescent="0.25">
      <c r="A590" t="s">
        <v>806</v>
      </c>
      <c r="B590">
        <v>10815</v>
      </c>
    </row>
    <row r="591" spans="1:2" x14ac:dyDescent="0.25">
      <c r="A591" t="s">
        <v>266</v>
      </c>
      <c r="B591">
        <v>1108</v>
      </c>
    </row>
    <row r="592" spans="1:2" x14ac:dyDescent="0.25">
      <c r="A592" t="s">
        <v>259</v>
      </c>
      <c r="B592">
        <v>1245</v>
      </c>
    </row>
    <row r="593" spans="1:2" x14ac:dyDescent="0.25">
      <c r="A593" t="s">
        <v>435</v>
      </c>
      <c r="B593">
        <v>9312</v>
      </c>
    </row>
    <row r="594" spans="1:2" x14ac:dyDescent="0.25">
      <c r="A594" t="s">
        <v>807</v>
      </c>
      <c r="B594">
        <v>1412</v>
      </c>
    </row>
    <row r="595" spans="1:2" x14ac:dyDescent="0.25">
      <c r="A595" t="s">
        <v>808</v>
      </c>
      <c r="B595">
        <v>1672</v>
      </c>
    </row>
    <row r="596" spans="1:2" x14ac:dyDescent="0.25">
      <c r="A596" t="s">
        <v>330</v>
      </c>
      <c r="B596">
        <v>596</v>
      </c>
    </row>
    <row r="597" spans="1:2" x14ac:dyDescent="0.25">
      <c r="A597" t="s">
        <v>809</v>
      </c>
      <c r="B597">
        <v>91213</v>
      </c>
    </row>
    <row r="598" spans="1:2" x14ac:dyDescent="0.25">
      <c r="A598" t="s">
        <v>564</v>
      </c>
      <c r="B598">
        <v>151416</v>
      </c>
    </row>
    <row r="599" spans="1:2" x14ac:dyDescent="0.25">
      <c r="A599" t="s">
        <v>216</v>
      </c>
      <c r="B599">
        <v>1214</v>
      </c>
    </row>
    <row r="600" spans="1:2" x14ac:dyDescent="0.25">
      <c r="A600" t="s">
        <v>355</v>
      </c>
      <c r="B600">
        <v>247</v>
      </c>
    </row>
    <row r="601" spans="1:2" x14ac:dyDescent="0.25">
      <c r="A601" t="s">
        <v>441</v>
      </c>
      <c r="B601">
        <v>1293</v>
      </c>
    </row>
    <row r="602" spans="1:2" x14ac:dyDescent="0.25">
      <c r="A602" t="s">
        <v>810</v>
      </c>
      <c r="B602">
        <v>161211</v>
      </c>
    </row>
    <row r="603" spans="1:2" x14ac:dyDescent="0.25">
      <c r="A603" t="s">
        <v>274</v>
      </c>
      <c r="B603">
        <v>126</v>
      </c>
    </row>
    <row r="604" spans="1:2" x14ac:dyDescent="0.25">
      <c r="A604" t="s">
        <v>811</v>
      </c>
      <c r="B604">
        <v>31412</v>
      </c>
    </row>
    <row r="605" spans="1:2" x14ac:dyDescent="0.25">
      <c r="A605" t="s">
        <v>414</v>
      </c>
      <c r="B605">
        <v>1069</v>
      </c>
    </row>
    <row r="606" spans="1:2" x14ac:dyDescent="0.25">
      <c r="A606" t="s">
        <v>812</v>
      </c>
      <c r="B606">
        <v>10152</v>
      </c>
    </row>
    <row r="607" spans="1:2" x14ac:dyDescent="0.25">
      <c r="A607" t="s">
        <v>402</v>
      </c>
      <c r="B607">
        <v>789</v>
      </c>
    </row>
    <row r="608" spans="1:2" x14ac:dyDescent="0.25">
      <c r="A608" t="s">
        <v>813</v>
      </c>
      <c r="B608">
        <v>14511</v>
      </c>
    </row>
    <row r="609" spans="1:2" x14ac:dyDescent="0.25">
      <c r="A609" t="s">
        <v>244</v>
      </c>
      <c r="B609">
        <v>2710</v>
      </c>
    </row>
    <row r="610" spans="1:2" x14ac:dyDescent="0.25">
      <c r="A610" t="s">
        <v>814</v>
      </c>
      <c r="B610">
        <v>101615</v>
      </c>
    </row>
    <row r="611" spans="1:2" x14ac:dyDescent="0.25">
      <c r="A611" t="s">
        <v>530</v>
      </c>
      <c r="B611">
        <v>1467</v>
      </c>
    </row>
    <row r="612" spans="1:2" x14ac:dyDescent="0.25">
      <c r="A612" t="s">
        <v>649</v>
      </c>
      <c r="B612">
        <v>9616</v>
      </c>
    </row>
    <row r="613" spans="1:2" x14ac:dyDescent="0.25">
      <c r="A613" t="s">
        <v>390</v>
      </c>
      <c r="B613">
        <v>613</v>
      </c>
    </row>
    <row r="614" spans="1:2" x14ac:dyDescent="0.25">
      <c r="A614" t="s">
        <v>815</v>
      </c>
      <c r="B614">
        <v>8167</v>
      </c>
    </row>
    <row r="615" spans="1:2" x14ac:dyDescent="0.25">
      <c r="A615" t="s">
        <v>285</v>
      </c>
      <c r="B615">
        <v>4810</v>
      </c>
    </row>
    <row r="616" spans="1:2" x14ac:dyDescent="0.25">
      <c r="A616" t="s">
        <v>305</v>
      </c>
      <c r="B616">
        <v>9103</v>
      </c>
    </row>
    <row r="617" spans="1:2" x14ac:dyDescent="0.25">
      <c r="A617" t="s">
        <v>816</v>
      </c>
      <c r="B617">
        <v>11513</v>
      </c>
    </row>
    <row r="618" spans="1:2" x14ac:dyDescent="0.25">
      <c r="A618" t="s">
        <v>616</v>
      </c>
      <c r="B618">
        <v>1162</v>
      </c>
    </row>
    <row r="619" spans="1:2" x14ac:dyDescent="0.25">
      <c r="A619" t="s">
        <v>817</v>
      </c>
      <c r="B619">
        <v>1914</v>
      </c>
    </row>
    <row r="620" spans="1:2" x14ac:dyDescent="0.25">
      <c r="A620" t="s">
        <v>275</v>
      </c>
      <c r="B620">
        <v>2111</v>
      </c>
    </row>
    <row r="621" spans="1:2" x14ac:dyDescent="0.25">
      <c r="A621" t="s">
        <v>191</v>
      </c>
      <c r="B621">
        <v>1094</v>
      </c>
    </row>
    <row r="622" spans="1:2" x14ac:dyDescent="0.25">
      <c r="A622" t="s">
        <v>439</v>
      </c>
      <c r="B622">
        <v>423</v>
      </c>
    </row>
    <row r="623" spans="1:2" x14ac:dyDescent="0.25">
      <c r="A623" t="s">
        <v>818</v>
      </c>
      <c r="B623">
        <v>161314</v>
      </c>
    </row>
    <row r="624" spans="1:2" x14ac:dyDescent="0.25">
      <c r="A624" t="s">
        <v>819</v>
      </c>
      <c r="B624">
        <v>151412</v>
      </c>
    </row>
    <row r="625" spans="1:2" x14ac:dyDescent="0.25">
      <c r="A625" t="s">
        <v>597</v>
      </c>
      <c r="B625">
        <v>9714</v>
      </c>
    </row>
    <row r="626" spans="1:2" x14ac:dyDescent="0.25">
      <c r="A626" t="s">
        <v>820</v>
      </c>
      <c r="B626">
        <v>10513</v>
      </c>
    </row>
    <row r="627" spans="1:2" x14ac:dyDescent="0.25">
      <c r="A627" t="s">
        <v>358</v>
      </c>
      <c r="B627">
        <v>1064</v>
      </c>
    </row>
    <row r="628" spans="1:2" x14ac:dyDescent="0.25">
      <c r="A628" t="s">
        <v>146</v>
      </c>
      <c r="B628">
        <v>946</v>
      </c>
    </row>
    <row r="629" spans="1:2" x14ac:dyDescent="0.25">
      <c r="A629" t="s">
        <v>336</v>
      </c>
      <c r="B629">
        <v>1123</v>
      </c>
    </row>
    <row r="630" spans="1:2" x14ac:dyDescent="0.25">
      <c r="A630" t="s">
        <v>821</v>
      </c>
      <c r="B630">
        <v>2165</v>
      </c>
    </row>
    <row r="631" spans="1:2" x14ac:dyDescent="0.25">
      <c r="A631" t="s">
        <v>822</v>
      </c>
      <c r="B631">
        <v>1528</v>
      </c>
    </row>
    <row r="632" spans="1:2" x14ac:dyDescent="0.25">
      <c r="A632" t="s">
        <v>313</v>
      </c>
      <c r="B632">
        <v>957</v>
      </c>
    </row>
    <row r="633" spans="1:2" x14ac:dyDescent="0.25">
      <c r="A633" t="s">
        <v>823</v>
      </c>
      <c r="B633">
        <v>51312</v>
      </c>
    </row>
    <row r="634" spans="1:2" x14ac:dyDescent="0.25">
      <c r="A634" t="s">
        <v>350</v>
      </c>
      <c r="B634">
        <v>397</v>
      </c>
    </row>
    <row r="635" spans="1:2" x14ac:dyDescent="0.25">
      <c r="A635" t="s">
        <v>824</v>
      </c>
      <c r="B635">
        <v>4161</v>
      </c>
    </row>
    <row r="636" spans="1:2" x14ac:dyDescent="0.25">
      <c r="A636" t="s">
        <v>453</v>
      </c>
      <c r="B636">
        <v>51611</v>
      </c>
    </row>
    <row r="637" spans="1:2" x14ac:dyDescent="0.25">
      <c r="A637" t="s">
        <v>230</v>
      </c>
      <c r="B637">
        <v>143</v>
      </c>
    </row>
    <row r="638" spans="1:2" x14ac:dyDescent="0.25">
      <c r="A638" t="s">
        <v>825</v>
      </c>
      <c r="B638">
        <v>15816</v>
      </c>
    </row>
    <row r="639" spans="1:2" x14ac:dyDescent="0.25">
      <c r="A639" t="s">
        <v>295</v>
      </c>
      <c r="B639">
        <v>356</v>
      </c>
    </row>
    <row r="640" spans="1:2" x14ac:dyDescent="0.25">
      <c r="A640" t="s">
        <v>826</v>
      </c>
      <c r="B640">
        <v>4513</v>
      </c>
    </row>
    <row r="641" spans="1:2" x14ac:dyDescent="0.25">
      <c r="A641" t="s">
        <v>765</v>
      </c>
      <c r="B641">
        <v>9315</v>
      </c>
    </row>
    <row r="642" spans="1:2" x14ac:dyDescent="0.25">
      <c r="A642" t="s">
        <v>218</v>
      </c>
      <c r="B642">
        <v>11128</v>
      </c>
    </row>
    <row r="643" spans="1:2" x14ac:dyDescent="0.25">
      <c r="A643" t="s">
        <v>441</v>
      </c>
      <c r="B643">
        <v>1293</v>
      </c>
    </row>
    <row r="644" spans="1:2" x14ac:dyDescent="0.25">
      <c r="A644" t="s">
        <v>827</v>
      </c>
      <c r="B644">
        <v>16611</v>
      </c>
    </row>
    <row r="645" spans="1:2" x14ac:dyDescent="0.25">
      <c r="A645" t="s">
        <v>828</v>
      </c>
      <c r="B645">
        <v>101116</v>
      </c>
    </row>
    <row r="646" spans="1:2" x14ac:dyDescent="0.25">
      <c r="A646" t="s">
        <v>327</v>
      </c>
      <c r="B646">
        <v>269</v>
      </c>
    </row>
    <row r="647" spans="1:2" x14ac:dyDescent="0.25">
      <c r="A647" t="s">
        <v>829</v>
      </c>
      <c r="B647">
        <v>12141</v>
      </c>
    </row>
    <row r="648" spans="1:2" x14ac:dyDescent="0.25">
      <c r="A648" t="s">
        <v>830</v>
      </c>
      <c r="B648">
        <v>9155</v>
      </c>
    </row>
    <row r="649" spans="1:2" x14ac:dyDescent="0.25">
      <c r="A649" t="s">
        <v>831</v>
      </c>
      <c r="B649">
        <v>5169</v>
      </c>
    </row>
    <row r="650" spans="1:2" x14ac:dyDescent="0.25">
      <c r="A650" t="s">
        <v>429</v>
      </c>
      <c r="B650">
        <v>3101</v>
      </c>
    </row>
    <row r="651" spans="1:2" x14ac:dyDescent="0.25">
      <c r="A651" t="s">
        <v>331</v>
      </c>
      <c r="B651">
        <v>1232</v>
      </c>
    </row>
    <row r="652" spans="1:2" x14ac:dyDescent="0.25">
      <c r="A652" t="s">
        <v>832</v>
      </c>
      <c r="B652">
        <v>1441</v>
      </c>
    </row>
    <row r="653" spans="1:2" x14ac:dyDescent="0.25">
      <c r="A653" t="s">
        <v>556</v>
      </c>
      <c r="B653">
        <v>1513</v>
      </c>
    </row>
    <row r="654" spans="1:2" x14ac:dyDescent="0.25">
      <c r="A654" t="s">
        <v>141</v>
      </c>
      <c r="B654">
        <v>7910</v>
      </c>
    </row>
    <row r="655" spans="1:2" x14ac:dyDescent="0.25">
      <c r="A655" t="s">
        <v>376</v>
      </c>
      <c r="B655">
        <v>263</v>
      </c>
    </row>
    <row r="656" spans="1:2" x14ac:dyDescent="0.25">
      <c r="A656" t="s">
        <v>334</v>
      </c>
      <c r="B656">
        <v>1912</v>
      </c>
    </row>
    <row r="657" spans="1:2" x14ac:dyDescent="0.25">
      <c r="A657" t="s">
        <v>826</v>
      </c>
      <c r="B657">
        <v>4513</v>
      </c>
    </row>
    <row r="658" spans="1:2" x14ac:dyDescent="0.25">
      <c r="A658" t="s">
        <v>242</v>
      </c>
      <c r="B658">
        <v>834</v>
      </c>
    </row>
    <row r="659" spans="1:2" x14ac:dyDescent="0.25">
      <c r="A659" t="s">
        <v>833</v>
      </c>
      <c r="B659">
        <v>9215</v>
      </c>
    </row>
    <row r="660" spans="1:2" x14ac:dyDescent="0.25">
      <c r="A660" t="s">
        <v>834</v>
      </c>
      <c r="B660">
        <v>121615</v>
      </c>
    </row>
    <row r="661" spans="1:2" x14ac:dyDescent="0.25">
      <c r="A661" t="s">
        <v>757</v>
      </c>
      <c r="B661">
        <v>13127</v>
      </c>
    </row>
    <row r="662" spans="1:2" x14ac:dyDescent="0.25">
      <c r="A662" t="s">
        <v>211</v>
      </c>
      <c r="B662">
        <v>386</v>
      </c>
    </row>
    <row r="663" spans="1:2" x14ac:dyDescent="0.25">
      <c r="A663" t="s">
        <v>592</v>
      </c>
      <c r="B663">
        <v>1915</v>
      </c>
    </row>
    <row r="664" spans="1:2" x14ac:dyDescent="0.25">
      <c r="A664" t="s">
        <v>649</v>
      </c>
      <c r="B664">
        <v>9616</v>
      </c>
    </row>
    <row r="665" spans="1:2" x14ac:dyDescent="0.25">
      <c r="A665" t="s">
        <v>565</v>
      </c>
      <c r="B665">
        <v>3138</v>
      </c>
    </row>
    <row r="666" spans="1:2" x14ac:dyDescent="0.25">
      <c r="A666" t="s">
        <v>294</v>
      </c>
      <c r="B666">
        <v>1056</v>
      </c>
    </row>
    <row r="667" spans="1:2" x14ac:dyDescent="0.25">
      <c r="A667" t="s">
        <v>482</v>
      </c>
      <c r="B667">
        <v>71510</v>
      </c>
    </row>
    <row r="668" spans="1:2" x14ac:dyDescent="0.25">
      <c r="A668" t="s">
        <v>502</v>
      </c>
      <c r="B668">
        <v>4616</v>
      </c>
    </row>
    <row r="669" spans="1:2" x14ac:dyDescent="0.25">
      <c r="A669" t="s">
        <v>381</v>
      </c>
      <c r="B669">
        <v>1059</v>
      </c>
    </row>
    <row r="670" spans="1:2" x14ac:dyDescent="0.25">
      <c r="A670" t="s">
        <v>835</v>
      </c>
      <c r="B670">
        <v>7314</v>
      </c>
    </row>
    <row r="671" spans="1:2" x14ac:dyDescent="0.25">
      <c r="A671" t="s">
        <v>459</v>
      </c>
      <c r="B671">
        <v>16151</v>
      </c>
    </row>
    <row r="672" spans="1:2" x14ac:dyDescent="0.25">
      <c r="A672" t="s">
        <v>335</v>
      </c>
      <c r="B672">
        <v>1021</v>
      </c>
    </row>
    <row r="673" spans="1:2" x14ac:dyDescent="0.25">
      <c r="A673" t="s">
        <v>787</v>
      </c>
      <c r="B673">
        <v>16156</v>
      </c>
    </row>
    <row r="674" spans="1:2" x14ac:dyDescent="0.25">
      <c r="A674" t="s">
        <v>836</v>
      </c>
      <c r="B674">
        <v>13145</v>
      </c>
    </row>
    <row r="675" spans="1:2" x14ac:dyDescent="0.25">
      <c r="A675" t="s">
        <v>837</v>
      </c>
      <c r="B675">
        <v>16158</v>
      </c>
    </row>
    <row r="676" spans="1:2" x14ac:dyDescent="0.25">
      <c r="A676" t="s">
        <v>545</v>
      </c>
      <c r="B676">
        <v>6169</v>
      </c>
    </row>
    <row r="677" spans="1:2" x14ac:dyDescent="0.25">
      <c r="A677" t="s">
        <v>701</v>
      </c>
      <c r="B677">
        <v>14812</v>
      </c>
    </row>
    <row r="678" spans="1:2" x14ac:dyDescent="0.25">
      <c r="A678" t="s">
        <v>838</v>
      </c>
      <c r="B678">
        <v>1337</v>
      </c>
    </row>
    <row r="679" spans="1:2" x14ac:dyDescent="0.25">
      <c r="A679" t="s">
        <v>507</v>
      </c>
      <c r="B679">
        <v>131412</v>
      </c>
    </row>
    <row r="680" spans="1:2" x14ac:dyDescent="0.25">
      <c r="A680" t="s">
        <v>527</v>
      </c>
      <c r="B680">
        <v>111613</v>
      </c>
    </row>
    <row r="681" spans="1:2" x14ac:dyDescent="0.25">
      <c r="A681" t="s">
        <v>839</v>
      </c>
      <c r="B681">
        <v>14513</v>
      </c>
    </row>
    <row r="682" spans="1:2" x14ac:dyDescent="0.25">
      <c r="A682" t="s">
        <v>222</v>
      </c>
      <c r="B682">
        <v>1151</v>
      </c>
    </row>
    <row r="683" spans="1:2" x14ac:dyDescent="0.25">
      <c r="A683" t="s">
        <v>840</v>
      </c>
      <c r="B683">
        <v>131511</v>
      </c>
    </row>
    <row r="684" spans="1:2" x14ac:dyDescent="0.25">
      <c r="A684" t="s">
        <v>841</v>
      </c>
      <c r="B684">
        <v>11312</v>
      </c>
    </row>
    <row r="685" spans="1:2" x14ac:dyDescent="0.25">
      <c r="A685" t="s">
        <v>205</v>
      </c>
      <c r="B685">
        <v>1016</v>
      </c>
    </row>
    <row r="686" spans="1:2" x14ac:dyDescent="0.25">
      <c r="A686" t="s">
        <v>842</v>
      </c>
      <c r="B686">
        <v>8915</v>
      </c>
    </row>
    <row r="687" spans="1:2" x14ac:dyDescent="0.25">
      <c r="A687" t="s">
        <v>843</v>
      </c>
      <c r="B687">
        <v>9142</v>
      </c>
    </row>
    <row r="688" spans="1:2" x14ac:dyDescent="0.25">
      <c r="A688" t="s">
        <v>435</v>
      </c>
      <c r="B688">
        <v>9312</v>
      </c>
    </row>
    <row r="689" spans="1:2" x14ac:dyDescent="0.25">
      <c r="A689" t="s">
        <v>844</v>
      </c>
      <c r="B689">
        <v>16114</v>
      </c>
    </row>
    <row r="690" spans="1:2" x14ac:dyDescent="0.25">
      <c r="A690" t="s">
        <v>845</v>
      </c>
      <c r="B690">
        <v>16153</v>
      </c>
    </row>
    <row r="691" spans="1:2" x14ac:dyDescent="0.25">
      <c r="A691" t="s">
        <v>231</v>
      </c>
      <c r="B691">
        <v>941</v>
      </c>
    </row>
    <row r="692" spans="1:2" x14ac:dyDescent="0.25">
      <c r="A692" t="s">
        <v>510</v>
      </c>
      <c r="B692">
        <v>141016</v>
      </c>
    </row>
    <row r="693" spans="1:2" x14ac:dyDescent="0.25">
      <c r="A693" t="s">
        <v>846</v>
      </c>
      <c r="B693">
        <v>1156</v>
      </c>
    </row>
    <row r="694" spans="1:2" x14ac:dyDescent="0.25">
      <c r="A694" t="s">
        <v>162</v>
      </c>
      <c r="B694">
        <v>743</v>
      </c>
    </row>
    <row r="695" spans="1:2" x14ac:dyDescent="0.25">
      <c r="A695" t="s">
        <v>197</v>
      </c>
      <c r="B695">
        <v>971</v>
      </c>
    </row>
    <row r="696" spans="1:2" x14ac:dyDescent="0.25">
      <c r="A696" t="s">
        <v>302</v>
      </c>
      <c r="B696">
        <v>12810</v>
      </c>
    </row>
    <row r="697" spans="1:2" x14ac:dyDescent="0.25">
      <c r="A697" t="s">
        <v>847</v>
      </c>
      <c r="B697">
        <v>15414</v>
      </c>
    </row>
    <row r="698" spans="1:2" x14ac:dyDescent="0.25">
      <c r="A698" t="s">
        <v>848</v>
      </c>
      <c r="B698">
        <v>12162</v>
      </c>
    </row>
    <row r="699" spans="1:2" x14ac:dyDescent="0.25">
      <c r="A699" t="s">
        <v>561</v>
      </c>
      <c r="B699">
        <v>91014</v>
      </c>
    </row>
    <row r="700" spans="1:2" x14ac:dyDescent="0.25">
      <c r="A700" t="s">
        <v>801</v>
      </c>
      <c r="B700">
        <v>10154</v>
      </c>
    </row>
    <row r="701" spans="1:2" x14ac:dyDescent="0.25">
      <c r="A701" t="s">
        <v>199</v>
      </c>
      <c r="B701">
        <v>398</v>
      </c>
    </row>
    <row r="702" spans="1:2" x14ac:dyDescent="0.25">
      <c r="A702" t="s">
        <v>247</v>
      </c>
      <c r="B702">
        <v>785</v>
      </c>
    </row>
    <row r="703" spans="1:2" x14ac:dyDescent="0.25">
      <c r="A703" t="s">
        <v>849</v>
      </c>
      <c r="B703">
        <v>1572</v>
      </c>
    </row>
    <row r="704" spans="1:2" x14ac:dyDescent="0.25">
      <c r="A704" t="s">
        <v>850</v>
      </c>
      <c r="B704">
        <v>2131</v>
      </c>
    </row>
    <row r="705" spans="1:2" x14ac:dyDescent="0.25">
      <c r="A705" t="s">
        <v>529</v>
      </c>
      <c r="B705">
        <v>15164</v>
      </c>
    </row>
    <row r="706" spans="1:2" x14ac:dyDescent="0.25">
      <c r="A706" t="s">
        <v>851</v>
      </c>
      <c r="B706">
        <v>10816</v>
      </c>
    </row>
    <row r="707" spans="1:2" x14ac:dyDescent="0.25">
      <c r="A707" t="s">
        <v>852</v>
      </c>
      <c r="B707">
        <v>11149</v>
      </c>
    </row>
    <row r="708" spans="1:2" x14ac:dyDescent="0.25">
      <c r="A708" t="s">
        <v>853</v>
      </c>
      <c r="B708">
        <v>1654</v>
      </c>
    </row>
    <row r="709" spans="1:2" x14ac:dyDescent="0.25">
      <c r="A709" t="s">
        <v>854</v>
      </c>
      <c r="B709">
        <v>1451</v>
      </c>
    </row>
    <row r="710" spans="1:2" x14ac:dyDescent="0.25">
      <c r="A710" t="s">
        <v>541</v>
      </c>
      <c r="B710">
        <v>5147</v>
      </c>
    </row>
    <row r="711" spans="1:2" x14ac:dyDescent="0.25">
      <c r="A711" t="s">
        <v>855</v>
      </c>
      <c r="B711">
        <v>13166</v>
      </c>
    </row>
    <row r="712" spans="1:2" x14ac:dyDescent="0.25">
      <c r="A712" t="s">
        <v>668</v>
      </c>
      <c r="B712">
        <v>141113</v>
      </c>
    </row>
    <row r="713" spans="1:2" x14ac:dyDescent="0.25">
      <c r="A713" t="s">
        <v>480</v>
      </c>
      <c r="B713">
        <v>21615</v>
      </c>
    </row>
    <row r="714" spans="1:2" x14ac:dyDescent="0.25">
      <c r="A714" t="s">
        <v>314</v>
      </c>
      <c r="B714">
        <v>8912</v>
      </c>
    </row>
    <row r="715" spans="1:2" x14ac:dyDescent="0.25">
      <c r="A715" t="s">
        <v>567</v>
      </c>
      <c r="B715">
        <v>131110</v>
      </c>
    </row>
    <row r="716" spans="1:2" x14ac:dyDescent="0.25">
      <c r="A716" t="s">
        <v>258</v>
      </c>
      <c r="B716">
        <v>831</v>
      </c>
    </row>
    <row r="717" spans="1:2" x14ac:dyDescent="0.25">
      <c r="A717" t="s">
        <v>265</v>
      </c>
      <c r="B717">
        <v>9511</v>
      </c>
    </row>
    <row r="718" spans="1:2" x14ac:dyDescent="0.25">
      <c r="A718" t="s">
        <v>856</v>
      </c>
      <c r="B718">
        <v>5614</v>
      </c>
    </row>
    <row r="719" spans="1:2" x14ac:dyDescent="0.25">
      <c r="A719" t="s">
        <v>526</v>
      </c>
      <c r="B719">
        <v>16613</v>
      </c>
    </row>
    <row r="720" spans="1:2" x14ac:dyDescent="0.25">
      <c r="A720" t="s">
        <v>654</v>
      </c>
      <c r="B720">
        <v>131415</v>
      </c>
    </row>
    <row r="721" spans="1:2" x14ac:dyDescent="0.25">
      <c r="A721" t="s">
        <v>857</v>
      </c>
      <c r="B721">
        <v>4155</v>
      </c>
    </row>
    <row r="722" spans="1:2" x14ac:dyDescent="0.25">
      <c r="A722" t="s">
        <v>858</v>
      </c>
      <c r="B722">
        <v>71311</v>
      </c>
    </row>
    <row r="723" spans="1:2" x14ac:dyDescent="0.25">
      <c r="A723" t="s">
        <v>189</v>
      </c>
      <c r="B723">
        <v>1073</v>
      </c>
    </row>
    <row r="724" spans="1:2" x14ac:dyDescent="0.25">
      <c r="A724" t="s">
        <v>859</v>
      </c>
      <c r="B724">
        <v>11145</v>
      </c>
    </row>
    <row r="725" spans="1:2" x14ac:dyDescent="0.25">
      <c r="A725" t="s">
        <v>255</v>
      </c>
      <c r="B725">
        <v>1412</v>
      </c>
    </row>
    <row r="726" spans="1:2" x14ac:dyDescent="0.25">
      <c r="A726" t="s">
        <v>257</v>
      </c>
      <c r="B726">
        <v>163</v>
      </c>
    </row>
    <row r="727" spans="1:2" x14ac:dyDescent="0.25">
      <c r="A727" t="s">
        <v>464</v>
      </c>
      <c r="B727">
        <v>1386</v>
      </c>
    </row>
    <row r="728" spans="1:2" x14ac:dyDescent="0.25">
      <c r="A728" t="s">
        <v>454</v>
      </c>
      <c r="B728">
        <v>16123</v>
      </c>
    </row>
    <row r="729" spans="1:2" x14ac:dyDescent="0.25">
      <c r="A729" t="s">
        <v>860</v>
      </c>
      <c r="B729">
        <v>1374</v>
      </c>
    </row>
    <row r="730" spans="1:2" x14ac:dyDescent="0.25">
      <c r="A730" t="s">
        <v>241</v>
      </c>
      <c r="B730">
        <v>531</v>
      </c>
    </row>
    <row r="731" spans="1:2" x14ac:dyDescent="0.25">
      <c r="A731" t="s">
        <v>320</v>
      </c>
      <c r="B731">
        <v>315</v>
      </c>
    </row>
    <row r="732" spans="1:2" x14ac:dyDescent="0.25">
      <c r="A732" t="s">
        <v>338</v>
      </c>
      <c r="B732">
        <v>283</v>
      </c>
    </row>
    <row r="733" spans="1:2" x14ac:dyDescent="0.25">
      <c r="A733" t="s">
        <v>383</v>
      </c>
      <c r="B733">
        <v>568</v>
      </c>
    </row>
    <row r="734" spans="1:2" x14ac:dyDescent="0.25">
      <c r="A734" t="s">
        <v>539</v>
      </c>
      <c r="B734">
        <v>61013</v>
      </c>
    </row>
    <row r="735" spans="1:2" x14ac:dyDescent="0.25">
      <c r="A735" t="s">
        <v>405</v>
      </c>
      <c r="B735">
        <v>792</v>
      </c>
    </row>
    <row r="736" spans="1:2" x14ac:dyDescent="0.25">
      <c r="A736" t="s">
        <v>861</v>
      </c>
      <c r="B736">
        <v>41015</v>
      </c>
    </row>
    <row r="737" spans="1:2" x14ac:dyDescent="0.25">
      <c r="A737" t="s">
        <v>271</v>
      </c>
      <c r="B737">
        <v>1281</v>
      </c>
    </row>
    <row r="738" spans="1:2" x14ac:dyDescent="0.25">
      <c r="A738" t="s">
        <v>361</v>
      </c>
      <c r="B738">
        <v>1083</v>
      </c>
    </row>
    <row r="739" spans="1:2" x14ac:dyDescent="0.25">
      <c r="A739" t="s">
        <v>862</v>
      </c>
      <c r="B739">
        <v>1447</v>
      </c>
    </row>
    <row r="740" spans="1:2" x14ac:dyDescent="0.25">
      <c r="A740" t="s">
        <v>272</v>
      </c>
      <c r="B740">
        <v>716</v>
      </c>
    </row>
    <row r="741" spans="1:2" x14ac:dyDescent="0.25">
      <c r="A741" t="s">
        <v>370</v>
      </c>
      <c r="B741">
        <v>9121</v>
      </c>
    </row>
    <row r="742" spans="1:2" x14ac:dyDescent="0.25">
      <c r="A742" t="s">
        <v>863</v>
      </c>
      <c r="B742">
        <v>41016</v>
      </c>
    </row>
    <row r="743" spans="1:2" x14ac:dyDescent="0.25">
      <c r="A743" t="s">
        <v>788</v>
      </c>
      <c r="B743">
        <v>14134</v>
      </c>
    </row>
    <row r="744" spans="1:2" x14ac:dyDescent="0.25">
      <c r="A744" t="s">
        <v>353</v>
      </c>
      <c r="B744">
        <v>837</v>
      </c>
    </row>
    <row r="745" spans="1:2" x14ac:dyDescent="0.25">
      <c r="A745" t="s">
        <v>566</v>
      </c>
      <c r="B745">
        <v>13612</v>
      </c>
    </row>
    <row r="746" spans="1:2" x14ac:dyDescent="0.25">
      <c r="A746" t="s">
        <v>864</v>
      </c>
      <c r="B746">
        <v>1443</v>
      </c>
    </row>
    <row r="747" spans="1:2" x14ac:dyDescent="0.25">
      <c r="A747" t="s">
        <v>473</v>
      </c>
      <c r="B747">
        <v>2134</v>
      </c>
    </row>
    <row r="748" spans="1:2" x14ac:dyDescent="0.25">
      <c r="A748" t="s">
        <v>215</v>
      </c>
      <c r="B748">
        <v>11512</v>
      </c>
    </row>
    <row r="749" spans="1:2" x14ac:dyDescent="0.25">
      <c r="A749" t="s">
        <v>865</v>
      </c>
      <c r="B749">
        <v>161415</v>
      </c>
    </row>
    <row r="750" spans="1:2" x14ac:dyDescent="0.25">
      <c r="A750" t="s">
        <v>392</v>
      </c>
      <c r="B750">
        <v>1248</v>
      </c>
    </row>
    <row r="752" spans="1:2" x14ac:dyDescent="0.25">
      <c r="A752" t="s">
        <v>450</v>
      </c>
      <c r="B752">
        <v>749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BD030-D516-4ED0-9902-541025E27805}">
  <sheetPr codeName="Sheet35"/>
  <dimension ref="A1:G89"/>
  <sheetViews>
    <sheetView tabSelected="1" workbookViewId="0"/>
  </sheetViews>
  <sheetFormatPr defaultRowHeight="15" x14ac:dyDescent="0.25"/>
  <cols>
    <col min="1" max="1" width="33.85546875" bestFit="1" customWidth="1"/>
    <col min="2" max="2" width="7" bestFit="1" customWidth="1"/>
    <col min="4" max="4" width="9.42578125" bestFit="1" customWidth="1"/>
    <col min="5" max="5" width="12" bestFit="1" customWidth="1"/>
    <col min="6" max="6" width="10.140625" bestFit="1" customWidth="1"/>
    <col min="7" max="7" width="8.42578125" bestFit="1" customWidth="1"/>
  </cols>
  <sheetData>
    <row r="1" spans="1:7" ht="18.75" x14ac:dyDescent="0.3">
      <c r="A1" s="11" t="s">
        <v>94</v>
      </c>
      <c r="B1" s="11" t="s">
        <v>95</v>
      </c>
      <c r="D1" s="2" t="s">
        <v>119</v>
      </c>
      <c r="E1" s="2" t="s">
        <v>120</v>
      </c>
      <c r="F1" s="2" t="s">
        <v>121</v>
      </c>
      <c r="G1" s="2" t="s">
        <v>122</v>
      </c>
    </row>
    <row r="2" spans="1:7" x14ac:dyDescent="0.25">
      <c r="A2" t="s">
        <v>866</v>
      </c>
      <c r="B2">
        <v>161113</v>
      </c>
    </row>
    <row r="3" spans="1:7" x14ac:dyDescent="0.25">
      <c r="A3" t="s">
        <v>400</v>
      </c>
      <c r="B3">
        <v>314</v>
      </c>
    </row>
    <row r="4" spans="1:7" x14ac:dyDescent="0.25">
      <c r="A4" t="s">
        <v>208</v>
      </c>
      <c r="B4">
        <v>156</v>
      </c>
    </row>
    <row r="5" spans="1:7" x14ac:dyDescent="0.25">
      <c r="A5" t="s">
        <v>298</v>
      </c>
      <c r="B5">
        <v>10912</v>
      </c>
    </row>
    <row r="6" spans="1:7" x14ac:dyDescent="0.25">
      <c r="A6" t="s">
        <v>491</v>
      </c>
      <c r="B6">
        <v>91214</v>
      </c>
    </row>
    <row r="7" spans="1:7" x14ac:dyDescent="0.25">
      <c r="A7" t="s">
        <v>198</v>
      </c>
      <c r="B7">
        <v>7811</v>
      </c>
    </row>
    <row r="8" spans="1:7" x14ac:dyDescent="0.25">
      <c r="A8" t="s">
        <v>867</v>
      </c>
      <c r="B8">
        <v>16612</v>
      </c>
    </row>
    <row r="9" spans="1:7" x14ac:dyDescent="0.25">
      <c r="A9" t="s">
        <v>564</v>
      </c>
      <c r="B9">
        <v>151416</v>
      </c>
    </row>
    <row r="10" spans="1:7" x14ac:dyDescent="0.25">
      <c r="A10" t="s">
        <v>868</v>
      </c>
      <c r="B10">
        <v>9161</v>
      </c>
    </row>
    <row r="11" spans="1:7" x14ac:dyDescent="0.25">
      <c r="A11" t="s">
        <v>436</v>
      </c>
      <c r="B11">
        <v>418</v>
      </c>
    </row>
    <row r="12" spans="1:7" x14ac:dyDescent="0.25">
      <c r="A12" t="s">
        <v>869</v>
      </c>
      <c r="B12">
        <v>1341</v>
      </c>
    </row>
    <row r="13" spans="1:7" x14ac:dyDescent="0.25">
      <c r="A13" t="s">
        <v>525</v>
      </c>
      <c r="B13">
        <v>12713</v>
      </c>
    </row>
    <row r="14" spans="1:7" x14ac:dyDescent="0.25">
      <c r="A14" t="s">
        <v>174</v>
      </c>
      <c r="B14">
        <v>5118</v>
      </c>
    </row>
    <row r="15" spans="1:7" x14ac:dyDescent="0.25">
      <c r="A15" t="s">
        <v>870</v>
      </c>
      <c r="B15">
        <v>3155</v>
      </c>
    </row>
    <row r="16" spans="1:7" x14ac:dyDescent="0.25">
      <c r="A16" t="s">
        <v>432</v>
      </c>
      <c r="B16">
        <v>3112</v>
      </c>
    </row>
    <row r="17" spans="1:2" x14ac:dyDescent="0.25">
      <c r="A17" t="s">
        <v>426</v>
      </c>
      <c r="B17">
        <v>1251</v>
      </c>
    </row>
    <row r="18" spans="1:2" x14ac:dyDescent="0.25">
      <c r="A18" t="s">
        <v>418</v>
      </c>
      <c r="B18">
        <v>169</v>
      </c>
    </row>
    <row r="19" spans="1:2" x14ac:dyDescent="0.25">
      <c r="A19" t="s">
        <v>300</v>
      </c>
      <c r="B19">
        <v>4811</v>
      </c>
    </row>
    <row r="20" spans="1:2" x14ac:dyDescent="0.25">
      <c r="A20" t="s">
        <v>420</v>
      </c>
      <c r="B20">
        <v>328</v>
      </c>
    </row>
    <row r="21" spans="1:2" x14ac:dyDescent="0.25">
      <c r="A21" t="s">
        <v>871</v>
      </c>
      <c r="B21">
        <v>9165</v>
      </c>
    </row>
    <row r="22" spans="1:2" x14ac:dyDescent="0.25">
      <c r="A22" t="s">
        <v>872</v>
      </c>
      <c r="B22">
        <v>1696</v>
      </c>
    </row>
    <row r="23" spans="1:2" x14ac:dyDescent="0.25">
      <c r="A23" t="s">
        <v>873</v>
      </c>
      <c r="B23">
        <v>1154</v>
      </c>
    </row>
    <row r="24" spans="1:2" x14ac:dyDescent="0.25">
      <c r="A24" t="s">
        <v>874</v>
      </c>
      <c r="B24">
        <v>2147</v>
      </c>
    </row>
    <row r="25" spans="1:2" x14ac:dyDescent="0.25">
      <c r="A25" t="s">
        <v>875</v>
      </c>
      <c r="B25">
        <v>1458</v>
      </c>
    </row>
    <row r="26" spans="1:2" x14ac:dyDescent="0.25">
      <c r="A26" t="s">
        <v>416</v>
      </c>
      <c r="B26">
        <v>751</v>
      </c>
    </row>
    <row r="27" spans="1:2" x14ac:dyDescent="0.25">
      <c r="A27" t="s">
        <v>876</v>
      </c>
      <c r="B27">
        <v>51412</v>
      </c>
    </row>
    <row r="28" spans="1:2" x14ac:dyDescent="0.25">
      <c r="A28" t="s">
        <v>499</v>
      </c>
      <c r="B28">
        <v>1579</v>
      </c>
    </row>
    <row r="29" spans="1:2" x14ac:dyDescent="0.25">
      <c r="A29" t="s">
        <v>794</v>
      </c>
      <c r="B29">
        <v>1432</v>
      </c>
    </row>
    <row r="30" spans="1:2" x14ac:dyDescent="0.25">
      <c r="A30" t="s">
        <v>568</v>
      </c>
      <c r="B30">
        <v>11410</v>
      </c>
    </row>
    <row r="31" spans="1:2" x14ac:dyDescent="0.25">
      <c r="A31" t="s">
        <v>795</v>
      </c>
      <c r="B31">
        <v>6134</v>
      </c>
    </row>
    <row r="32" spans="1:2" x14ac:dyDescent="0.25">
      <c r="A32" t="s">
        <v>877</v>
      </c>
      <c r="B32">
        <v>2915</v>
      </c>
    </row>
    <row r="33" spans="1:2" x14ac:dyDescent="0.25">
      <c r="A33" t="s">
        <v>543</v>
      </c>
      <c r="B33">
        <v>6813</v>
      </c>
    </row>
    <row r="34" spans="1:2" x14ac:dyDescent="0.25">
      <c r="A34" t="s">
        <v>466</v>
      </c>
      <c r="B34">
        <v>1478</v>
      </c>
    </row>
    <row r="35" spans="1:2" x14ac:dyDescent="0.25">
      <c r="A35" t="s">
        <v>167</v>
      </c>
      <c r="B35">
        <v>469</v>
      </c>
    </row>
    <row r="36" spans="1:2" x14ac:dyDescent="0.25">
      <c r="A36" t="s">
        <v>178</v>
      </c>
      <c r="B36">
        <v>4110</v>
      </c>
    </row>
    <row r="37" spans="1:2" x14ac:dyDescent="0.25">
      <c r="A37" t="s">
        <v>386</v>
      </c>
      <c r="B37">
        <v>629</v>
      </c>
    </row>
    <row r="38" spans="1:2" x14ac:dyDescent="0.25">
      <c r="A38" t="s">
        <v>878</v>
      </c>
      <c r="B38">
        <v>6143</v>
      </c>
    </row>
    <row r="39" spans="1:2" x14ac:dyDescent="0.25">
      <c r="A39" t="s">
        <v>879</v>
      </c>
      <c r="B39">
        <v>1649</v>
      </c>
    </row>
    <row r="40" spans="1:2" x14ac:dyDescent="0.25">
      <c r="A40" t="s">
        <v>698</v>
      </c>
      <c r="B40">
        <v>10415</v>
      </c>
    </row>
    <row r="41" spans="1:2" x14ac:dyDescent="0.25">
      <c r="A41" t="s">
        <v>673</v>
      </c>
      <c r="B41">
        <v>1626</v>
      </c>
    </row>
    <row r="42" spans="1:2" x14ac:dyDescent="0.25">
      <c r="A42" t="s">
        <v>489</v>
      </c>
      <c r="B42">
        <v>1663</v>
      </c>
    </row>
    <row r="43" spans="1:2" x14ac:dyDescent="0.25">
      <c r="A43" t="s">
        <v>880</v>
      </c>
      <c r="B43">
        <v>15711</v>
      </c>
    </row>
    <row r="44" spans="1:2" x14ac:dyDescent="0.25">
      <c r="A44" t="s">
        <v>243</v>
      </c>
      <c r="B44">
        <v>11109</v>
      </c>
    </row>
    <row r="45" spans="1:2" x14ac:dyDescent="0.25">
      <c r="A45" t="s">
        <v>270</v>
      </c>
      <c r="B45">
        <v>476</v>
      </c>
    </row>
    <row r="46" spans="1:2" x14ac:dyDescent="0.25">
      <c r="A46" t="s">
        <v>881</v>
      </c>
      <c r="B46">
        <v>1421</v>
      </c>
    </row>
    <row r="47" spans="1:2" x14ac:dyDescent="0.25">
      <c r="A47" t="s">
        <v>219</v>
      </c>
      <c r="B47">
        <v>3210</v>
      </c>
    </row>
    <row r="48" spans="1:2" x14ac:dyDescent="0.25">
      <c r="A48" t="s">
        <v>445</v>
      </c>
      <c r="B48">
        <v>11110</v>
      </c>
    </row>
    <row r="49" spans="1:2" x14ac:dyDescent="0.25">
      <c r="A49" t="s">
        <v>533</v>
      </c>
      <c r="B49">
        <v>2153</v>
      </c>
    </row>
    <row r="50" spans="1:2" x14ac:dyDescent="0.25">
      <c r="A50" t="s">
        <v>364</v>
      </c>
      <c r="B50">
        <v>6711</v>
      </c>
    </row>
    <row r="51" spans="1:2" x14ac:dyDescent="0.25">
      <c r="A51" t="s">
        <v>882</v>
      </c>
      <c r="B51">
        <v>141512</v>
      </c>
    </row>
    <row r="52" spans="1:2" x14ac:dyDescent="0.25">
      <c r="A52" t="s">
        <v>883</v>
      </c>
      <c r="B52">
        <v>111612</v>
      </c>
    </row>
    <row r="53" spans="1:2" x14ac:dyDescent="0.25">
      <c r="A53" t="s">
        <v>733</v>
      </c>
      <c r="B53">
        <v>16138</v>
      </c>
    </row>
    <row r="54" spans="1:2" x14ac:dyDescent="0.25">
      <c r="A54" t="s">
        <v>884</v>
      </c>
      <c r="B54">
        <v>1525</v>
      </c>
    </row>
    <row r="55" spans="1:2" x14ac:dyDescent="0.25">
      <c r="A55" t="s">
        <v>885</v>
      </c>
      <c r="B55">
        <v>16910</v>
      </c>
    </row>
    <row r="56" spans="1:2" x14ac:dyDescent="0.25">
      <c r="A56" t="s">
        <v>461</v>
      </c>
      <c r="B56">
        <v>10915</v>
      </c>
    </row>
    <row r="57" spans="1:2" x14ac:dyDescent="0.25">
      <c r="A57" t="s">
        <v>409</v>
      </c>
      <c r="B57">
        <v>1062</v>
      </c>
    </row>
    <row r="58" spans="1:2" x14ac:dyDescent="0.25">
      <c r="A58" t="s">
        <v>886</v>
      </c>
      <c r="B58">
        <v>61514</v>
      </c>
    </row>
    <row r="59" spans="1:2" x14ac:dyDescent="0.25">
      <c r="A59" t="s">
        <v>887</v>
      </c>
      <c r="B59">
        <v>3162</v>
      </c>
    </row>
    <row r="60" spans="1:2" x14ac:dyDescent="0.25">
      <c r="A60" t="s">
        <v>888</v>
      </c>
      <c r="B60">
        <v>1516</v>
      </c>
    </row>
    <row r="61" spans="1:2" x14ac:dyDescent="0.25">
      <c r="A61" t="s">
        <v>889</v>
      </c>
      <c r="B61">
        <v>15119</v>
      </c>
    </row>
    <row r="62" spans="1:2" x14ac:dyDescent="0.25">
      <c r="A62" t="s">
        <v>890</v>
      </c>
      <c r="B62">
        <v>15138</v>
      </c>
    </row>
    <row r="63" spans="1:2" x14ac:dyDescent="0.25">
      <c r="A63" t="s">
        <v>307</v>
      </c>
      <c r="B63">
        <v>2412</v>
      </c>
    </row>
    <row r="64" spans="1:2" x14ac:dyDescent="0.25">
      <c r="A64" t="s">
        <v>891</v>
      </c>
      <c r="B64">
        <v>11416</v>
      </c>
    </row>
    <row r="65" spans="1:2" x14ac:dyDescent="0.25">
      <c r="A65" t="s">
        <v>892</v>
      </c>
      <c r="B65">
        <v>10114</v>
      </c>
    </row>
    <row r="66" spans="1:2" x14ac:dyDescent="0.25">
      <c r="A66" t="s">
        <v>893</v>
      </c>
      <c r="B66">
        <v>71511</v>
      </c>
    </row>
    <row r="67" spans="1:2" x14ac:dyDescent="0.25">
      <c r="A67" t="s">
        <v>894</v>
      </c>
      <c r="B67">
        <v>21115</v>
      </c>
    </row>
    <row r="68" spans="1:2" x14ac:dyDescent="0.25">
      <c r="A68" t="s">
        <v>200</v>
      </c>
      <c r="B68">
        <v>3911</v>
      </c>
    </row>
    <row r="69" spans="1:2" x14ac:dyDescent="0.25">
      <c r="A69" t="s">
        <v>895</v>
      </c>
      <c r="B69">
        <v>10157</v>
      </c>
    </row>
    <row r="70" spans="1:2" x14ac:dyDescent="0.25">
      <c r="A70" t="s">
        <v>896</v>
      </c>
      <c r="B70">
        <v>91613</v>
      </c>
    </row>
    <row r="71" spans="1:2" x14ac:dyDescent="0.25">
      <c r="A71" t="s">
        <v>897</v>
      </c>
      <c r="B71">
        <v>9167</v>
      </c>
    </row>
    <row r="72" spans="1:2" x14ac:dyDescent="0.25">
      <c r="A72" t="s">
        <v>898</v>
      </c>
      <c r="B72">
        <v>8313</v>
      </c>
    </row>
    <row r="73" spans="1:2" x14ac:dyDescent="0.25">
      <c r="A73" t="s">
        <v>384</v>
      </c>
      <c r="B73">
        <v>1028</v>
      </c>
    </row>
    <row r="74" spans="1:2" x14ac:dyDescent="0.25">
      <c r="A74" t="s">
        <v>471</v>
      </c>
      <c r="B74">
        <v>1368</v>
      </c>
    </row>
    <row r="75" spans="1:2" x14ac:dyDescent="0.25">
      <c r="A75" t="s">
        <v>561</v>
      </c>
      <c r="B75">
        <v>91014</v>
      </c>
    </row>
    <row r="76" spans="1:2" x14ac:dyDescent="0.25">
      <c r="A76" t="s">
        <v>430</v>
      </c>
      <c r="B76">
        <v>921</v>
      </c>
    </row>
    <row r="77" spans="1:2" x14ac:dyDescent="0.25">
      <c r="A77" t="s">
        <v>899</v>
      </c>
      <c r="B77">
        <v>14113</v>
      </c>
    </row>
    <row r="78" spans="1:2" x14ac:dyDescent="0.25">
      <c r="A78" t="s">
        <v>253</v>
      </c>
      <c r="B78">
        <v>2103</v>
      </c>
    </row>
    <row r="79" spans="1:2" x14ac:dyDescent="0.25">
      <c r="A79" t="s">
        <v>544</v>
      </c>
      <c r="B79">
        <v>21213</v>
      </c>
    </row>
    <row r="80" spans="1:2" x14ac:dyDescent="0.25">
      <c r="A80" t="s">
        <v>900</v>
      </c>
      <c r="B80">
        <v>8916</v>
      </c>
    </row>
    <row r="81" spans="1:2" x14ac:dyDescent="0.25">
      <c r="A81" t="s">
        <v>161</v>
      </c>
      <c r="B81">
        <v>10511</v>
      </c>
    </row>
    <row r="82" spans="1:2" x14ac:dyDescent="0.25">
      <c r="A82" t="s">
        <v>901</v>
      </c>
      <c r="B82">
        <v>21315</v>
      </c>
    </row>
    <row r="83" spans="1:2" x14ac:dyDescent="0.25">
      <c r="A83" t="s">
        <v>902</v>
      </c>
      <c r="B83">
        <v>1476</v>
      </c>
    </row>
    <row r="84" spans="1:2" x14ac:dyDescent="0.25">
      <c r="A84" t="s">
        <v>842</v>
      </c>
      <c r="B84">
        <v>8915</v>
      </c>
    </row>
    <row r="85" spans="1:2" x14ac:dyDescent="0.25">
      <c r="A85" t="s">
        <v>903</v>
      </c>
      <c r="B85">
        <v>16147</v>
      </c>
    </row>
    <row r="86" spans="1:2" x14ac:dyDescent="0.25">
      <c r="A86" t="s">
        <v>246</v>
      </c>
      <c r="B86">
        <v>218</v>
      </c>
    </row>
    <row r="87" spans="1:2" x14ac:dyDescent="0.25">
      <c r="A87" t="s">
        <v>904</v>
      </c>
      <c r="B87">
        <v>14710</v>
      </c>
    </row>
    <row r="89" spans="1:2" x14ac:dyDescent="0.25">
      <c r="A89" t="s">
        <v>450</v>
      </c>
      <c r="B89">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051F-2D30-4B54-B481-8AE3471D2416}">
  <sheetPr codeName="Sheet11"/>
  <dimension ref="A3"/>
  <sheetViews>
    <sheetView workbookViewId="0"/>
  </sheetViews>
  <sheetFormatPr defaultRowHeight="15" x14ac:dyDescent="0.25"/>
  <sheetData>
    <row r="3" spans="1:1" x14ac:dyDescent="0.25">
      <c r="A3" s="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F3C0-DF7F-4415-847E-576C4F261C43}">
  <sheetPr codeName="Sheet19"/>
  <dimension ref="A1:Q84"/>
  <sheetViews>
    <sheetView zoomScale="120" zoomScaleNormal="120" workbookViewId="0">
      <selection activeCell="P8" sqref="P8"/>
    </sheetView>
  </sheetViews>
  <sheetFormatPr defaultRowHeight="15" x14ac:dyDescent="0.25"/>
  <cols>
    <col min="1" max="1" width="14.7109375" bestFit="1" customWidth="1"/>
    <col min="2" max="2" width="13.28515625" bestFit="1" customWidth="1"/>
    <col min="7" max="7" width="21.7109375" style="9" bestFit="1" customWidth="1"/>
    <col min="8" max="8" width="13.42578125" bestFit="1" customWidth="1"/>
    <col min="10" max="10" width="4.7109375" customWidth="1"/>
    <col min="16" max="16" width="11.85546875" customWidth="1"/>
    <col min="17" max="17" width="28.140625" bestFit="1" customWidth="1"/>
  </cols>
  <sheetData>
    <row r="1" spans="1:17" x14ac:dyDescent="0.25">
      <c r="A1" s="6" t="s">
        <v>0</v>
      </c>
      <c r="B1" t="s">
        <v>1</v>
      </c>
      <c r="C1" s="2">
        <f>GETPIVOTDATA("count",$A$1)</f>
        <v>179</v>
      </c>
      <c r="D1" t="s">
        <v>2</v>
      </c>
      <c r="G1" s="12" t="s">
        <v>123</v>
      </c>
      <c r="H1" s="2" t="s">
        <v>3</v>
      </c>
      <c r="P1" s="22" t="s">
        <v>4</v>
      </c>
      <c r="Q1" s="22"/>
    </row>
    <row r="2" spans="1:17" ht="15" customHeight="1" x14ac:dyDescent="0.25">
      <c r="A2" s="3" t="s">
        <v>5</v>
      </c>
      <c r="B2" s="7">
        <v>36</v>
      </c>
      <c r="C2" s="4">
        <f>GETPIVOTDATA("count",$A$1,"Word","Analyst")/$C$1</f>
        <v>0.2011173184357542</v>
      </c>
      <c r="D2" t="s">
        <v>6</v>
      </c>
      <c r="E2" s="17" t="s">
        <v>7</v>
      </c>
      <c r="F2" s="8"/>
      <c r="G2" s="13">
        <v>1</v>
      </c>
      <c r="H2" s="10" t="str">
        <f>A2</f>
        <v>Analyst</v>
      </c>
      <c r="P2" s="5">
        <f>COUNTA(H2:H20)</f>
        <v>16</v>
      </c>
    </row>
    <row r="3" spans="1:17" x14ac:dyDescent="0.25">
      <c r="A3" s="3" t="s">
        <v>8</v>
      </c>
      <c r="B3" s="7">
        <v>15</v>
      </c>
      <c r="C3" s="4">
        <f>GETPIVOTDATA("count",$A$1,"Word","Data")/$C$1</f>
        <v>8.3798882681564241E-2</v>
      </c>
      <c r="D3" t="s">
        <v>6</v>
      </c>
      <c r="E3" s="17"/>
      <c r="F3" s="8"/>
      <c r="G3" s="13">
        <v>2</v>
      </c>
      <c r="H3" s="10" t="str">
        <f t="shared" ref="H3:H17" si="0">A3</f>
        <v>Data</v>
      </c>
      <c r="P3" t="s">
        <v>9</v>
      </c>
    </row>
    <row r="4" spans="1:17" x14ac:dyDescent="0.25">
      <c r="A4" s="3" t="s">
        <v>11</v>
      </c>
      <c r="B4" s="7">
        <v>5</v>
      </c>
      <c r="C4" s="4">
        <f>GETPIVOTDATA("count",$A$1,"Word","Specialist")/$C$1</f>
        <v>2.7932960893854747E-2</v>
      </c>
      <c r="D4" t="s">
        <v>6</v>
      </c>
      <c r="E4" s="17"/>
      <c r="F4" s="8"/>
      <c r="G4" s="13">
        <v>3</v>
      </c>
      <c r="H4" s="10" t="str">
        <f t="shared" si="0"/>
        <v>Specialist</v>
      </c>
      <c r="P4" s="5">
        <v>3</v>
      </c>
    </row>
    <row r="5" spans="1:17" x14ac:dyDescent="0.25">
      <c r="A5" s="3" t="s">
        <v>15</v>
      </c>
      <c r="B5" s="7">
        <v>5</v>
      </c>
      <c r="C5" s="4">
        <f>GETPIVOTDATA("count",$A$1,"Word","Associate")/$C$1</f>
        <v>2.7932960893854747E-2</v>
      </c>
      <c r="D5" t="s">
        <v>6</v>
      </c>
      <c r="E5" s="17"/>
      <c r="F5" s="8"/>
      <c r="G5" s="13">
        <v>4</v>
      </c>
      <c r="H5" s="10" t="str">
        <f t="shared" si="0"/>
        <v>Associate</v>
      </c>
      <c r="P5" t="s">
        <v>12</v>
      </c>
    </row>
    <row r="6" spans="1:17" x14ac:dyDescent="0.25">
      <c r="A6" s="3" t="s">
        <v>13</v>
      </c>
      <c r="B6" s="7">
        <v>5</v>
      </c>
      <c r="C6" s="4">
        <f>GETPIVOTDATA("count",$A$1,"Word","Business")/$C$1</f>
        <v>2.7932960893854747E-2</v>
      </c>
      <c r="D6" t="s">
        <v>6</v>
      </c>
      <c r="E6" s="17"/>
      <c r="F6" s="8"/>
      <c r="G6" s="13">
        <v>5</v>
      </c>
      <c r="H6" s="10" t="str">
        <f t="shared" si="0"/>
        <v>Business</v>
      </c>
      <c r="P6" t="s">
        <v>14</v>
      </c>
    </row>
    <row r="7" spans="1:17" x14ac:dyDescent="0.25">
      <c r="A7" s="3" t="s">
        <v>23</v>
      </c>
      <c r="B7" s="7">
        <v>4</v>
      </c>
      <c r="C7" s="4">
        <f>GETPIVOTDATA("count",$A$1,"Word","Research")/$C$1</f>
        <v>2.23463687150838E-2</v>
      </c>
      <c r="D7" t="s">
        <v>6</v>
      </c>
      <c r="E7" s="17"/>
      <c r="F7" s="8"/>
      <c r="G7" s="13">
        <v>6</v>
      </c>
      <c r="H7" s="14" t="str">
        <f t="shared" si="0"/>
        <v>Research</v>
      </c>
      <c r="P7">
        <f>COMBIN($P$2,$P$4)</f>
        <v>560</v>
      </c>
      <c r="Q7" t="s">
        <v>16</v>
      </c>
    </row>
    <row r="8" spans="1:17" x14ac:dyDescent="0.25">
      <c r="A8" s="3" t="s">
        <v>17</v>
      </c>
      <c r="B8" s="7">
        <v>4</v>
      </c>
      <c r="C8" s="4">
        <f>GETPIVOTDATA("count",$A$1,"Word","Fraud")/$C$1</f>
        <v>2.23463687150838E-2</v>
      </c>
      <c r="D8" t="s">
        <v>6</v>
      </c>
      <c r="E8" s="17"/>
      <c r="F8" s="8"/>
      <c r="G8" s="13">
        <v>7</v>
      </c>
      <c r="H8" s="14" t="str">
        <f t="shared" si="0"/>
        <v>Fraud</v>
      </c>
      <c r="P8">
        <f>PERMUT($P$2,$P$4)</f>
        <v>3360</v>
      </c>
      <c r="Q8" t="s">
        <v>18</v>
      </c>
    </row>
    <row r="9" spans="1:17" x14ac:dyDescent="0.25">
      <c r="A9" s="3" t="s">
        <v>10</v>
      </c>
      <c r="B9" s="7">
        <v>4</v>
      </c>
      <c r="C9" s="4">
        <f>GETPIVOTDATA("count",$A$1,"Word","Entry")/$C$1</f>
        <v>2.23463687150838E-2</v>
      </c>
      <c r="D9" t="s">
        <v>6</v>
      </c>
      <c r="E9" s="17"/>
      <c r="F9" s="8"/>
      <c r="G9" s="13">
        <v>8</v>
      </c>
      <c r="H9" s="10" t="s">
        <v>10</v>
      </c>
    </row>
    <row r="10" spans="1:17" x14ac:dyDescent="0.25">
      <c r="A10" s="3" t="s">
        <v>19</v>
      </c>
      <c r="B10" s="7">
        <v>4</v>
      </c>
      <c r="C10" s="4"/>
      <c r="E10" s="17"/>
      <c r="F10" s="8"/>
      <c r="G10" s="13"/>
      <c r="H10" s="10"/>
      <c r="P10">
        <v>254</v>
      </c>
      <c r="Q10" t="s">
        <v>21</v>
      </c>
    </row>
    <row r="11" spans="1:17" x14ac:dyDescent="0.25">
      <c r="A11" s="3" t="s">
        <v>20</v>
      </c>
      <c r="B11" s="7">
        <v>4</v>
      </c>
      <c r="C11" s="4">
        <f>GETPIVOTDATA("count",$A$1,"Word","Actuarial")/$C$1</f>
        <v>2.23463687150838E-2</v>
      </c>
      <c r="D11" t="s">
        <v>6</v>
      </c>
      <c r="E11" s="17"/>
      <c r="F11" s="8"/>
      <c r="G11" s="13">
        <v>9</v>
      </c>
      <c r="H11" s="10" t="str">
        <f t="shared" si="0"/>
        <v>Actuarial</v>
      </c>
      <c r="P11">
        <v>32767</v>
      </c>
      <c r="Q11" t="s">
        <v>159</v>
      </c>
    </row>
    <row r="12" spans="1:17" x14ac:dyDescent="0.25">
      <c r="A12" s="3" t="s">
        <v>24</v>
      </c>
      <c r="B12" s="7">
        <v>3</v>
      </c>
      <c r="C12" s="4">
        <f>GETPIVOTDATA("count",$A$1,"Word","Insurance")/$C$1</f>
        <v>1.6759776536312849E-2</v>
      </c>
      <c r="D12" t="s">
        <v>6</v>
      </c>
      <c r="E12" s="17"/>
      <c r="F12" s="17"/>
      <c r="G12" s="13">
        <v>10</v>
      </c>
      <c r="H12" s="10" t="str">
        <f t="shared" si="0"/>
        <v>Insurance</v>
      </c>
    </row>
    <row r="13" spans="1:17" x14ac:dyDescent="0.25">
      <c r="A13" s="3" t="s">
        <v>26</v>
      </c>
      <c r="B13" s="7">
        <v>3</v>
      </c>
      <c r="C13" s="4">
        <f>GETPIVOTDATA("count",$A$1,"Word","Reporting")/$C$1</f>
        <v>1.6759776536312849E-2</v>
      </c>
      <c r="D13" t="s">
        <v>6</v>
      </c>
      <c r="E13" s="17"/>
      <c r="F13" s="17"/>
      <c r="G13" s="13">
        <v>11</v>
      </c>
      <c r="H13" s="10" t="str">
        <f t="shared" si="0"/>
        <v>Reporting</v>
      </c>
    </row>
    <row r="14" spans="1:17" x14ac:dyDescent="0.25">
      <c r="A14" s="3" t="s">
        <v>22</v>
      </c>
      <c r="B14" s="7">
        <v>3</v>
      </c>
      <c r="C14" s="4">
        <f>GETPIVOTDATA("count",$A$1,"Word","Management")/$C$1</f>
        <v>1.6759776536312849E-2</v>
      </c>
      <c r="D14" t="s">
        <v>6</v>
      </c>
      <c r="E14" s="18"/>
      <c r="F14" s="18"/>
      <c r="G14" s="13">
        <v>12</v>
      </c>
      <c r="H14" s="10" t="str">
        <f t="shared" si="0"/>
        <v>Management</v>
      </c>
    </row>
    <row r="15" spans="1:17" x14ac:dyDescent="0.25">
      <c r="A15" s="3" t="s">
        <v>38</v>
      </c>
      <c r="B15" s="7">
        <v>2</v>
      </c>
      <c r="C15" s="4">
        <f>GETPIVOTDATA("count",$A$1,"Word","Pricing")/$C$1</f>
        <v>1.11731843575419E-2</v>
      </c>
      <c r="D15" t="s">
        <v>6</v>
      </c>
      <c r="E15" s="18"/>
      <c r="F15" s="18"/>
      <c r="G15" s="13">
        <v>13</v>
      </c>
      <c r="H15" s="10" t="str">
        <f t="shared" si="0"/>
        <v>Pricing</v>
      </c>
    </row>
    <row r="16" spans="1:17" x14ac:dyDescent="0.25">
      <c r="A16" s="3" t="s">
        <v>40</v>
      </c>
      <c r="B16" s="7">
        <v>2</v>
      </c>
      <c r="C16" s="4">
        <f>GETPIVOTDATA("count",$A$1,"Word","Risk")/$C$1</f>
        <v>1.11731843575419E-2</v>
      </c>
      <c r="D16" t="s">
        <v>6</v>
      </c>
      <c r="E16" s="18"/>
      <c r="F16" s="18"/>
      <c r="G16" s="13">
        <v>14</v>
      </c>
      <c r="H16" s="10" t="str">
        <f t="shared" si="0"/>
        <v>Risk</v>
      </c>
    </row>
    <row r="17" spans="1:8" x14ac:dyDescent="0.25">
      <c r="A17" s="3" t="s">
        <v>27</v>
      </c>
      <c r="B17" s="7">
        <v>2</v>
      </c>
      <c r="C17" s="4">
        <f>GETPIVOTDATA("count",$A$1,"Word","Project")/$C$1</f>
        <v>1.11731843575419E-2</v>
      </c>
      <c r="D17" t="s">
        <v>6</v>
      </c>
      <c r="E17" s="18"/>
      <c r="F17" s="18"/>
      <c r="G17" s="13">
        <v>15</v>
      </c>
      <c r="H17" s="10" t="str">
        <f t="shared" si="0"/>
        <v>Project</v>
      </c>
    </row>
    <row r="18" spans="1:8" x14ac:dyDescent="0.25">
      <c r="A18" s="3" t="s">
        <v>34</v>
      </c>
      <c r="B18" s="7">
        <v>2</v>
      </c>
    </row>
    <row r="19" spans="1:8" x14ac:dyDescent="0.25">
      <c r="A19" s="3" t="s">
        <v>37</v>
      </c>
      <c r="B19" s="7">
        <v>2</v>
      </c>
      <c r="C19" s="4">
        <f>GETPIVOTDATA("count",$A$1,"Word","Underwriter")/$C$1</f>
        <v>1.11731843575419E-2</v>
      </c>
      <c r="D19" t="s">
        <v>6</v>
      </c>
      <c r="E19" s="18"/>
      <c r="F19" s="18"/>
      <c r="G19" s="13">
        <v>16</v>
      </c>
      <c r="H19" s="16" t="s">
        <v>26</v>
      </c>
    </row>
    <row r="20" spans="1:8" x14ac:dyDescent="0.25">
      <c r="A20" s="3" t="s">
        <v>29</v>
      </c>
      <c r="B20" s="7">
        <v>2</v>
      </c>
      <c r="C20" s="4"/>
      <c r="E20" s="19"/>
      <c r="F20" s="19"/>
      <c r="G20" s="20"/>
      <c r="H20" s="21"/>
    </row>
    <row r="21" spans="1:8" x14ac:dyDescent="0.25">
      <c r="A21" s="3" t="s">
        <v>31</v>
      </c>
      <c r="B21" s="7">
        <v>2</v>
      </c>
      <c r="C21" s="4"/>
      <c r="H21" s="15"/>
    </row>
    <row r="22" spans="1:8" x14ac:dyDescent="0.25">
      <c r="A22" s="3" t="s">
        <v>28</v>
      </c>
      <c r="B22" s="7">
        <v>2</v>
      </c>
    </row>
    <row r="23" spans="1:8" x14ac:dyDescent="0.25">
      <c r="A23" s="3" t="s">
        <v>68</v>
      </c>
      <c r="B23" s="7">
        <v>2</v>
      </c>
    </row>
    <row r="24" spans="1:8" x14ac:dyDescent="0.25">
      <c r="A24" s="3" t="s">
        <v>30</v>
      </c>
      <c r="B24" s="7">
        <v>2</v>
      </c>
    </row>
    <row r="25" spans="1:8" x14ac:dyDescent="0.25">
      <c r="A25" s="3" t="s">
        <v>33</v>
      </c>
      <c r="B25" s="7">
        <v>2</v>
      </c>
    </row>
    <row r="26" spans="1:8" x14ac:dyDescent="0.25">
      <c r="A26" s="3" t="s">
        <v>32</v>
      </c>
      <c r="B26" s="7">
        <v>2</v>
      </c>
    </row>
    <row r="27" spans="1:8" x14ac:dyDescent="0.25">
      <c r="A27" s="3" t="s">
        <v>35</v>
      </c>
      <c r="B27" s="7">
        <v>2</v>
      </c>
    </row>
    <row r="28" spans="1:8" x14ac:dyDescent="0.25">
      <c r="A28" s="3" t="s">
        <v>85</v>
      </c>
      <c r="B28" s="7">
        <v>2</v>
      </c>
    </row>
    <row r="29" spans="1:8" x14ac:dyDescent="0.25">
      <c r="A29" s="3" t="s">
        <v>25</v>
      </c>
      <c r="B29" s="7">
        <v>2</v>
      </c>
    </row>
    <row r="30" spans="1:8" x14ac:dyDescent="0.25">
      <c r="A30" s="3" t="s">
        <v>79</v>
      </c>
      <c r="B30" s="7">
        <v>1</v>
      </c>
    </row>
    <row r="31" spans="1:8" x14ac:dyDescent="0.25">
      <c r="A31" s="3" t="s">
        <v>152</v>
      </c>
      <c r="B31" s="7">
        <v>1</v>
      </c>
    </row>
    <row r="32" spans="1:8" x14ac:dyDescent="0.25">
      <c r="A32" s="3" t="s">
        <v>86</v>
      </c>
      <c r="B32" s="7">
        <v>1</v>
      </c>
    </row>
    <row r="33" spans="1:2" x14ac:dyDescent="0.25">
      <c r="A33" s="3" t="s">
        <v>50</v>
      </c>
      <c r="B33" s="7">
        <v>1</v>
      </c>
    </row>
    <row r="34" spans="1:2" x14ac:dyDescent="0.25">
      <c r="A34" s="3" t="s">
        <v>71</v>
      </c>
      <c r="B34" s="7">
        <v>1</v>
      </c>
    </row>
    <row r="35" spans="1:2" x14ac:dyDescent="0.25">
      <c r="A35" s="3" t="s">
        <v>52</v>
      </c>
      <c r="B35" s="7">
        <v>1</v>
      </c>
    </row>
    <row r="36" spans="1:2" x14ac:dyDescent="0.25">
      <c r="A36" s="3" t="s">
        <v>75</v>
      </c>
      <c r="B36" s="7">
        <v>1</v>
      </c>
    </row>
    <row r="37" spans="1:2" x14ac:dyDescent="0.25">
      <c r="A37" s="3" t="s">
        <v>67</v>
      </c>
      <c r="B37" s="7">
        <v>1</v>
      </c>
    </row>
    <row r="38" spans="1:2" x14ac:dyDescent="0.25">
      <c r="A38" s="3" t="s">
        <v>69</v>
      </c>
      <c r="B38" s="7">
        <v>1</v>
      </c>
    </row>
    <row r="39" spans="1:2" x14ac:dyDescent="0.25">
      <c r="A39" s="3" t="s">
        <v>56</v>
      </c>
      <c r="B39" s="7">
        <v>1</v>
      </c>
    </row>
    <row r="40" spans="1:2" x14ac:dyDescent="0.25">
      <c r="A40" s="3" t="s">
        <v>82</v>
      </c>
      <c r="B40" s="7">
        <v>1</v>
      </c>
    </row>
    <row r="41" spans="1:2" x14ac:dyDescent="0.25">
      <c r="A41" s="3" t="s">
        <v>58</v>
      </c>
      <c r="B41" s="7">
        <v>1</v>
      </c>
    </row>
    <row r="42" spans="1:2" x14ac:dyDescent="0.25">
      <c r="A42" s="3" t="s">
        <v>51</v>
      </c>
      <c r="B42" s="7">
        <v>1</v>
      </c>
    </row>
    <row r="43" spans="1:2" x14ac:dyDescent="0.25">
      <c r="A43" s="3" t="s">
        <v>60</v>
      </c>
      <c r="B43" s="7">
        <v>1</v>
      </c>
    </row>
    <row r="44" spans="1:2" x14ac:dyDescent="0.25">
      <c r="A44" s="3" t="s">
        <v>73</v>
      </c>
      <c r="B44" s="7">
        <v>1</v>
      </c>
    </row>
    <row r="45" spans="1:2" x14ac:dyDescent="0.25">
      <c r="A45" s="3" t="s">
        <v>62</v>
      </c>
      <c r="B45" s="7">
        <v>1</v>
      </c>
    </row>
    <row r="46" spans="1:2" x14ac:dyDescent="0.25">
      <c r="A46" s="3" t="s">
        <v>77</v>
      </c>
      <c r="B46" s="7">
        <v>1</v>
      </c>
    </row>
    <row r="47" spans="1:2" x14ac:dyDescent="0.25">
      <c r="A47" s="3" t="s">
        <v>88</v>
      </c>
      <c r="B47" s="7">
        <v>1</v>
      </c>
    </row>
    <row r="48" spans="1:2" x14ac:dyDescent="0.25">
      <c r="A48" s="3" t="s">
        <v>81</v>
      </c>
      <c r="B48" s="7">
        <v>1</v>
      </c>
    </row>
    <row r="49" spans="1:2" x14ac:dyDescent="0.25">
      <c r="A49" s="3" t="s">
        <v>66</v>
      </c>
      <c r="B49" s="7">
        <v>1</v>
      </c>
    </row>
    <row r="50" spans="1:2" x14ac:dyDescent="0.25">
      <c r="A50" s="3" t="s">
        <v>45</v>
      </c>
      <c r="B50" s="7">
        <v>1</v>
      </c>
    </row>
    <row r="51" spans="1:2" x14ac:dyDescent="0.25">
      <c r="A51" s="3" t="s">
        <v>76</v>
      </c>
      <c r="B51" s="7">
        <v>1</v>
      </c>
    </row>
    <row r="52" spans="1:2" x14ac:dyDescent="0.25">
      <c r="A52" s="3" t="s">
        <v>154</v>
      </c>
      <c r="B52" s="7">
        <v>1</v>
      </c>
    </row>
    <row r="53" spans="1:2" x14ac:dyDescent="0.25">
      <c r="A53" s="3" t="s">
        <v>54</v>
      </c>
      <c r="B53" s="7">
        <v>1</v>
      </c>
    </row>
    <row r="54" spans="1:2" x14ac:dyDescent="0.25">
      <c r="A54" s="3" t="s">
        <v>93</v>
      </c>
      <c r="B54" s="7">
        <v>1</v>
      </c>
    </row>
    <row r="55" spans="1:2" x14ac:dyDescent="0.25">
      <c r="A55" s="3" t="s">
        <v>158</v>
      </c>
      <c r="B55" s="7">
        <v>1</v>
      </c>
    </row>
    <row r="56" spans="1:2" x14ac:dyDescent="0.25">
      <c r="A56" s="3" t="s">
        <v>55</v>
      </c>
      <c r="B56" s="7">
        <v>1</v>
      </c>
    </row>
    <row r="57" spans="1:2" x14ac:dyDescent="0.25">
      <c r="A57" s="3" t="s">
        <v>72</v>
      </c>
      <c r="B57" s="7">
        <v>1</v>
      </c>
    </row>
    <row r="58" spans="1:2" x14ac:dyDescent="0.25">
      <c r="A58" s="3" t="s">
        <v>53</v>
      </c>
      <c r="B58" s="7">
        <v>1</v>
      </c>
    </row>
    <row r="59" spans="1:2" x14ac:dyDescent="0.25">
      <c r="A59" s="3" t="s">
        <v>74</v>
      </c>
      <c r="B59" s="7">
        <v>1</v>
      </c>
    </row>
    <row r="60" spans="1:2" x14ac:dyDescent="0.25">
      <c r="A60" s="3" t="s">
        <v>83</v>
      </c>
      <c r="B60" s="7">
        <v>1</v>
      </c>
    </row>
    <row r="61" spans="1:2" x14ac:dyDescent="0.25">
      <c r="A61" s="3" t="s">
        <v>78</v>
      </c>
      <c r="B61" s="7">
        <v>1</v>
      </c>
    </row>
    <row r="62" spans="1:2" x14ac:dyDescent="0.25">
      <c r="A62" s="3" t="s">
        <v>41</v>
      </c>
      <c r="B62" s="7">
        <v>1</v>
      </c>
    </row>
    <row r="63" spans="1:2" x14ac:dyDescent="0.25">
      <c r="A63" s="3" t="s">
        <v>80</v>
      </c>
      <c r="B63" s="7">
        <v>1</v>
      </c>
    </row>
    <row r="64" spans="1:2" x14ac:dyDescent="0.25">
      <c r="A64" s="3" t="s">
        <v>46</v>
      </c>
      <c r="B64" s="7">
        <v>1</v>
      </c>
    </row>
    <row r="65" spans="1:2" x14ac:dyDescent="0.25">
      <c r="A65" s="3" t="s">
        <v>156</v>
      </c>
      <c r="B65" s="7">
        <v>1</v>
      </c>
    </row>
    <row r="66" spans="1:2" x14ac:dyDescent="0.25">
      <c r="A66" s="3" t="s">
        <v>57</v>
      </c>
      <c r="B66" s="7">
        <v>1</v>
      </c>
    </row>
    <row r="67" spans="1:2" x14ac:dyDescent="0.25">
      <c r="A67" s="3" t="s">
        <v>157</v>
      </c>
      <c r="B67" s="7">
        <v>1</v>
      </c>
    </row>
    <row r="68" spans="1:2" x14ac:dyDescent="0.25">
      <c r="A68" s="3" t="s">
        <v>39</v>
      </c>
      <c r="B68" s="7">
        <v>1</v>
      </c>
    </row>
    <row r="69" spans="1:2" x14ac:dyDescent="0.25">
      <c r="A69" s="3" t="s">
        <v>48</v>
      </c>
      <c r="B69" s="7">
        <v>1</v>
      </c>
    </row>
    <row r="70" spans="1:2" x14ac:dyDescent="0.25">
      <c r="A70" s="3" t="s">
        <v>59</v>
      </c>
      <c r="B70" s="7">
        <v>1</v>
      </c>
    </row>
    <row r="71" spans="1:2" x14ac:dyDescent="0.25">
      <c r="A71" s="3" t="s">
        <v>61</v>
      </c>
      <c r="B71" s="7">
        <v>1</v>
      </c>
    </row>
    <row r="72" spans="1:2" x14ac:dyDescent="0.25">
      <c r="A72" s="3" t="s">
        <v>43</v>
      </c>
      <c r="B72" s="7">
        <v>1</v>
      </c>
    </row>
    <row r="73" spans="1:2" x14ac:dyDescent="0.25">
      <c r="A73" s="3" t="s">
        <v>42</v>
      </c>
      <c r="B73" s="7">
        <v>1</v>
      </c>
    </row>
    <row r="74" spans="1:2" x14ac:dyDescent="0.25">
      <c r="A74" s="3" t="s">
        <v>64</v>
      </c>
      <c r="B74" s="7">
        <v>1</v>
      </c>
    </row>
    <row r="75" spans="1:2" x14ac:dyDescent="0.25">
      <c r="A75" s="3" t="s">
        <v>63</v>
      </c>
      <c r="B75" s="7">
        <v>1</v>
      </c>
    </row>
    <row r="76" spans="1:2" x14ac:dyDescent="0.25">
      <c r="A76" s="3" t="s">
        <v>153</v>
      </c>
      <c r="B76" s="7">
        <v>1</v>
      </c>
    </row>
    <row r="77" spans="1:2" x14ac:dyDescent="0.25">
      <c r="A77" s="3" t="s">
        <v>65</v>
      </c>
      <c r="B77" s="7">
        <v>1</v>
      </c>
    </row>
    <row r="78" spans="1:2" x14ac:dyDescent="0.25">
      <c r="A78" s="3" t="s">
        <v>155</v>
      </c>
      <c r="B78" s="7">
        <v>1</v>
      </c>
    </row>
    <row r="79" spans="1:2" x14ac:dyDescent="0.25">
      <c r="A79" s="3" t="s">
        <v>44</v>
      </c>
      <c r="B79" s="7">
        <v>1</v>
      </c>
    </row>
    <row r="80" spans="1:2" x14ac:dyDescent="0.25">
      <c r="A80" s="3" t="s">
        <v>70</v>
      </c>
      <c r="B80" s="7">
        <v>1</v>
      </c>
    </row>
    <row r="81" spans="1:2" x14ac:dyDescent="0.25">
      <c r="A81" s="3" t="s">
        <v>47</v>
      </c>
      <c r="B81" s="7">
        <v>1</v>
      </c>
    </row>
    <row r="82" spans="1:2" x14ac:dyDescent="0.25">
      <c r="A82" s="3" t="s">
        <v>84</v>
      </c>
      <c r="B82" s="7">
        <v>1</v>
      </c>
    </row>
    <row r="83" spans="1:2" x14ac:dyDescent="0.25">
      <c r="A83" s="3" t="s">
        <v>87</v>
      </c>
      <c r="B83" s="7">
        <v>1</v>
      </c>
    </row>
    <row r="84" spans="1:2" x14ac:dyDescent="0.25">
      <c r="A84" s="3" t="s">
        <v>89</v>
      </c>
      <c r="B84" s="7">
        <v>179</v>
      </c>
    </row>
  </sheetData>
  <sheetProtection sheet="1" scenarios="1" pivotTables="0"/>
  <mergeCells count="1">
    <mergeCell ref="P1:Q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EA94-A8ED-408A-9BB8-CB1C6F9C422C}">
  <sheetPr codeName="Sheet4"/>
  <dimension ref="A1:G33"/>
  <sheetViews>
    <sheetView workbookViewId="0">
      <selection activeCell="F2" sqref="F2"/>
    </sheetView>
  </sheetViews>
  <sheetFormatPr defaultRowHeight="15" x14ac:dyDescent="0.25"/>
  <cols>
    <col min="1" max="1" width="30.7109375" bestFit="1" customWidth="1"/>
    <col min="2" max="2" width="7" bestFit="1" customWidth="1"/>
    <col min="4" max="4" width="9.42578125" bestFit="1" customWidth="1"/>
    <col min="5" max="5" width="12" bestFit="1" customWidth="1"/>
    <col min="6" max="6" width="10.140625" bestFit="1" customWidth="1"/>
    <col min="7" max="7" width="27.42578125" bestFit="1" customWidth="1"/>
  </cols>
  <sheetData>
    <row r="1" spans="1:7" ht="18.75" x14ac:dyDescent="0.3">
      <c r="A1" s="11" t="s">
        <v>94</v>
      </c>
      <c r="B1" s="11" t="s">
        <v>95</v>
      </c>
      <c r="D1" s="2" t="s">
        <v>119</v>
      </c>
      <c r="E1" s="2" t="s">
        <v>120</v>
      </c>
      <c r="F1" s="2" t="s">
        <v>121</v>
      </c>
      <c r="G1" s="2" t="s">
        <v>122</v>
      </c>
    </row>
    <row r="2" spans="1:7" x14ac:dyDescent="0.25">
      <c r="A2" t="s">
        <v>124</v>
      </c>
      <c r="B2">
        <v>9510</v>
      </c>
      <c r="D2" s="9">
        <v>8</v>
      </c>
      <c r="E2" s="9">
        <v>7</v>
      </c>
      <c r="F2" s="9">
        <v>1</v>
      </c>
      <c r="G2" t="str">
        <f>VLOOKUP(D2,'Pivot Table'!$G$2:$H$21,2,FALSE) &amp; " " &amp; VLOOKUP(E2,'Pivot Table'!$G$2:$H$21,2,FALSE) &amp; " " &amp; VLOOKUP(F2,'Pivot Table'!$G$2:$H$21,2,FALSE)</f>
        <v>Entry Fraud Analyst</v>
      </c>
    </row>
    <row r="3" spans="1:7" x14ac:dyDescent="0.25">
      <c r="A3" t="s">
        <v>125</v>
      </c>
      <c r="B3">
        <v>523</v>
      </c>
    </row>
    <row r="4" spans="1:7" x14ac:dyDescent="0.25">
      <c r="A4" t="s">
        <v>126</v>
      </c>
      <c r="B4">
        <v>219</v>
      </c>
    </row>
    <row r="5" spans="1:7" x14ac:dyDescent="0.25">
      <c r="A5" t="s">
        <v>127</v>
      </c>
      <c r="B5">
        <v>111210</v>
      </c>
    </row>
    <row r="6" spans="1:7" x14ac:dyDescent="0.25">
      <c r="A6" t="s">
        <v>128</v>
      </c>
      <c r="B6">
        <v>10124</v>
      </c>
    </row>
    <row r="7" spans="1:7" x14ac:dyDescent="0.25">
      <c r="A7" t="s">
        <v>129</v>
      </c>
      <c r="B7">
        <v>1610</v>
      </c>
    </row>
    <row r="8" spans="1:7" x14ac:dyDescent="0.25">
      <c r="A8" t="s">
        <v>130</v>
      </c>
      <c r="B8">
        <v>4710</v>
      </c>
    </row>
    <row r="9" spans="1:7" x14ac:dyDescent="0.25">
      <c r="A9" t="s">
        <v>131</v>
      </c>
      <c r="B9">
        <v>192</v>
      </c>
    </row>
    <row r="10" spans="1:7" x14ac:dyDescent="0.25">
      <c r="A10" t="s">
        <v>132</v>
      </c>
      <c r="B10">
        <v>457</v>
      </c>
    </row>
    <row r="11" spans="1:7" x14ac:dyDescent="0.25">
      <c r="A11" t="s">
        <v>133</v>
      </c>
      <c r="B11">
        <v>623</v>
      </c>
    </row>
    <row r="12" spans="1:7" x14ac:dyDescent="0.25">
      <c r="A12" t="s">
        <v>134</v>
      </c>
      <c r="B12">
        <v>892</v>
      </c>
    </row>
    <row r="13" spans="1:7" x14ac:dyDescent="0.25">
      <c r="A13" t="s">
        <v>96</v>
      </c>
      <c r="B13">
        <v>7114</v>
      </c>
    </row>
    <row r="14" spans="1:7" x14ac:dyDescent="0.25">
      <c r="A14" t="s">
        <v>135</v>
      </c>
      <c r="B14">
        <v>956</v>
      </c>
    </row>
    <row r="15" spans="1:7" x14ac:dyDescent="0.25">
      <c r="A15" t="s">
        <v>136</v>
      </c>
      <c r="B15">
        <v>9411</v>
      </c>
    </row>
    <row r="16" spans="1:7" x14ac:dyDescent="0.25">
      <c r="A16" t="s">
        <v>137</v>
      </c>
      <c r="B16">
        <v>297</v>
      </c>
    </row>
    <row r="17" spans="1:2" x14ac:dyDescent="0.25">
      <c r="A17" t="s">
        <v>138</v>
      </c>
      <c r="B17">
        <v>7123</v>
      </c>
    </row>
    <row r="18" spans="1:2" x14ac:dyDescent="0.25">
      <c r="A18" t="s">
        <v>139</v>
      </c>
      <c r="B18">
        <v>783</v>
      </c>
    </row>
    <row r="19" spans="1:2" x14ac:dyDescent="0.25">
      <c r="A19" t="s">
        <v>140</v>
      </c>
      <c r="B19">
        <v>10113</v>
      </c>
    </row>
    <row r="20" spans="1:2" x14ac:dyDescent="0.25">
      <c r="A20" t="s">
        <v>141</v>
      </c>
      <c r="B20">
        <v>7910</v>
      </c>
    </row>
    <row r="21" spans="1:2" x14ac:dyDescent="0.25">
      <c r="A21" t="s">
        <v>142</v>
      </c>
      <c r="B21">
        <v>8101</v>
      </c>
    </row>
    <row r="22" spans="1:2" x14ac:dyDescent="0.25">
      <c r="A22" t="s">
        <v>143</v>
      </c>
      <c r="B22">
        <v>1075</v>
      </c>
    </row>
    <row r="23" spans="1:2" x14ac:dyDescent="0.25">
      <c r="A23" t="s">
        <v>144</v>
      </c>
      <c r="B23">
        <v>11103</v>
      </c>
    </row>
    <row r="24" spans="1:2" x14ac:dyDescent="0.25">
      <c r="A24" t="s">
        <v>145</v>
      </c>
      <c r="B24">
        <v>825</v>
      </c>
    </row>
    <row r="25" spans="1:2" x14ac:dyDescent="0.25">
      <c r="A25" t="s">
        <v>146</v>
      </c>
      <c r="B25">
        <v>946</v>
      </c>
    </row>
    <row r="26" spans="1:2" x14ac:dyDescent="0.25">
      <c r="A26" t="s">
        <v>147</v>
      </c>
      <c r="B26">
        <v>6113</v>
      </c>
    </row>
    <row r="27" spans="1:2" x14ac:dyDescent="0.25">
      <c r="A27" t="s">
        <v>148</v>
      </c>
      <c r="B27">
        <v>11312</v>
      </c>
    </row>
    <row r="28" spans="1:2" x14ac:dyDescent="0.25">
      <c r="A28" t="s">
        <v>149</v>
      </c>
      <c r="B28">
        <v>21112</v>
      </c>
    </row>
    <row r="29" spans="1:2" x14ac:dyDescent="0.25">
      <c r="A29" t="s">
        <v>150</v>
      </c>
      <c r="B29">
        <v>2107</v>
      </c>
    </row>
    <row r="30" spans="1:2" x14ac:dyDescent="0.25">
      <c r="A30" t="s">
        <v>151</v>
      </c>
      <c r="B30">
        <v>1274</v>
      </c>
    </row>
    <row r="31" spans="1:2" x14ac:dyDescent="0.25">
      <c r="A31" t="s">
        <v>97</v>
      </c>
      <c r="B31">
        <v>684</v>
      </c>
    </row>
    <row r="33" spans="1:2" x14ac:dyDescent="0.25">
      <c r="A33" t="s">
        <v>98</v>
      </c>
      <c r="B33">
        <v>30</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B4BE-BFD1-44D6-82A4-4F66A51B2296}">
  <sheetPr codeName="Sheet7"/>
  <dimension ref="A1:GJ180"/>
  <sheetViews>
    <sheetView topLeftCell="A151" workbookViewId="0">
      <selection activeCell="A181" sqref="A181"/>
    </sheetView>
  </sheetViews>
  <sheetFormatPr defaultRowHeight="15" x14ac:dyDescent="0.25"/>
  <cols>
    <col min="1" max="1" width="14.7109375" bestFit="1" customWidth="1"/>
    <col min="2" max="2" width="6" bestFit="1" customWidth="1"/>
    <col min="5" max="5" width="11.7109375" bestFit="1" customWidth="1"/>
    <col min="6" max="6" width="4.5703125" bestFit="1" customWidth="1"/>
    <col min="7" max="7" width="9.42578125" bestFit="1" customWidth="1"/>
    <col min="8" max="8" width="8.85546875" bestFit="1" customWidth="1"/>
    <col min="9" max="9" width="7.5703125" bestFit="1" customWidth="1"/>
    <col min="10" max="10" width="9.5703125" bestFit="1" customWidth="1"/>
    <col min="11" max="11" width="7.5703125" bestFit="1" customWidth="1"/>
    <col min="12" max="12" width="8.85546875" bestFit="1" customWidth="1"/>
    <col min="13" max="13" width="7.5703125" bestFit="1" customWidth="1"/>
    <col min="14" max="14" width="8.85546875" bestFit="1" customWidth="1"/>
    <col min="15" max="15" width="9.42578125" bestFit="1" customWidth="1"/>
    <col min="16" max="16" width="9" bestFit="1" customWidth="1"/>
    <col min="17" max="17" width="5" bestFit="1" customWidth="1"/>
    <col min="18" max="18" width="7.5703125" bestFit="1" customWidth="1"/>
    <col min="19" max="19" width="11.5703125" bestFit="1" customWidth="1"/>
    <col min="20" max="20" width="11.85546875" bestFit="1" customWidth="1"/>
    <col min="21" max="21" width="10.140625" bestFit="1" customWidth="1"/>
    <col min="22" max="22" width="8.28515625" bestFit="1" customWidth="1"/>
    <col min="23" max="23" width="9.42578125" bestFit="1" customWidth="1"/>
    <col min="24" max="24" width="5.5703125" bestFit="1" customWidth="1"/>
    <col min="25" max="25" width="5.7109375" bestFit="1" customWidth="1"/>
    <col min="26" max="26" width="5" bestFit="1" customWidth="1"/>
    <col min="27" max="27" width="7.5703125" bestFit="1" customWidth="1"/>
    <col min="28" max="28" width="5" bestFit="1" customWidth="1"/>
    <col min="29" max="29" width="7.5703125" bestFit="1" customWidth="1"/>
    <col min="30" max="30" width="11.140625" bestFit="1" customWidth="1"/>
    <col min="32" max="32" width="5" bestFit="1" customWidth="1"/>
    <col min="33" max="33" width="7.5703125" bestFit="1" customWidth="1"/>
    <col min="34" max="34" width="8.85546875" bestFit="1" customWidth="1"/>
    <col min="35" max="35" width="5" bestFit="1" customWidth="1"/>
    <col min="36" max="36" width="7.5703125" bestFit="1" customWidth="1"/>
    <col min="37" max="37" width="9.5703125" bestFit="1" customWidth="1"/>
    <col min="38" max="38" width="12.7109375" bestFit="1" customWidth="1"/>
    <col min="39" max="39" width="7.85546875" bestFit="1" customWidth="1"/>
    <col min="40" max="40" width="9.42578125" bestFit="1" customWidth="1"/>
    <col min="41" max="41" width="8.85546875" bestFit="1" customWidth="1"/>
    <col min="42" max="42" width="7.5703125" bestFit="1" customWidth="1"/>
    <col min="43" max="43" width="2.140625" bestFit="1" customWidth="1"/>
    <col min="44" max="44" width="8.85546875" bestFit="1" customWidth="1"/>
    <col min="45" max="45" width="6.85546875" bestFit="1" customWidth="1"/>
    <col min="46" max="46" width="9" bestFit="1" customWidth="1"/>
    <col min="47" max="47" width="9.42578125" bestFit="1" customWidth="1"/>
    <col min="48" max="48" width="7.5703125" bestFit="1" customWidth="1"/>
    <col min="49" max="49" width="1.5703125" bestFit="1" customWidth="1"/>
    <col min="50" max="50" width="9" bestFit="1" customWidth="1"/>
    <col min="51" max="51" width="7.5703125" bestFit="1" customWidth="1"/>
    <col min="52" max="52" width="5" bestFit="1" customWidth="1"/>
    <col min="53" max="54" width="5.5703125" bestFit="1" customWidth="1"/>
    <col min="55" max="55" width="4.7109375" bestFit="1" customWidth="1"/>
    <col min="56" max="56" width="7.140625" bestFit="1" customWidth="1"/>
    <col min="57" max="57" width="10.85546875" bestFit="1" customWidth="1"/>
    <col min="58" max="58" width="9.42578125" bestFit="1" customWidth="1"/>
    <col min="59" max="59" width="6.42578125" bestFit="1" customWidth="1"/>
    <col min="60" max="60" width="2.7109375" bestFit="1" customWidth="1"/>
    <col min="61" max="61" width="5" bestFit="1" customWidth="1"/>
    <col min="62" max="62" width="7.5703125" bestFit="1" customWidth="1"/>
    <col min="63" max="63" width="16" bestFit="1" customWidth="1"/>
    <col min="64" max="64" width="9.42578125" bestFit="1" customWidth="1"/>
    <col min="65" max="65" width="6" bestFit="1" customWidth="1"/>
    <col min="66" max="66" width="7.5703125" bestFit="1" customWidth="1"/>
    <col min="67" max="67" width="2.140625" bestFit="1" customWidth="1"/>
    <col min="68" max="68" width="11.85546875" bestFit="1" customWidth="1"/>
    <col min="69" max="69" width="7.7109375" bestFit="1" customWidth="1"/>
    <col min="70" max="70" width="7.42578125" bestFit="1" customWidth="1"/>
    <col min="71" max="71" width="5" bestFit="1" customWidth="1"/>
    <col min="72" max="72" width="7.5703125" bestFit="1" customWidth="1"/>
    <col min="73" max="73" width="1.5703125" bestFit="1" customWidth="1"/>
    <col min="74" max="74" width="6.28515625" bestFit="1" customWidth="1"/>
    <col min="75" max="75" width="4.28515625" bestFit="1" customWidth="1"/>
    <col min="76" max="76" width="7.28515625" bestFit="1" customWidth="1"/>
    <col min="77" max="77" width="12.7109375" bestFit="1" customWidth="1"/>
    <col min="78" max="78" width="11.5703125" bestFit="1" customWidth="1"/>
    <col min="79" max="79" width="8.7109375" bestFit="1" customWidth="1"/>
    <col min="80" max="80" width="7.5703125" bestFit="1" customWidth="1"/>
    <col min="81" max="81" width="1.5703125" bestFit="1" customWidth="1"/>
    <col min="82" max="82" width="8.85546875" bestFit="1" customWidth="1"/>
    <col min="83" max="83" width="7.5703125" bestFit="1" customWidth="1"/>
    <col min="84" max="84" width="5.5703125" bestFit="1" customWidth="1"/>
    <col min="85" max="85" width="6.7109375" bestFit="1" customWidth="1"/>
    <col min="86" max="86" width="12.7109375" bestFit="1" customWidth="1"/>
    <col min="87" max="87" width="6.42578125" bestFit="1" customWidth="1"/>
    <col min="88" max="88" width="5.5703125" bestFit="1" customWidth="1"/>
    <col min="89" max="89" width="14.7109375" bestFit="1" customWidth="1"/>
    <col min="90" max="90" width="5" bestFit="1" customWidth="1"/>
    <col min="91" max="92" width="5.5703125" bestFit="1" customWidth="1"/>
    <col min="93" max="93" width="5" bestFit="1" customWidth="1"/>
    <col min="94" max="94" width="7.5703125" bestFit="1" customWidth="1"/>
    <col min="95" max="95" width="5" bestFit="1" customWidth="1"/>
    <col min="96" max="96" width="11.5703125" bestFit="1" customWidth="1"/>
    <col min="97" max="97" width="6.85546875" bestFit="1" customWidth="1"/>
    <col min="98" max="98" width="5" bestFit="1" customWidth="1"/>
    <col min="99" max="99" width="5.5703125" bestFit="1" customWidth="1"/>
    <col min="100" max="100" width="9.42578125" bestFit="1" customWidth="1"/>
    <col min="101" max="101" width="8.5703125" bestFit="1" customWidth="1"/>
    <col min="102" max="102" width="7.7109375" bestFit="1" customWidth="1"/>
    <col min="103" max="103" width="7.5703125" bestFit="1" customWidth="1"/>
    <col min="104" max="104" width="1.5703125" bestFit="1" customWidth="1"/>
    <col min="105" max="105" width="8.7109375" bestFit="1" customWidth="1"/>
    <col min="106" max="106" width="7.5703125" bestFit="1" customWidth="1"/>
    <col min="107" max="107" width="3.28515625" bestFit="1" customWidth="1"/>
    <col min="108" max="108" width="6" bestFit="1" customWidth="1"/>
    <col min="109" max="109" width="7.5703125" bestFit="1" customWidth="1"/>
    <col min="110" max="110" width="7.28515625" bestFit="1" customWidth="1"/>
    <col min="111" max="111" width="11.5703125" bestFit="1" customWidth="1"/>
    <col min="112" max="112" width="3" bestFit="1" customWidth="1"/>
    <col min="113" max="113" width="9.5703125" bestFit="1" customWidth="1"/>
    <col min="114" max="114" width="7.85546875" bestFit="1" customWidth="1"/>
    <col min="115" max="115" width="7.5703125" bestFit="1" customWidth="1"/>
    <col min="116" max="116" width="6.7109375" bestFit="1" customWidth="1"/>
    <col min="117" max="117" width="8.85546875" bestFit="1" customWidth="1"/>
    <col min="118" max="118" width="2.7109375" bestFit="1" customWidth="1"/>
    <col min="119" max="119" width="7.5703125" bestFit="1" customWidth="1"/>
    <col min="120" max="120" width="2.7109375" bestFit="1" customWidth="1"/>
    <col min="121" max="121" width="11.140625" bestFit="1" customWidth="1"/>
    <col min="122" max="122" width="5.28515625" bestFit="1" customWidth="1"/>
    <col min="123" max="123" width="7.7109375" bestFit="1" customWidth="1"/>
    <col min="124" max="124" width="7" bestFit="1" customWidth="1"/>
    <col min="125" max="125" width="9.7109375" bestFit="1" customWidth="1"/>
    <col min="126" max="126" width="7.5703125" bestFit="1" customWidth="1"/>
    <col min="127" max="127" width="7" bestFit="1" customWidth="1"/>
    <col min="128" max="128" width="7.7109375" bestFit="1" customWidth="1"/>
    <col min="129" max="129" width="12.28515625" bestFit="1" customWidth="1"/>
    <col min="130" max="130" width="6.28515625" bestFit="1" customWidth="1"/>
    <col min="131" max="131" width="6" bestFit="1" customWidth="1"/>
    <col min="132" max="132" width="7.5703125" bestFit="1" customWidth="1"/>
    <col min="133" max="133" width="5.5703125" bestFit="1" customWidth="1"/>
    <col min="134" max="134" width="5.7109375" bestFit="1" customWidth="1"/>
    <col min="135" max="135" width="9" bestFit="1" customWidth="1"/>
    <col min="136" max="136" width="8.85546875" bestFit="1" customWidth="1"/>
    <col min="137" max="137" width="6.7109375" bestFit="1" customWidth="1"/>
    <col min="138" max="138" width="10" bestFit="1" customWidth="1"/>
    <col min="139" max="139" width="5.85546875" bestFit="1" customWidth="1"/>
    <col min="140" max="140" width="8.7109375" bestFit="1" customWidth="1"/>
    <col min="141" max="141" width="12.7109375" bestFit="1" customWidth="1"/>
    <col min="142" max="142" width="5.42578125" bestFit="1" customWidth="1"/>
    <col min="143" max="143" width="9" bestFit="1" customWidth="1"/>
    <col min="144" max="144" width="7.5703125" bestFit="1" customWidth="1"/>
    <col min="145" max="145" width="2.5703125" bestFit="1" customWidth="1"/>
    <col min="146" max="146" width="4.7109375" bestFit="1" customWidth="1"/>
    <col min="147" max="147" width="7.5703125" bestFit="1" customWidth="1"/>
    <col min="148" max="148" width="5" bestFit="1" customWidth="1"/>
    <col min="149" max="149" width="7.5703125" bestFit="1" customWidth="1"/>
    <col min="150" max="150" width="6" bestFit="1" customWidth="1"/>
    <col min="151" max="151" width="7.5703125" bestFit="1" customWidth="1"/>
    <col min="152" max="152" width="3.28515625" bestFit="1" customWidth="1"/>
    <col min="153" max="153" width="5.85546875" bestFit="1" customWidth="1"/>
    <col min="154" max="154" width="7.5703125" bestFit="1" customWidth="1"/>
    <col min="155" max="155" width="6.28515625" bestFit="1" customWidth="1"/>
    <col min="156" max="156" width="9.7109375" bestFit="1" customWidth="1"/>
    <col min="157" max="157" width="7.5703125" bestFit="1" customWidth="1"/>
    <col min="158" max="158" width="9" bestFit="1" customWidth="1"/>
    <col min="159" max="159" width="8" bestFit="1" customWidth="1"/>
    <col min="160" max="160" width="7.5703125" bestFit="1" customWidth="1"/>
    <col min="161" max="161" width="12.28515625" bestFit="1" customWidth="1"/>
    <col min="162" max="162" width="7.7109375" bestFit="1" customWidth="1"/>
    <col min="163" max="163" width="6.7109375" bestFit="1" customWidth="1"/>
    <col min="164" max="164" width="5" bestFit="1" customWidth="1"/>
    <col min="165" max="165" width="7.5703125" bestFit="1" customWidth="1"/>
    <col min="166" max="166" width="1.7109375" bestFit="1" customWidth="1"/>
    <col min="167" max="167" width="5" bestFit="1" customWidth="1"/>
    <col min="168" max="168" width="9" bestFit="1" customWidth="1"/>
    <col min="169" max="169" width="8.7109375" bestFit="1" customWidth="1"/>
    <col min="170" max="170" width="11.5703125" bestFit="1" customWidth="1"/>
    <col min="171" max="171" width="7.5703125" bestFit="1" customWidth="1"/>
    <col min="172" max="172" width="11.85546875" bestFit="1" customWidth="1"/>
    <col min="173" max="173" width="2.42578125" bestFit="1" customWidth="1"/>
    <col min="174" max="174" width="4.5703125" bestFit="1" customWidth="1"/>
    <col min="175" max="175" width="12.7109375" bestFit="1" customWidth="1"/>
    <col min="176" max="176" width="8.5703125" bestFit="1" customWidth="1"/>
    <col min="177" max="177" width="7.5703125" bestFit="1" customWidth="1"/>
    <col min="178" max="178" width="1.7109375" bestFit="1" customWidth="1"/>
    <col min="179" max="179" width="5.140625" bestFit="1" customWidth="1"/>
    <col min="180" max="180" width="12.7109375" bestFit="1" customWidth="1"/>
    <col min="181" max="181" width="5" bestFit="1" customWidth="1"/>
    <col min="182" max="182" width="7.5703125" bestFit="1" customWidth="1"/>
    <col min="183" max="183" width="1.7109375" bestFit="1" customWidth="1"/>
    <col min="184" max="184" width="10" bestFit="1" customWidth="1"/>
    <col min="185" max="185" width="9" bestFit="1" customWidth="1"/>
    <col min="186" max="186" width="8.28515625" bestFit="1" customWidth="1"/>
    <col min="187" max="187" width="11.5703125" bestFit="1" customWidth="1"/>
    <col min="188" max="188" width="7.5703125" bestFit="1" customWidth="1"/>
    <col min="189" max="189" width="8.7109375" bestFit="1" customWidth="1"/>
    <col min="190" max="190" width="11.5703125" bestFit="1" customWidth="1"/>
    <col min="191" max="191" width="7.5703125" bestFit="1" customWidth="1"/>
    <col min="192" max="192" width="1.5703125" bestFit="1" customWidth="1"/>
  </cols>
  <sheetData>
    <row r="1" spans="1:192" x14ac:dyDescent="0.25">
      <c r="A1" s="2" t="s">
        <v>90</v>
      </c>
      <c r="B1" s="2" t="s">
        <v>91</v>
      </c>
      <c r="E1" t="s">
        <v>47</v>
      </c>
      <c r="F1" t="s">
        <v>40</v>
      </c>
      <c r="G1" t="s">
        <v>15</v>
      </c>
      <c r="H1" t="s">
        <v>20</v>
      </c>
      <c r="I1" t="s">
        <v>5</v>
      </c>
      <c r="J1" t="s">
        <v>24</v>
      </c>
      <c r="K1" t="s">
        <v>5</v>
      </c>
      <c r="L1" t="s">
        <v>20</v>
      </c>
      <c r="M1" t="s">
        <v>5</v>
      </c>
      <c r="N1" t="s">
        <v>20</v>
      </c>
      <c r="O1" t="s">
        <v>15</v>
      </c>
      <c r="P1" t="s">
        <v>23</v>
      </c>
      <c r="Q1" t="s">
        <v>8</v>
      </c>
      <c r="R1" t="s">
        <v>5</v>
      </c>
      <c r="S1" t="s">
        <v>28</v>
      </c>
      <c r="T1" t="s">
        <v>37</v>
      </c>
      <c r="U1" t="s">
        <v>43</v>
      </c>
      <c r="V1" t="s">
        <v>46</v>
      </c>
      <c r="W1" t="s">
        <v>11</v>
      </c>
      <c r="X1" t="s">
        <v>10</v>
      </c>
      <c r="Y1" t="s">
        <v>36</v>
      </c>
      <c r="Z1" t="s">
        <v>8</v>
      </c>
      <c r="AA1" t="s">
        <v>5</v>
      </c>
      <c r="AB1" t="s">
        <v>8</v>
      </c>
      <c r="AC1" t="s">
        <v>5</v>
      </c>
      <c r="AD1" t="s">
        <v>99</v>
      </c>
      <c r="AE1" t="s">
        <v>92</v>
      </c>
      <c r="AF1" t="s">
        <v>8</v>
      </c>
      <c r="AG1" t="s">
        <v>5</v>
      </c>
      <c r="AH1" t="s">
        <v>32</v>
      </c>
      <c r="AI1" t="s">
        <v>8</v>
      </c>
      <c r="AJ1" t="s">
        <v>5</v>
      </c>
      <c r="AK1" t="s">
        <v>24</v>
      </c>
      <c r="AL1" t="s">
        <v>35</v>
      </c>
      <c r="AM1" t="s">
        <v>31</v>
      </c>
      <c r="AN1" t="s">
        <v>11</v>
      </c>
      <c r="AO1" t="s">
        <v>20</v>
      </c>
      <c r="AP1" t="s">
        <v>5</v>
      </c>
      <c r="AQ1" t="s">
        <v>100</v>
      </c>
      <c r="AR1" t="s">
        <v>52</v>
      </c>
      <c r="AS1" t="s">
        <v>86</v>
      </c>
      <c r="AT1" t="s">
        <v>79</v>
      </c>
      <c r="AU1" t="s">
        <v>15</v>
      </c>
      <c r="AV1" t="s">
        <v>5</v>
      </c>
      <c r="AW1" t="s">
        <v>101</v>
      </c>
      <c r="AX1" t="s">
        <v>23</v>
      </c>
      <c r="AY1" t="s">
        <v>5</v>
      </c>
      <c r="AZ1" t="s">
        <v>8</v>
      </c>
      <c r="BA1" t="s">
        <v>10</v>
      </c>
      <c r="BB1" t="s">
        <v>29</v>
      </c>
      <c r="BC1" t="s">
        <v>58</v>
      </c>
      <c r="BD1" t="s">
        <v>48</v>
      </c>
      <c r="BE1" t="s">
        <v>74</v>
      </c>
      <c r="BF1" t="s">
        <v>11</v>
      </c>
      <c r="BG1" t="s">
        <v>72</v>
      </c>
      <c r="BH1" t="s">
        <v>25</v>
      </c>
      <c r="BI1" t="s">
        <v>8</v>
      </c>
      <c r="BJ1" t="s">
        <v>5</v>
      </c>
      <c r="BK1" t="s">
        <v>102</v>
      </c>
      <c r="BL1" t="s">
        <v>11</v>
      </c>
      <c r="BM1" t="s">
        <v>17</v>
      </c>
      <c r="BN1" t="s">
        <v>5</v>
      </c>
      <c r="BO1" t="s">
        <v>100</v>
      </c>
      <c r="BP1" t="s">
        <v>37</v>
      </c>
      <c r="BQ1" t="s">
        <v>59</v>
      </c>
      <c r="BR1" t="s">
        <v>68</v>
      </c>
      <c r="BS1" t="s">
        <v>8</v>
      </c>
      <c r="BT1" t="s">
        <v>5</v>
      </c>
      <c r="BU1" t="s">
        <v>101</v>
      </c>
      <c r="BV1" t="s">
        <v>42</v>
      </c>
      <c r="BW1" t="s">
        <v>103</v>
      </c>
      <c r="BX1" t="s">
        <v>27</v>
      </c>
      <c r="BY1" t="s">
        <v>22</v>
      </c>
      <c r="BZ1" t="s">
        <v>19</v>
      </c>
      <c r="CA1" t="s">
        <v>13</v>
      </c>
      <c r="CB1" t="s">
        <v>5</v>
      </c>
      <c r="CC1" t="s">
        <v>101</v>
      </c>
      <c r="CD1" t="s">
        <v>32</v>
      </c>
      <c r="CE1" t="s">
        <v>5</v>
      </c>
      <c r="CF1" t="s">
        <v>49</v>
      </c>
      <c r="CG1" t="s">
        <v>50</v>
      </c>
      <c r="CH1" t="s">
        <v>104</v>
      </c>
      <c r="CI1" t="s">
        <v>66</v>
      </c>
      <c r="CJ1" t="s">
        <v>73</v>
      </c>
      <c r="CK1" t="s">
        <v>53</v>
      </c>
      <c r="CL1" t="s">
        <v>8</v>
      </c>
      <c r="CM1" t="s">
        <v>10</v>
      </c>
      <c r="CN1" t="s">
        <v>29</v>
      </c>
      <c r="CO1" t="s">
        <v>8</v>
      </c>
      <c r="CP1" t="s">
        <v>5</v>
      </c>
      <c r="CQ1" t="s">
        <v>8</v>
      </c>
      <c r="CR1" t="s">
        <v>19</v>
      </c>
      <c r="CS1" t="s">
        <v>34</v>
      </c>
      <c r="CT1" t="s">
        <v>8</v>
      </c>
      <c r="CU1" t="s">
        <v>10</v>
      </c>
      <c r="CV1" t="s">
        <v>11</v>
      </c>
      <c r="CW1" t="s">
        <v>83</v>
      </c>
      <c r="CX1" t="s">
        <v>33</v>
      </c>
      <c r="CY1" t="s">
        <v>5</v>
      </c>
      <c r="CZ1" t="s">
        <v>101</v>
      </c>
      <c r="DA1" t="s">
        <v>13</v>
      </c>
      <c r="DB1" t="s">
        <v>5</v>
      </c>
      <c r="DC1" t="s">
        <v>105</v>
      </c>
      <c r="DD1" t="s">
        <v>17</v>
      </c>
      <c r="DE1" t="s">
        <v>5</v>
      </c>
      <c r="DF1" t="s">
        <v>27</v>
      </c>
      <c r="DG1" t="s">
        <v>19</v>
      </c>
      <c r="DH1" t="s">
        <v>106</v>
      </c>
      <c r="DI1" t="s">
        <v>24</v>
      </c>
      <c r="DJ1" t="s">
        <v>31</v>
      </c>
      <c r="DK1" t="s">
        <v>5</v>
      </c>
      <c r="DL1" t="s">
        <v>41</v>
      </c>
      <c r="DM1" t="s">
        <v>63</v>
      </c>
      <c r="DN1" t="s">
        <v>25</v>
      </c>
      <c r="DO1" t="s">
        <v>5</v>
      </c>
      <c r="DP1" t="s">
        <v>107</v>
      </c>
      <c r="DQ1" t="s">
        <v>81</v>
      </c>
      <c r="DR1" t="s">
        <v>61</v>
      </c>
      <c r="DS1" t="s">
        <v>44</v>
      </c>
      <c r="DT1" t="s">
        <v>54</v>
      </c>
      <c r="DU1" t="s">
        <v>26</v>
      </c>
      <c r="DV1" t="s">
        <v>5</v>
      </c>
      <c r="DW1" t="s">
        <v>38</v>
      </c>
      <c r="DX1" t="s">
        <v>76</v>
      </c>
      <c r="DY1" t="s">
        <v>108</v>
      </c>
      <c r="DZ1" t="s">
        <v>109</v>
      </c>
      <c r="EA1" t="s">
        <v>17</v>
      </c>
      <c r="EB1" t="s">
        <v>5</v>
      </c>
      <c r="EC1" t="s">
        <v>10</v>
      </c>
      <c r="ED1" t="s">
        <v>36</v>
      </c>
      <c r="EE1" t="s">
        <v>57</v>
      </c>
      <c r="EF1" t="s">
        <v>45</v>
      </c>
      <c r="EG1" t="s">
        <v>110</v>
      </c>
      <c r="EH1" t="s">
        <v>111</v>
      </c>
      <c r="EI1" t="s">
        <v>77</v>
      </c>
      <c r="EJ1" t="s">
        <v>13</v>
      </c>
      <c r="EK1" t="s">
        <v>35</v>
      </c>
      <c r="EL1" t="s">
        <v>80</v>
      </c>
      <c r="EM1" t="s">
        <v>23</v>
      </c>
      <c r="EN1" t="s">
        <v>5</v>
      </c>
      <c r="EO1" t="s">
        <v>87</v>
      </c>
      <c r="EP1" t="s">
        <v>64</v>
      </c>
      <c r="EQ1" t="s">
        <v>5</v>
      </c>
      <c r="ER1" t="s">
        <v>8</v>
      </c>
      <c r="ES1" t="s">
        <v>5</v>
      </c>
      <c r="ET1" t="s">
        <v>17</v>
      </c>
      <c r="EU1" t="s">
        <v>5</v>
      </c>
      <c r="EV1" t="s">
        <v>105</v>
      </c>
      <c r="EW1" t="s">
        <v>112</v>
      </c>
      <c r="EX1" t="s">
        <v>5</v>
      </c>
      <c r="EY1" t="s">
        <v>82</v>
      </c>
      <c r="EZ1" t="s">
        <v>26</v>
      </c>
      <c r="FA1" t="s">
        <v>5</v>
      </c>
      <c r="FB1" t="s">
        <v>113</v>
      </c>
      <c r="FC1" t="s">
        <v>84</v>
      </c>
      <c r="FD1" t="s">
        <v>114</v>
      </c>
      <c r="FE1" t="s">
        <v>115</v>
      </c>
      <c r="FF1" t="s">
        <v>33</v>
      </c>
      <c r="FG1" t="s">
        <v>75</v>
      </c>
      <c r="FH1" t="s">
        <v>8</v>
      </c>
      <c r="FI1" t="s">
        <v>5</v>
      </c>
      <c r="FJ1" t="s">
        <v>116</v>
      </c>
      <c r="FK1" t="s">
        <v>56</v>
      </c>
      <c r="FL1" t="s">
        <v>30</v>
      </c>
      <c r="FM1" t="s">
        <v>13</v>
      </c>
      <c r="FN1" t="s">
        <v>88</v>
      </c>
      <c r="FO1" t="s">
        <v>5</v>
      </c>
      <c r="FP1" t="s">
        <v>117</v>
      </c>
      <c r="FQ1" t="s">
        <v>118</v>
      </c>
      <c r="FR1" t="s">
        <v>62</v>
      </c>
      <c r="FS1" t="s">
        <v>22</v>
      </c>
      <c r="FT1" t="s">
        <v>69</v>
      </c>
      <c r="FU1" t="s">
        <v>5</v>
      </c>
      <c r="FV1" t="s">
        <v>116</v>
      </c>
      <c r="FW1" t="s">
        <v>51</v>
      </c>
      <c r="FX1" t="s">
        <v>22</v>
      </c>
      <c r="FY1" t="s">
        <v>8</v>
      </c>
      <c r="FZ1" t="s">
        <v>5</v>
      </c>
      <c r="GA1" t="s">
        <v>116</v>
      </c>
      <c r="GB1" t="s">
        <v>65</v>
      </c>
      <c r="GC1" t="s">
        <v>30</v>
      </c>
      <c r="GD1" t="s">
        <v>39</v>
      </c>
      <c r="GE1" t="s">
        <v>19</v>
      </c>
      <c r="GF1" t="s">
        <v>5</v>
      </c>
      <c r="GG1" t="s">
        <v>13</v>
      </c>
      <c r="GH1" t="s">
        <v>85</v>
      </c>
      <c r="GI1" t="s">
        <v>5</v>
      </c>
      <c r="GJ1" t="s">
        <v>101</v>
      </c>
    </row>
    <row r="2" spans="1:192" x14ac:dyDescent="0.25">
      <c r="A2" t="s">
        <v>47</v>
      </c>
      <c r="B2">
        <v>1</v>
      </c>
    </row>
    <row r="3" spans="1:192" x14ac:dyDescent="0.25">
      <c r="A3" t="s">
        <v>40</v>
      </c>
      <c r="B3">
        <v>1</v>
      </c>
    </row>
    <row r="4" spans="1:192" x14ac:dyDescent="0.25">
      <c r="A4" t="s">
        <v>15</v>
      </c>
      <c r="B4">
        <v>1</v>
      </c>
    </row>
    <row r="5" spans="1:192" x14ac:dyDescent="0.25">
      <c r="A5" t="s">
        <v>20</v>
      </c>
      <c r="B5">
        <v>1</v>
      </c>
    </row>
    <row r="6" spans="1:192" x14ac:dyDescent="0.25">
      <c r="A6" t="s">
        <v>5</v>
      </c>
      <c r="B6">
        <v>1</v>
      </c>
    </row>
    <row r="7" spans="1:192" x14ac:dyDescent="0.25">
      <c r="A7" t="s">
        <v>24</v>
      </c>
      <c r="B7">
        <v>1</v>
      </c>
    </row>
    <row r="8" spans="1:192" x14ac:dyDescent="0.25">
      <c r="A8" t="s">
        <v>5</v>
      </c>
      <c r="B8">
        <v>1</v>
      </c>
    </row>
    <row r="9" spans="1:192" x14ac:dyDescent="0.25">
      <c r="A9" t="s">
        <v>20</v>
      </c>
      <c r="B9">
        <v>1</v>
      </c>
    </row>
    <row r="10" spans="1:192" x14ac:dyDescent="0.25">
      <c r="A10" t="s">
        <v>5</v>
      </c>
      <c r="B10">
        <v>1</v>
      </c>
    </row>
    <row r="11" spans="1:192" x14ac:dyDescent="0.25">
      <c r="A11" t="s">
        <v>20</v>
      </c>
      <c r="B11">
        <v>1</v>
      </c>
    </row>
    <row r="12" spans="1:192" x14ac:dyDescent="0.25">
      <c r="A12" t="s">
        <v>15</v>
      </c>
      <c r="B12">
        <v>1</v>
      </c>
    </row>
    <row r="13" spans="1:192" x14ac:dyDescent="0.25">
      <c r="A13" t="s">
        <v>23</v>
      </c>
      <c r="B13">
        <v>1</v>
      </c>
    </row>
    <row r="14" spans="1:192" x14ac:dyDescent="0.25">
      <c r="A14" t="s">
        <v>8</v>
      </c>
      <c r="B14">
        <v>1</v>
      </c>
    </row>
    <row r="15" spans="1:192" x14ac:dyDescent="0.25">
      <c r="A15" t="s">
        <v>5</v>
      </c>
      <c r="B15">
        <v>1</v>
      </c>
    </row>
    <row r="16" spans="1:192" x14ac:dyDescent="0.25">
      <c r="A16" t="s">
        <v>28</v>
      </c>
      <c r="B16">
        <v>1</v>
      </c>
    </row>
    <row r="17" spans="1:2" x14ac:dyDescent="0.25">
      <c r="A17" t="s">
        <v>37</v>
      </c>
      <c r="B17">
        <v>1</v>
      </c>
    </row>
    <row r="18" spans="1:2" x14ac:dyDescent="0.25">
      <c r="A18" t="s">
        <v>43</v>
      </c>
      <c r="B18">
        <v>1</v>
      </c>
    </row>
    <row r="19" spans="1:2" x14ac:dyDescent="0.25">
      <c r="A19" t="s">
        <v>46</v>
      </c>
      <c r="B19">
        <v>1</v>
      </c>
    </row>
    <row r="20" spans="1:2" x14ac:dyDescent="0.25">
      <c r="A20" t="s">
        <v>11</v>
      </c>
      <c r="B20">
        <v>1</v>
      </c>
    </row>
    <row r="21" spans="1:2" x14ac:dyDescent="0.25">
      <c r="A21" t="s">
        <v>8</v>
      </c>
      <c r="B21">
        <v>1</v>
      </c>
    </row>
    <row r="22" spans="1:2" x14ac:dyDescent="0.25">
      <c r="A22" t="s">
        <v>5</v>
      </c>
      <c r="B22">
        <v>1</v>
      </c>
    </row>
    <row r="23" spans="1:2" x14ac:dyDescent="0.25">
      <c r="A23" t="s">
        <v>8</v>
      </c>
      <c r="B23">
        <v>1</v>
      </c>
    </row>
    <row r="24" spans="1:2" x14ac:dyDescent="0.25">
      <c r="A24" t="s">
        <v>5</v>
      </c>
      <c r="B24">
        <v>1</v>
      </c>
    </row>
    <row r="25" spans="1:2" x14ac:dyDescent="0.25">
      <c r="A25" t="s">
        <v>92</v>
      </c>
      <c r="B25">
        <v>1</v>
      </c>
    </row>
    <row r="26" spans="1:2" x14ac:dyDescent="0.25">
      <c r="A26" t="s">
        <v>8</v>
      </c>
      <c r="B26">
        <v>1</v>
      </c>
    </row>
    <row r="27" spans="1:2" x14ac:dyDescent="0.25">
      <c r="A27" t="s">
        <v>5</v>
      </c>
      <c r="B27">
        <v>1</v>
      </c>
    </row>
    <row r="28" spans="1:2" x14ac:dyDescent="0.25">
      <c r="A28" t="s">
        <v>32</v>
      </c>
      <c r="B28">
        <v>1</v>
      </c>
    </row>
    <row r="29" spans="1:2" x14ac:dyDescent="0.25">
      <c r="A29" t="s">
        <v>8</v>
      </c>
      <c r="B29">
        <v>1</v>
      </c>
    </row>
    <row r="30" spans="1:2" x14ac:dyDescent="0.25">
      <c r="A30" t="s">
        <v>5</v>
      </c>
      <c r="B30">
        <v>1</v>
      </c>
    </row>
    <row r="31" spans="1:2" x14ac:dyDescent="0.25">
      <c r="A31" t="s">
        <v>24</v>
      </c>
      <c r="B31">
        <v>1</v>
      </c>
    </row>
    <row r="32" spans="1:2" x14ac:dyDescent="0.25">
      <c r="A32" t="s">
        <v>35</v>
      </c>
      <c r="B32">
        <v>1</v>
      </c>
    </row>
    <row r="33" spans="1:2" x14ac:dyDescent="0.25">
      <c r="A33" t="s">
        <v>31</v>
      </c>
      <c r="B33">
        <v>1</v>
      </c>
    </row>
    <row r="34" spans="1:2" x14ac:dyDescent="0.25">
      <c r="A34" t="s">
        <v>11</v>
      </c>
      <c r="B34">
        <v>1</v>
      </c>
    </row>
    <row r="35" spans="1:2" x14ac:dyDescent="0.25">
      <c r="A35" t="s">
        <v>20</v>
      </c>
      <c r="B35">
        <v>1</v>
      </c>
    </row>
    <row r="36" spans="1:2" x14ac:dyDescent="0.25">
      <c r="A36" t="s">
        <v>5</v>
      </c>
      <c r="B36">
        <v>1</v>
      </c>
    </row>
    <row r="37" spans="1:2" x14ac:dyDescent="0.25">
      <c r="A37" t="s">
        <v>52</v>
      </c>
      <c r="B37">
        <v>1</v>
      </c>
    </row>
    <row r="38" spans="1:2" x14ac:dyDescent="0.25">
      <c r="A38" t="s">
        <v>86</v>
      </c>
      <c r="B38">
        <v>1</v>
      </c>
    </row>
    <row r="39" spans="1:2" x14ac:dyDescent="0.25">
      <c r="A39" t="s">
        <v>79</v>
      </c>
      <c r="B39">
        <v>1</v>
      </c>
    </row>
    <row r="40" spans="1:2" x14ac:dyDescent="0.25">
      <c r="A40" t="s">
        <v>15</v>
      </c>
      <c r="B40">
        <v>1</v>
      </c>
    </row>
    <row r="41" spans="1:2" x14ac:dyDescent="0.25">
      <c r="A41" t="s">
        <v>5</v>
      </c>
      <c r="B41">
        <v>1</v>
      </c>
    </row>
    <row r="42" spans="1:2" x14ac:dyDescent="0.25">
      <c r="A42" t="s">
        <v>23</v>
      </c>
      <c r="B42">
        <v>1</v>
      </c>
    </row>
    <row r="43" spans="1:2" x14ac:dyDescent="0.25">
      <c r="A43" t="s">
        <v>5</v>
      </c>
      <c r="B43">
        <v>1</v>
      </c>
    </row>
    <row r="44" spans="1:2" x14ac:dyDescent="0.25">
      <c r="A44" t="s">
        <v>8</v>
      </c>
      <c r="B44">
        <v>1</v>
      </c>
    </row>
    <row r="45" spans="1:2" x14ac:dyDescent="0.25">
      <c r="A45" t="s">
        <v>10</v>
      </c>
      <c r="B45">
        <v>1</v>
      </c>
    </row>
    <row r="46" spans="1:2" x14ac:dyDescent="0.25">
      <c r="A46" t="s">
        <v>29</v>
      </c>
      <c r="B46">
        <v>1</v>
      </c>
    </row>
    <row r="47" spans="1:2" x14ac:dyDescent="0.25">
      <c r="A47" t="s">
        <v>58</v>
      </c>
      <c r="B47">
        <v>1</v>
      </c>
    </row>
    <row r="48" spans="1:2" x14ac:dyDescent="0.25">
      <c r="A48" t="s">
        <v>48</v>
      </c>
      <c r="B48">
        <v>1</v>
      </c>
    </row>
    <row r="49" spans="1:2" x14ac:dyDescent="0.25">
      <c r="A49" t="s">
        <v>74</v>
      </c>
      <c r="B49">
        <v>1</v>
      </c>
    </row>
    <row r="50" spans="1:2" x14ac:dyDescent="0.25">
      <c r="A50" t="s">
        <v>11</v>
      </c>
      <c r="B50">
        <v>1</v>
      </c>
    </row>
    <row r="51" spans="1:2" x14ac:dyDescent="0.25">
      <c r="A51" t="s">
        <v>72</v>
      </c>
      <c r="B51">
        <v>1</v>
      </c>
    </row>
    <row r="52" spans="1:2" x14ac:dyDescent="0.25">
      <c r="A52" t="s">
        <v>25</v>
      </c>
      <c r="B52">
        <v>1</v>
      </c>
    </row>
    <row r="53" spans="1:2" x14ac:dyDescent="0.25">
      <c r="A53" t="s">
        <v>8</v>
      </c>
      <c r="B53">
        <v>1</v>
      </c>
    </row>
    <row r="54" spans="1:2" x14ac:dyDescent="0.25">
      <c r="A54" t="s">
        <v>5</v>
      </c>
      <c r="B54">
        <v>1</v>
      </c>
    </row>
    <row r="55" spans="1:2" x14ac:dyDescent="0.25">
      <c r="A55" t="s">
        <v>60</v>
      </c>
      <c r="B55">
        <v>1</v>
      </c>
    </row>
    <row r="56" spans="1:2" x14ac:dyDescent="0.25">
      <c r="A56" t="s">
        <v>70</v>
      </c>
      <c r="B56">
        <v>1</v>
      </c>
    </row>
    <row r="57" spans="1:2" x14ac:dyDescent="0.25">
      <c r="A57" t="s">
        <v>11</v>
      </c>
      <c r="B57">
        <v>1</v>
      </c>
    </row>
    <row r="58" spans="1:2" x14ac:dyDescent="0.25">
      <c r="A58" t="s">
        <v>17</v>
      </c>
      <c r="B58">
        <v>1</v>
      </c>
    </row>
    <row r="59" spans="1:2" x14ac:dyDescent="0.25">
      <c r="A59" t="s">
        <v>5</v>
      </c>
      <c r="B59">
        <v>1</v>
      </c>
    </row>
    <row r="60" spans="1:2" x14ac:dyDescent="0.25">
      <c r="A60" t="s">
        <v>37</v>
      </c>
      <c r="B60">
        <v>1</v>
      </c>
    </row>
    <row r="61" spans="1:2" x14ac:dyDescent="0.25">
      <c r="A61" t="s">
        <v>59</v>
      </c>
      <c r="B61">
        <v>1</v>
      </c>
    </row>
    <row r="62" spans="1:2" x14ac:dyDescent="0.25">
      <c r="A62" t="s">
        <v>68</v>
      </c>
      <c r="B62">
        <v>1</v>
      </c>
    </row>
    <row r="63" spans="1:2" x14ac:dyDescent="0.25">
      <c r="A63" t="s">
        <v>8</v>
      </c>
      <c r="B63">
        <v>1</v>
      </c>
    </row>
    <row r="64" spans="1:2" x14ac:dyDescent="0.25">
      <c r="A64" t="s">
        <v>5</v>
      </c>
      <c r="B64">
        <v>1</v>
      </c>
    </row>
    <row r="65" spans="1:2" x14ac:dyDescent="0.25">
      <c r="A65" t="s">
        <v>42</v>
      </c>
      <c r="B65">
        <v>1</v>
      </c>
    </row>
    <row r="66" spans="1:2" x14ac:dyDescent="0.25">
      <c r="A66" t="s">
        <v>27</v>
      </c>
      <c r="B66">
        <v>1</v>
      </c>
    </row>
    <row r="67" spans="1:2" x14ac:dyDescent="0.25">
      <c r="A67" t="s">
        <v>22</v>
      </c>
      <c r="B67">
        <v>1</v>
      </c>
    </row>
    <row r="68" spans="1:2" x14ac:dyDescent="0.25">
      <c r="A68" t="s">
        <v>19</v>
      </c>
      <c r="B68">
        <v>1</v>
      </c>
    </row>
    <row r="69" spans="1:2" x14ac:dyDescent="0.25">
      <c r="A69" t="s">
        <v>13</v>
      </c>
      <c r="B69">
        <v>1</v>
      </c>
    </row>
    <row r="70" spans="1:2" x14ac:dyDescent="0.25">
      <c r="A70" t="s">
        <v>5</v>
      </c>
      <c r="B70">
        <v>1</v>
      </c>
    </row>
    <row r="71" spans="1:2" x14ac:dyDescent="0.25">
      <c r="A71" t="s">
        <v>32</v>
      </c>
      <c r="B71">
        <v>1</v>
      </c>
    </row>
    <row r="72" spans="1:2" x14ac:dyDescent="0.25">
      <c r="A72" t="s">
        <v>5</v>
      </c>
      <c r="B72">
        <v>1</v>
      </c>
    </row>
    <row r="73" spans="1:2" x14ac:dyDescent="0.25">
      <c r="A73" t="s">
        <v>50</v>
      </c>
      <c r="B73">
        <v>1</v>
      </c>
    </row>
    <row r="74" spans="1:2" x14ac:dyDescent="0.25">
      <c r="A74" t="s">
        <v>66</v>
      </c>
      <c r="B74">
        <v>1</v>
      </c>
    </row>
    <row r="75" spans="1:2" x14ac:dyDescent="0.25">
      <c r="A75" t="s">
        <v>73</v>
      </c>
      <c r="B75">
        <v>1</v>
      </c>
    </row>
    <row r="76" spans="1:2" x14ac:dyDescent="0.25">
      <c r="A76" t="s">
        <v>53</v>
      </c>
      <c r="B76">
        <v>1</v>
      </c>
    </row>
    <row r="77" spans="1:2" x14ac:dyDescent="0.25">
      <c r="A77" t="s">
        <v>8</v>
      </c>
      <c r="B77">
        <v>1</v>
      </c>
    </row>
    <row r="78" spans="1:2" x14ac:dyDescent="0.25">
      <c r="A78" t="s">
        <v>10</v>
      </c>
      <c r="B78">
        <v>1</v>
      </c>
    </row>
    <row r="79" spans="1:2" x14ac:dyDescent="0.25">
      <c r="A79" t="s">
        <v>29</v>
      </c>
      <c r="B79">
        <v>1</v>
      </c>
    </row>
    <row r="80" spans="1:2" x14ac:dyDescent="0.25">
      <c r="A80" t="s">
        <v>8</v>
      </c>
      <c r="B80">
        <v>1</v>
      </c>
    </row>
    <row r="81" spans="1:2" x14ac:dyDescent="0.25">
      <c r="A81" t="s">
        <v>5</v>
      </c>
      <c r="B81">
        <v>1</v>
      </c>
    </row>
    <row r="82" spans="1:2" x14ac:dyDescent="0.25">
      <c r="A82" t="s">
        <v>8</v>
      </c>
      <c r="B82">
        <v>1</v>
      </c>
    </row>
    <row r="83" spans="1:2" x14ac:dyDescent="0.25">
      <c r="A83" t="s">
        <v>19</v>
      </c>
      <c r="B83">
        <v>1</v>
      </c>
    </row>
    <row r="84" spans="1:2" x14ac:dyDescent="0.25">
      <c r="A84" t="s">
        <v>34</v>
      </c>
      <c r="B84">
        <v>1</v>
      </c>
    </row>
    <row r="85" spans="1:2" x14ac:dyDescent="0.25">
      <c r="A85" t="s">
        <v>8</v>
      </c>
      <c r="B85">
        <v>1</v>
      </c>
    </row>
    <row r="86" spans="1:2" x14ac:dyDescent="0.25">
      <c r="A86" t="s">
        <v>10</v>
      </c>
      <c r="B86">
        <v>1</v>
      </c>
    </row>
    <row r="87" spans="1:2" x14ac:dyDescent="0.25">
      <c r="A87" t="s">
        <v>11</v>
      </c>
      <c r="B87">
        <v>1</v>
      </c>
    </row>
    <row r="88" spans="1:2" x14ac:dyDescent="0.25">
      <c r="A88" t="s">
        <v>83</v>
      </c>
      <c r="B88">
        <v>1</v>
      </c>
    </row>
    <row r="89" spans="1:2" x14ac:dyDescent="0.25">
      <c r="A89" t="s">
        <v>33</v>
      </c>
      <c r="B89">
        <v>1</v>
      </c>
    </row>
    <row r="90" spans="1:2" x14ac:dyDescent="0.25">
      <c r="A90" t="s">
        <v>5</v>
      </c>
      <c r="B90">
        <v>1</v>
      </c>
    </row>
    <row r="91" spans="1:2" x14ac:dyDescent="0.25">
      <c r="A91" t="s">
        <v>13</v>
      </c>
      <c r="B91">
        <v>1</v>
      </c>
    </row>
    <row r="92" spans="1:2" x14ac:dyDescent="0.25">
      <c r="A92" t="s">
        <v>5</v>
      </c>
      <c r="B92">
        <v>1</v>
      </c>
    </row>
    <row r="93" spans="1:2" x14ac:dyDescent="0.25">
      <c r="A93" t="s">
        <v>17</v>
      </c>
      <c r="B93">
        <v>1</v>
      </c>
    </row>
    <row r="94" spans="1:2" x14ac:dyDescent="0.25">
      <c r="A94" t="s">
        <v>5</v>
      </c>
      <c r="B94">
        <v>1</v>
      </c>
    </row>
    <row r="95" spans="1:2" x14ac:dyDescent="0.25">
      <c r="A95" t="s">
        <v>27</v>
      </c>
      <c r="B95">
        <v>1</v>
      </c>
    </row>
    <row r="96" spans="1:2" x14ac:dyDescent="0.25">
      <c r="A96" t="s">
        <v>19</v>
      </c>
      <c r="B96">
        <v>1</v>
      </c>
    </row>
    <row r="97" spans="1:2" x14ac:dyDescent="0.25">
      <c r="A97" t="s">
        <v>24</v>
      </c>
      <c r="B97">
        <v>1</v>
      </c>
    </row>
    <row r="98" spans="1:2" x14ac:dyDescent="0.25">
      <c r="A98" t="s">
        <v>31</v>
      </c>
      <c r="B98">
        <v>1</v>
      </c>
    </row>
    <row r="99" spans="1:2" x14ac:dyDescent="0.25">
      <c r="A99" t="s">
        <v>5</v>
      </c>
      <c r="B99">
        <v>1</v>
      </c>
    </row>
    <row r="100" spans="1:2" x14ac:dyDescent="0.25">
      <c r="A100" t="s">
        <v>41</v>
      </c>
      <c r="B100">
        <v>1</v>
      </c>
    </row>
    <row r="101" spans="1:2" x14ac:dyDescent="0.25">
      <c r="A101" t="s">
        <v>63</v>
      </c>
      <c r="B101">
        <v>1</v>
      </c>
    </row>
    <row r="102" spans="1:2" x14ac:dyDescent="0.25">
      <c r="A102" t="s">
        <v>25</v>
      </c>
      <c r="B102">
        <v>1</v>
      </c>
    </row>
    <row r="103" spans="1:2" x14ac:dyDescent="0.25">
      <c r="A103" t="s">
        <v>5</v>
      </c>
      <c r="B103">
        <v>1</v>
      </c>
    </row>
    <row r="104" spans="1:2" x14ac:dyDescent="0.25">
      <c r="A104" t="s">
        <v>81</v>
      </c>
      <c r="B104">
        <v>1</v>
      </c>
    </row>
    <row r="105" spans="1:2" x14ac:dyDescent="0.25">
      <c r="A105" t="s">
        <v>61</v>
      </c>
      <c r="B105">
        <v>1</v>
      </c>
    </row>
    <row r="106" spans="1:2" x14ac:dyDescent="0.25">
      <c r="A106" t="s">
        <v>44</v>
      </c>
      <c r="B106">
        <v>1</v>
      </c>
    </row>
    <row r="107" spans="1:2" x14ac:dyDescent="0.25">
      <c r="A107" t="s">
        <v>54</v>
      </c>
      <c r="B107">
        <v>1</v>
      </c>
    </row>
    <row r="108" spans="1:2" x14ac:dyDescent="0.25">
      <c r="A108" t="s">
        <v>26</v>
      </c>
      <c r="B108">
        <v>1</v>
      </c>
    </row>
    <row r="109" spans="1:2" x14ac:dyDescent="0.25">
      <c r="A109" t="s">
        <v>5</v>
      </c>
      <c r="B109">
        <v>1</v>
      </c>
    </row>
    <row r="110" spans="1:2" x14ac:dyDescent="0.25">
      <c r="A110" t="s">
        <v>38</v>
      </c>
      <c r="B110">
        <v>1</v>
      </c>
    </row>
    <row r="111" spans="1:2" x14ac:dyDescent="0.25">
      <c r="A111" t="s">
        <v>76</v>
      </c>
      <c r="B111">
        <v>1</v>
      </c>
    </row>
    <row r="112" spans="1:2" x14ac:dyDescent="0.25">
      <c r="A112" t="s">
        <v>28</v>
      </c>
      <c r="B112">
        <v>1</v>
      </c>
    </row>
    <row r="113" spans="1:2" x14ac:dyDescent="0.25">
      <c r="A113" t="s">
        <v>78</v>
      </c>
      <c r="B113">
        <v>1</v>
      </c>
    </row>
    <row r="114" spans="1:2" x14ac:dyDescent="0.25">
      <c r="A114" t="s">
        <v>17</v>
      </c>
      <c r="B114">
        <v>1</v>
      </c>
    </row>
    <row r="115" spans="1:2" x14ac:dyDescent="0.25">
      <c r="A115" t="s">
        <v>5</v>
      </c>
      <c r="B115">
        <v>1</v>
      </c>
    </row>
    <row r="116" spans="1:2" x14ac:dyDescent="0.25">
      <c r="A116" t="s">
        <v>10</v>
      </c>
      <c r="B116">
        <v>1</v>
      </c>
    </row>
    <row r="117" spans="1:2" x14ac:dyDescent="0.25">
      <c r="A117" t="s">
        <v>57</v>
      </c>
      <c r="B117">
        <v>1</v>
      </c>
    </row>
    <row r="118" spans="1:2" x14ac:dyDescent="0.25">
      <c r="A118" t="s">
        <v>45</v>
      </c>
      <c r="B118">
        <v>1</v>
      </c>
    </row>
    <row r="119" spans="1:2" x14ac:dyDescent="0.25">
      <c r="A119" t="s">
        <v>15</v>
      </c>
      <c r="B119">
        <v>1</v>
      </c>
    </row>
    <row r="120" spans="1:2" x14ac:dyDescent="0.25">
      <c r="A120" t="s">
        <v>77</v>
      </c>
      <c r="B120">
        <v>1</v>
      </c>
    </row>
    <row r="121" spans="1:2" x14ac:dyDescent="0.25">
      <c r="A121" t="s">
        <v>13</v>
      </c>
      <c r="B121">
        <v>1</v>
      </c>
    </row>
    <row r="122" spans="1:2" x14ac:dyDescent="0.25">
      <c r="A122" t="s">
        <v>35</v>
      </c>
      <c r="B122">
        <v>1</v>
      </c>
    </row>
    <row r="123" spans="1:2" x14ac:dyDescent="0.25">
      <c r="A123" t="s">
        <v>80</v>
      </c>
      <c r="B123">
        <v>1</v>
      </c>
    </row>
    <row r="124" spans="1:2" x14ac:dyDescent="0.25">
      <c r="A124" t="s">
        <v>23</v>
      </c>
      <c r="B124">
        <v>1</v>
      </c>
    </row>
    <row r="125" spans="1:2" x14ac:dyDescent="0.25">
      <c r="A125" t="s">
        <v>5</v>
      </c>
      <c r="B125">
        <v>1</v>
      </c>
    </row>
    <row r="126" spans="1:2" x14ac:dyDescent="0.25">
      <c r="A126" t="s">
        <v>87</v>
      </c>
      <c r="B126">
        <v>1</v>
      </c>
    </row>
    <row r="127" spans="1:2" x14ac:dyDescent="0.25">
      <c r="A127" t="s">
        <v>64</v>
      </c>
      <c r="B127">
        <v>1</v>
      </c>
    </row>
    <row r="128" spans="1:2" x14ac:dyDescent="0.25">
      <c r="A128" t="s">
        <v>5</v>
      </c>
      <c r="B128">
        <v>1</v>
      </c>
    </row>
    <row r="129" spans="1:2" x14ac:dyDescent="0.25">
      <c r="A129" t="s">
        <v>8</v>
      </c>
      <c r="B129">
        <v>1</v>
      </c>
    </row>
    <row r="130" spans="1:2" x14ac:dyDescent="0.25">
      <c r="A130" t="s">
        <v>5</v>
      </c>
      <c r="B130">
        <v>1</v>
      </c>
    </row>
    <row r="131" spans="1:2" x14ac:dyDescent="0.25">
      <c r="A131" t="s">
        <v>17</v>
      </c>
      <c r="B131">
        <v>1</v>
      </c>
    </row>
    <row r="132" spans="1:2" x14ac:dyDescent="0.25">
      <c r="A132" t="s">
        <v>5</v>
      </c>
      <c r="B132">
        <v>1</v>
      </c>
    </row>
    <row r="133" spans="1:2" x14ac:dyDescent="0.25">
      <c r="A133" t="s">
        <v>93</v>
      </c>
      <c r="B133">
        <v>1</v>
      </c>
    </row>
    <row r="134" spans="1:2" x14ac:dyDescent="0.25">
      <c r="A134" t="s">
        <v>5</v>
      </c>
      <c r="B134">
        <v>1</v>
      </c>
    </row>
    <row r="135" spans="1:2" x14ac:dyDescent="0.25">
      <c r="A135" t="s">
        <v>82</v>
      </c>
      <c r="B135">
        <v>1</v>
      </c>
    </row>
    <row r="136" spans="1:2" x14ac:dyDescent="0.25">
      <c r="A136" t="s">
        <v>26</v>
      </c>
      <c r="B136">
        <v>1</v>
      </c>
    </row>
    <row r="137" spans="1:2" x14ac:dyDescent="0.25">
      <c r="A137" t="s">
        <v>5</v>
      </c>
      <c r="B137">
        <v>1</v>
      </c>
    </row>
    <row r="138" spans="1:2" x14ac:dyDescent="0.25">
      <c r="A138" t="s">
        <v>67</v>
      </c>
      <c r="B138">
        <v>1</v>
      </c>
    </row>
    <row r="139" spans="1:2" x14ac:dyDescent="0.25">
      <c r="A139" t="s">
        <v>84</v>
      </c>
      <c r="B139">
        <v>1</v>
      </c>
    </row>
    <row r="140" spans="1:2" x14ac:dyDescent="0.25">
      <c r="A140" t="s">
        <v>34</v>
      </c>
      <c r="B140">
        <v>1</v>
      </c>
    </row>
    <row r="141" spans="1:2" x14ac:dyDescent="0.25">
      <c r="A141" t="s">
        <v>71</v>
      </c>
      <c r="B141">
        <v>1</v>
      </c>
    </row>
    <row r="142" spans="1:2" x14ac:dyDescent="0.25">
      <c r="A142" t="s">
        <v>33</v>
      </c>
      <c r="B142">
        <v>1</v>
      </c>
    </row>
    <row r="143" spans="1:2" x14ac:dyDescent="0.25">
      <c r="A143" t="s">
        <v>75</v>
      </c>
      <c r="B143">
        <v>1</v>
      </c>
    </row>
    <row r="144" spans="1:2" x14ac:dyDescent="0.25">
      <c r="A144" t="s">
        <v>8</v>
      </c>
      <c r="B144">
        <v>1</v>
      </c>
    </row>
    <row r="145" spans="1:2" x14ac:dyDescent="0.25">
      <c r="A145" t="s">
        <v>5</v>
      </c>
      <c r="B145">
        <v>1</v>
      </c>
    </row>
    <row r="146" spans="1:2" x14ac:dyDescent="0.25">
      <c r="A146" t="s">
        <v>56</v>
      </c>
      <c r="B146">
        <v>1</v>
      </c>
    </row>
    <row r="147" spans="1:2" x14ac:dyDescent="0.25">
      <c r="A147" t="s">
        <v>30</v>
      </c>
      <c r="B147">
        <v>1</v>
      </c>
    </row>
    <row r="148" spans="1:2" x14ac:dyDescent="0.25">
      <c r="A148" t="s">
        <v>13</v>
      </c>
      <c r="B148">
        <v>1</v>
      </c>
    </row>
    <row r="149" spans="1:2" x14ac:dyDescent="0.25">
      <c r="A149" t="s">
        <v>88</v>
      </c>
      <c r="B149">
        <v>1</v>
      </c>
    </row>
    <row r="150" spans="1:2" x14ac:dyDescent="0.25">
      <c r="A150" t="s">
        <v>5</v>
      </c>
      <c r="B150">
        <v>1</v>
      </c>
    </row>
    <row r="151" spans="1:2" x14ac:dyDescent="0.25">
      <c r="A151" t="s">
        <v>55</v>
      </c>
      <c r="B151">
        <v>1</v>
      </c>
    </row>
    <row r="152" spans="1:2" x14ac:dyDescent="0.25">
      <c r="A152" t="s">
        <v>62</v>
      </c>
      <c r="B152">
        <v>1</v>
      </c>
    </row>
    <row r="153" spans="1:2" x14ac:dyDescent="0.25">
      <c r="A153" t="s">
        <v>22</v>
      </c>
      <c r="B153">
        <v>1</v>
      </c>
    </row>
    <row r="154" spans="1:2" x14ac:dyDescent="0.25">
      <c r="A154" t="s">
        <v>69</v>
      </c>
      <c r="B154">
        <v>1</v>
      </c>
    </row>
    <row r="155" spans="1:2" x14ac:dyDescent="0.25">
      <c r="A155" t="s">
        <v>5</v>
      </c>
      <c r="B155">
        <v>1</v>
      </c>
    </row>
    <row r="156" spans="1:2" x14ac:dyDescent="0.25">
      <c r="A156" t="s">
        <v>51</v>
      </c>
      <c r="B156">
        <v>1</v>
      </c>
    </row>
    <row r="157" spans="1:2" x14ac:dyDescent="0.25">
      <c r="A157" t="s">
        <v>22</v>
      </c>
      <c r="B157">
        <v>1</v>
      </c>
    </row>
    <row r="158" spans="1:2" x14ac:dyDescent="0.25">
      <c r="A158" t="s">
        <v>8</v>
      </c>
      <c r="B158">
        <v>1</v>
      </c>
    </row>
    <row r="159" spans="1:2" x14ac:dyDescent="0.25">
      <c r="A159" t="s">
        <v>5</v>
      </c>
      <c r="B159">
        <v>1</v>
      </c>
    </row>
    <row r="160" spans="1:2" x14ac:dyDescent="0.25">
      <c r="A160" t="s">
        <v>65</v>
      </c>
      <c r="B160">
        <v>1</v>
      </c>
    </row>
    <row r="161" spans="1:2" x14ac:dyDescent="0.25">
      <c r="A161" t="s">
        <v>30</v>
      </c>
      <c r="B161">
        <v>1</v>
      </c>
    </row>
    <row r="162" spans="1:2" x14ac:dyDescent="0.25">
      <c r="A162" t="s">
        <v>39</v>
      </c>
      <c r="B162">
        <v>1</v>
      </c>
    </row>
    <row r="163" spans="1:2" x14ac:dyDescent="0.25">
      <c r="A163" t="s">
        <v>19</v>
      </c>
      <c r="B163">
        <v>1</v>
      </c>
    </row>
    <row r="164" spans="1:2" x14ac:dyDescent="0.25">
      <c r="A164" t="s">
        <v>5</v>
      </c>
      <c r="B164">
        <v>1</v>
      </c>
    </row>
    <row r="165" spans="1:2" x14ac:dyDescent="0.25">
      <c r="A165" t="s">
        <v>13</v>
      </c>
      <c r="B165">
        <v>1</v>
      </c>
    </row>
    <row r="166" spans="1:2" x14ac:dyDescent="0.25">
      <c r="A166" t="s">
        <v>85</v>
      </c>
      <c r="B166">
        <v>1</v>
      </c>
    </row>
    <row r="167" spans="1:2" x14ac:dyDescent="0.25">
      <c r="A167" t="s">
        <v>5</v>
      </c>
      <c r="B167">
        <v>1</v>
      </c>
    </row>
    <row r="168" spans="1:2" x14ac:dyDescent="0.25">
      <c r="A168" t="s">
        <v>40</v>
      </c>
      <c r="B168">
        <v>1</v>
      </c>
    </row>
    <row r="169" spans="1:2" x14ac:dyDescent="0.25">
      <c r="A169" t="s">
        <v>152</v>
      </c>
      <c r="B169">
        <v>1</v>
      </c>
    </row>
    <row r="170" spans="1:2" x14ac:dyDescent="0.25">
      <c r="A170" t="s">
        <v>23</v>
      </c>
      <c r="B170">
        <v>1</v>
      </c>
    </row>
    <row r="171" spans="1:2" x14ac:dyDescent="0.25">
      <c r="A171" t="s">
        <v>26</v>
      </c>
      <c r="B171">
        <v>1</v>
      </c>
    </row>
    <row r="172" spans="1:2" x14ac:dyDescent="0.25">
      <c r="A172" t="s">
        <v>153</v>
      </c>
      <c r="B172">
        <v>1</v>
      </c>
    </row>
    <row r="173" spans="1:2" x14ac:dyDescent="0.25">
      <c r="A173" t="s">
        <v>154</v>
      </c>
      <c r="B173">
        <v>1</v>
      </c>
    </row>
    <row r="174" spans="1:2" x14ac:dyDescent="0.25">
      <c r="A174" t="s">
        <v>155</v>
      </c>
      <c r="B174">
        <v>1</v>
      </c>
    </row>
    <row r="175" spans="1:2" x14ac:dyDescent="0.25">
      <c r="A175" t="s">
        <v>85</v>
      </c>
      <c r="B175">
        <v>1</v>
      </c>
    </row>
    <row r="176" spans="1:2" x14ac:dyDescent="0.25">
      <c r="A176" t="s">
        <v>156</v>
      </c>
      <c r="B176">
        <v>1</v>
      </c>
    </row>
    <row r="177" spans="1:2" x14ac:dyDescent="0.25">
      <c r="A177" t="s">
        <v>38</v>
      </c>
      <c r="B177">
        <v>1</v>
      </c>
    </row>
    <row r="178" spans="1:2" x14ac:dyDescent="0.25">
      <c r="A178" t="s">
        <v>157</v>
      </c>
      <c r="B178">
        <v>1</v>
      </c>
    </row>
    <row r="179" spans="1:2" x14ac:dyDescent="0.25">
      <c r="A179" t="s">
        <v>68</v>
      </c>
      <c r="B179">
        <v>1</v>
      </c>
    </row>
    <row r="180" spans="1:2" x14ac:dyDescent="0.25">
      <c r="A180" t="s">
        <v>158</v>
      </c>
      <c r="B180">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Job Titles4</vt:lpstr>
      <vt:lpstr>Job Titles5</vt:lpstr>
      <vt:lpstr>Instructions</vt:lpstr>
      <vt:lpstr>Pivot Table</vt:lpstr>
      <vt:lpstr>Job Suggestions1</vt:lpstr>
      <vt:lpstr>Word 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Antonino</dc:creator>
  <cp:lastModifiedBy>Jason Antonino</cp:lastModifiedBy>
  <dcterms:created xsi:type="dcterms:W3CDTF">2021-06-01T01:13:12Z</dcterms:created>
  <dcterms:modified xsi:type="dcterms:W3CDTF">2021-06-05T05:22:32Z</dcterms:modified>
</cp:coreProperties>
</file>