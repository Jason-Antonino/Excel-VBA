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79" documentId="13_ncr:1_{96619EA1-17A6-493A-904A-A80B067FC768}" xr6:coauthVersionLast="46" xr6:coauthVersionMax="46" xr10:uidLastSave="{D87C1657-FF68-4C37-BA3F-66977EEDEA27}"/>
  <bookViews>
    <workbookView xWindow="28680" yWindow="-120" windowWidth="29040" windowHeight="15840" tabRatio="512" activeTab="2" xr2:uid="{F1C33ABF-0787-401A-8C94-F995BC28BE78}"/>
  </bookViews>
  <sheets>
    <sheet name="CountryLookup" sheetId="2" r:id="rId1"/>
    <sheet name="CountryLookup (2)" sheetId="3" r:id="rId2"/>
    <sheet name="CountryLookup (3)" sheetId="6" r:id="rId3"/>
    <sheet name="COVID-19 Stats 5-17-2021" sheetId="5" r:id="rId4"/>
    <sheet name="COVID-19 Stats 5-14-2021" sheetId="4" r:id="rId5"/>
    <sheet name="COVID-19 Stats 5-13-2021" sheetId="1" r:id="rId6"/>
  </sheets>
  <externalReferences>
    <externalReference r:id="rId7"/>
  </externalReferences>
  <definedNames>
    <definedName name="COVID" localSheetId="0">'[1]COVID-19 Stats 5-13-2021'!$A$1:$N$223</definedName>
    <definedName name="COVID" localSheetId="1">'[1]COVID-19 Stats 5-13-2021'!$A$1:$N$223</definedName>
    <definedName name="COVID" localSheetId="2">'[1]COVID-19 Stats 5-13-2021'!$A$1:$N$223</definedName>
    <definedName name="COVID">'COVID-19 Stats 5-13-2021'!$A$1:$N$223</definedName>
    <definedName name="COVIDstats">'COVID-19 Stats 5-14-2021'!$A$1:$N$223</definedName>
    <definedName name="ExternalData_1" localSheetId="5" hidden="1">'COVID-19 Stats 5-13-2021'!$A$1:$N$232</definedName>
    <definedName name="ExternalData_1" localSheetId="4" hidden="1">'COVID-19 Stats 5-14-2021'!$A$1:$N$233</definedName>
    <definedName name="ExternalData_1" localSheetId="3" hidden="1">'COVID-19 Stats 5-17-2021'!$A$1:$N$224</definedName>
    <definedName name="May172021Stats" localSheetId="2">Table_0__3[#All]</definedName>
    <definedName name="May172021Stats">Table_0__3[#All]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13" i="6"/>
  <c r="B12" i="6"/>
  <c r="B11" i="6"/>
  <c r="B10" i="6"/>
  <c r="B9" i="6"/>
  <c r="B8" i="6"/>
  <c r="B7" i="6"/>
  <c r="B6" i="6"/>
  <c r="B5" i="6"/>
  <c r="B4" i="6"/>
  <c r="B3" i="6"/>
  <c r="B13" i="3"/>
  <c r="B12" i="3"/>
  <c r="B11" i="3"/>
  <c r="B10" i="3"/>
  <c r="B9" i="3"/>
  <c r="B8" i="3"/>
  <c r="B7" i="3"/>
  <c r="B6" i="3"/>
  <c r="B5" i="3"/>
  <c r="B4" i="3"/>
  <c r="B3" i="3"/>
  <c r="B2" i="2"/>
  <c r="B13" i="2" s="1"/>
  <c r="E234" i="1"/>
  <c r="C6" i="6" l="1"/>
  <c r="B10" i="2"/>
  <c r="B6" i="2"/>
  <c r="B11" i="2"/>
  <c r="B7" i="2"/>
  <c r="B4" i="2"/>
  <c r="B8" i="2"/>
  <c r="B12" i="2"/>
  <c r="B3" i="2"/>
  <c r="B5" i="2"/>
  <c r="B9" i="2"/>
  <c r="C6" i="2" l="1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C627C4-ADC4-4F19-9CE0-322051CC972E}" keepAlive="1" name="Connection" type="5" refreshedVersion="0" saveData="1">
    <dbPr connection="Provider=Microsoft.Mashup.OleDb.1;Data Source=$Workbook$;Location=&quot;Table 0 (3)&quot;;Extended Properties=&quot;&quot;" commandType="0"/>
  </connection>
  <connection id="2" xr16:uid="{F5D044D8-D03F-4EBE-A3DA-35DEC6C7ACD8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3" xr16:uid="{B1B4713D-EA7A-4BFC-97D4-F6D48D81F3F9}" keepAlive="1" name="Query - Table 0 (2)" description="Connection to the 'Table 0 (2)' query in the workbook." type="5" refreshedVersion="7" background="1" saveData="1">
    <dbPr connection="Provider=Microsoft.Mashup.OleDb.1;Data Source=$Workbook$;Location=&quot;Table 0 (2)&quot;;Extended Properties=&quot;&quot;" command="SELECT * FROM [Table 0 (2)]"/>
  </connection>
  <connection id="4" xr16:uid="{94A1A83D-8808-4BA1-A884-E91EAD464486}" keepAlive="1" name="Query - Table 0 (3)" description="Connection to the 'Table 0 (3)' query in the workbook." type="5" refreshedVersion="7" minRefreshableVersion="3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<sst xmlns="http://schemas.openxmlformats.org/spreadsheetml/2006/main" count="789" uniqueCount="258">
  <si>
    <t>#</t>
  </si>
  <si>
    <t>Country/Entity</t>
  </si>
  <si>
    <t>Total Cases</t>
  </si>
  <si>
    <t>New Cases</t>
  </si>
  <si>
    <t>Total Deaths</t>
  </si>
  <si>
    <t>New Deaths</t>
  </si>
  <si>
    <t>Total Recovered</t>
  </si>
  <si>
    <t>Active Cases</t>
  </si>
  <si>
    <t>Serious, Critical</t>
  </si>
  <si>
    <t>Tot Cases/ 1M pop</t>
  </si>
  <si>
    <t>Deaths/ 1M pop</t>
  </si>
  <si>
    <t>Total Tests</t>
  </si>
  <si>
    <t>Tests/ 
1M pop</t>
  </si>
  <si>
    <t>Population</t>
  </si>
  <si>
    <t>USA</t>
  </si>
  <si>
    <t>India</t>
  </si>
  <si>
    <t>Brazil</t>
  </si>
  <si>
    <t>France</t>
  </si>
  <si>
    <t>Turkey</t>
  </si>
  <si>
    <t>Russia</t>
  </si>
  <si>
    <t>UK</t>
  </si>
  <si>
    <t>Italy</t>
  </si>
  <si>
    <t>Spain</t>
  </si>
  <si>
    <t>Germany</t>
  </si>
  <si>
    <t>Argentina</t>
  </si>
  <si>
    <t>Colombia</t>
  </si>
  <si>
    <t>Poland</t>
  </si>
  <si>
    <t>Iran</t>
  </si>
  <si>
    <t>Mexico</t>
  </si>
  <si>
    <t>Ukraine</t>
  </si>
  <si>
    <t>Peru</t>
  </si>
  <si>
    <t>Indonesia</t>
  </si>
  <si>
    <t>Czechia</t>
  </si>
  <si>
    <t>South Africa</t>
  </si>
  <si>
    <t>Netherlands</t>
  </si>
  <si>
    <t>Canada</t>
  </si>
  <si>
    <t>Chile</t>
  </si>
  <si>
    <t>Iraq</t>
  </si>
  <si>
    <t>Philippines</t>
  </si>
  <si>
    <t>Romania</t>
  </si>
  <si>
    <t>Sweden</t>
  </si>
  <si>
    <t>Belgium</t>
  </si>
  <si>
    <t>Pakistan</t>
  </si>
  <si>
    <t>Portugal</t>
  </si>
  <si>
    <t>Israel</t>
  </si>
  <si>
    <t>Hungary</t>
  </si>
  <si>
    <t>Bangladesh</t>
  </si>
  <si>
    <t>Jordan</t>
  </si>
  <si>
    <t>Serbia</t>
  </si>
  <si>
    <t>Switzerland</t>
  </si>
  <si>
    <t>Japan</t>
  </si>
  <si>
    <t>Austria</t>
  </si>
  <si>
    <t>UAE</t>
  </si>
  <si>
    <t>Lebanon</t>
  </si>
  <si>
    <t>Morocco</t>
  </si>
  <si>
    <t>Malaysia</t>
  </si>
  <si>
    <t>Nepal</t>
  </si>
  <si>
    <t>Saudi Arabia</t>
  </si>
  <si>
    <t>Bulgaria</t>
  </si>
  <si>
    <t>Ecuador</t>
  </si>
  <si>
    <t>Slovakia</t>
  </si>
  <si>
    <t>Belarus</t>
  </si>
  <si>
    <t>Greece</t>
  </si>
  <si>
    <t>Panama</t>
  </si>
  <si>
    <t>Kazakhstan</t>
  </si>
  <si>
    <t>Croatia</t>
  </si>
  <si>
    <t>Azerbaijan</t>
  </si>
  <si>
    <t>Georgia</t>
  </si>
  <si>
    <t>Bolivia</t>
  </si>
  <si>
    <t>Tunisia</t>
  </si>
  <si>
    <t>Paraguay</t>
  </si>
  <si>
    <t>Palestine</t>
  </si>
  <si>
    <t>Kuwait</t>
  </si>
  <si>
    <t>Costa Rica</t>
  </si>
  <si>
    <t>Dominican Republic</t>
  </si>
  <si>
    <t>Ethiopia</t>
  </si>
  <si>
    <t>Denmark</t>
  </si>
  <si>
    <t>Lithuania</t>
  </si>
  <si>
    <t>Ireland</t>
  </si>
  <si>
    <t>Moldova</t>
  </si>
  <si>
    <t>Slovenia</t>
  </si>
  <si>
    <t>Egypt</t>
  </si>
  <si>
    <t>Guatemala</t>
  </si>
  <si>
    <t>Uruguay</t>
  </si>
  <si>
    <t>Honduras</t>
  </si>
  <si>
    <t>Armenia</t>
  </si>
  <si>
    <t>Qatar</t>
  </si>
  <si>
    <t>Venezuela</t>
  </si>
  <si>
    <t>Oman</t>
  </si>
  <si>
    <t>Bosnia and Herzegovina</t>
  </si>
  <si>
    <t>Bahrain</t>
  </si>
  <si>
    <t>Libya</t>
  </si>
  <si>
    <t>Nigeria</t>
  </si>
  <si>
    <t>Kenya</t>
  </si>
  <si>
    <t>North Macedonia</t>
  </si>
  <si>
    <t>Myanmar</t>
  </si>
  <si>
    <t>Sri Lanka</t>
  </si>
  <si>
    <t>Albania</t>
  </si>
  <si>
    <t>Latvia</t>
  </si>
  <si>
    <t>Estonia</t>
  </si>
  <si>
    <t>Algeria</t>
  </si>
  <si>
    <t>Cuba</t>
  </si>
  <si>
    <t>Norway</t>
  </si>
  <si>
    <t>Kyrgyzstan</t>
  </si>
  <si>
    <t>Montenegro</t>
  </si>
  <si>
    <t>Uzbekistan</t>
  </si>
  <si>
    <t>Thailand</t>
  </si>
  <si>
    <t>Ghana</t>
  </si>
  <si>
    <t>Zambia</t>
  </si>
  <si>
    <t>China</t>
  </si>
  <si>
    <t>Finland</t>
  </si>
  <si>
    <t>Cameroon</t>
  </si>
  <si>
    <t>El Salvador</t>
  </si>
  <si>
    <t>Cyprus</t>
  </si>
  <si>
    <t>Mozambique</t>
  </si>
  <si>
    <t>Luxembourg</t>
  </si>
  <si>
    <t>Afghanistan</t>
  </si>
  <si>
    <t>Singapore</t>
  </si>
  <si>
    <t>Namibia</t>
  </si>
  <si>
    <t>Botswana</t>
  </si>
  <si>
    <t>Mongolia</t>
  </si>
  <si>
    <t>Jamaica</t>
  </si>
  <si>
    <t>Ivory Coast</t>
  </si>
  <si>
    <t>Uganda</t>
  </si>
  <si>
    <t>Maldives</t>
  </si>
  <si>
    <t>Senegal</t>
  </si>
  <si>
    <t>Madagascar</t>
  </si>
  <si>
    <t>Zimbabwe</t>
  </si>
  <si>
    <t>Sudan</t>
  </si>
  <si>
    <t>Malawi</t>
  </si>
  <si>
    <t>DRC</t>
  </si>
  <si>
    <t>Malta</t>
  </si>
  <si>
    <t>Australia</t>
  </si>
  <si>
    <t>Angola</t>
  </si>
  <si>
    <t>Cabo Verde</t>
  </si>
  <si>
    <t>Rwanda</t>
  </si>
  <si>
    <t>Gabon</t>
  </si>
  <si>
    <t>Syria</t>
  </si>
  <si>
    <t>Guinea</t>
  </si>
  <si>
    <t>Réunion</t>
  </si>
  <si>
    <t>French Guiana</t>
  </si>
  <si>
    <t>Cambodia</t>
  </si>
  <si>
    <t>Mayotte</t>
  </si>
  <si>
    <t>French Polynesia</t>
  </si>
  <si>
    <t>Mauritania</t>
  </si>
  <si>
    <t>Eswatini</t>
  </si>
  <si>
    <t>Guadeloupe</t>
  </si>
  <si>
    <t>Guyana</t>
  </si>
  <si>
    <t>Trinidad and Tobago</t>
  </si>
  <si>
    <t>Somalia</t>
  </si>
  <si>
    <t>Mali</t>
  </si>
  <si>
    <t>Andorra</t>
  </si>
  <si>
    <t>Burkina Faso</t>
  </si>
  <si>
    <t>Tajikistan</t>
  </si>
  <si>
    <t>Haiti</t>
  </si>
  <si>
    <t>Papua New Guinea</t>
  </si>
  <si>
    <t>Togo</t>
  </si>
  <si>
    <t>Belize</t>
  </si>
  <si>
    <t>Curaçao</t>
  </si>
  <si>
    <t>Hong Kong</t>
  </si>
  <si>
    <t>Martinique</t>
  </si>
  <si>
    <t>Suriname</t>
  </si>
  <si>
    <t>Djibouti</t>
  </si>
  <si>
    <t>Congo</t>
  </si>
  <si>
    <t>Bahamas</t>
  </si>
  <si>
    <t>Aruba</t>
  </si>
  <si>
    <t>Lesotho</t>
  </si>
  <si>
    <t>South Sudan</t>
  </si>
  <si>
    <t>Seychelles</t>
  </si>
  <si>
    <t>Benin</t>
  </si>
  <si>
    <t>Equatorial Guinea</t>
  </si>
  <si>
    <t>Nicaragua</t>
  </si>
  <si>
    <t>CAR</t>
  </si>
  <si>
    <t>Iceland</t>
  </si>
  <si>
    <t>Yemen</t>
  </si>
  <si>
    <t>Gambia</t>
  </si>
  <si>
    <t>Niger</t>
  </si>
  <si>
    <t>San Marino</t>
  </si>
  <si>
    <t>Chad</t>
  </si>
  <si>
    <t>Saint Lucia</t>
  </si>
  <si>
    <t>Gibraltar</t>
  </si>
  <si>
    <t>Burundi</t>
  </si>
  <si>
    <t>Sierra Leone</t>
  </si>
  <si>
    <t>Channel Islands</t>
  </si>
  <si>
    <t>Barbados</t>
  </si>
  <si>
    <t>Timor-Leste</t>
  </si>
  <si>
    <t>Comoros</t>
  </si>
  <si>
    <t>Eritrea</t>
  </si>
  <si>
    <t>Guinea-Bissau</t>
  </si>
  <si>
    <t>Vietnam</t>
  </si>
  <si>
    <t>Liechtenstein</t>
  </si>
  <si>
    <t>New Zealand</t>
  </si>
  <si>
    <t>Monaco</t>
  </si>
  <si>
    <t>Bermuda</t>
  </si>
  <si>
    <t>Turks and Caicos</t>
  </si>
  <si>
    <t>Sao Tome and Principe</t>
  </si>
  <si>
    <t>Sint Maarten</t>
  </si>
  <si>
    <t>Liberia</t>
  </si>
  <si>
    <t>St. Vincent &amp; The Grenadines</t>
  </si>
  <si>
    <t>Saint Martin</t>
  </si>
  <si>
    <t>Isle of Man</t>
  </si>
  <si>
    <t>Caribbean Netherlands</t>
  </si>
  <si>
    <t>Laos</t>
  </si>
  <si>
    <t>Mauritius</t>
  </si>
  <si>
    <t>Bhutan</t>
  </si>
  <si>
    <t>Taiwan</t>
  </si>
  <si>
    <t>Antigua and Barbuda</t>
  </si>
  <si>
    <t>St. Barth</t>
  </si>
  <si>
    <t>Diamond Princess</t>
  </si>
  <si>
    <t>Faeroe Islands</t>
  </si>
  <si>
    <t>Cayman Islands</t>
  </si>
  <si>
    <t>Tanzania</t>
  </si>
  <si>
    <t>Wallis and Futuna</t>
  </si>
  <si>
    <t>Brunei</t>
  </si>
  <si>
    <t>British Virgin Islands</t>
  </si>
  <si>
    <t>Dominica</t>
  </si>
  <si>
    <t>Fiji</t>
  </si>
  <si>
    <t>Grenada</t>
  </si>
  <si>
    <t>New Caledonia</t>
  </si>
  <si>
    <t>Anguilla</t>
  </si>
  <si>
    <t>Falkland Islands</t>
  </si>
  <si>
    <t>Macao</t>
  </si>
  <si>
    <t>Saint Kitts and Nevis</t>
  </si>
  <si>
    <t>Greenland</t>
  </si>
  <si>
    <t>Vatican City</t>
  </si>
  <si>
    <t>Saint Pierre Miquelon</t>
  </si>
  <si>
    <t>Montserrat</t>
  </si>
  <si>
    <t>Solomon Islands</t>
  </si>
  <si>
    <t>Western Sahara</t>
  </si>
  <si>
    <t>MS Zaandam</t>
  </si>
  <si>
    <t>Vanuatu</t>
  </si>
  <si>
    <t>Marshall Islands</t>
  </si>
  <si>
    <t>Samoa</t>
  </si>
  <si>
    <t>Saint Helena</t>
  </si>
  <si>
    <t>Micronesia</t>
  </si>
  <si>
    <t>North America Total:</t>
  </si>
  <si>
    <t>Asia Total:</t>
  </si>
  <si>
    <t>South America Total:</t>
  </si>
  <si>
    <t>Europe Total:</t>
  </si>
  <si>
    <t>Africa Total:</t>
  </si>
  <si>
    <t>Oceania Total:</t>
  </si>
  <si>
    <t>Total in Other Areas:</t>
  </si>
  <si>
    <t>Total Worldwide:</t>
  </si>
  <si>
    <t>World</t>
  </si>
  <si>
    <t>Europe</t>
  </si>
  <si>
    <t>Asia</t>
  </si>
  <si>
    <t>North America</t>
  </si>
  <si>
    <t>South America</t>
  </si>
  <si>
    <t>Africa</t>
  </si>
  <si>
    <t>Oceania</t>
  </si>
  <si>
    <t>Country/Entity Name</t>
  </si>
  <si>
    <t>Rank Number</t>
  </si>
  <si>
    <t>survival rate</t>
  </si>
  <si>
    <t>South Korea</t>
  </si>
  <si>
    <t>Survival Rate:</t>
  </si>
  <si>
    <t>Total:</t>
  </si>
  <si>
    <t>St. Vincent Grenadines</t>
  </si>
  <si>
    <t>Country,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</si>
</sst>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164" fontId="0" fillId="0" borderId="0" xfId="1" applyNumberFormat="1" applyFont="1"/>
    <xf numFmtId="164" fontId="2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3" fillId="0" borderId="1" xfId="0" applyFont="1" applyBorder="1"/>
    <xf numFmtId="0" fontId="4" fillId="0" borderId="2" xfId="0" applyFont="1" applyBorder="1" applyAlignment="1" applyProtection="1">
      <alignment horizontal="center"/>
      <protection locked="0"/>
    </xf>
    <xf numFmtId="0" fontId="3" fillId="0" borderId="3" xfId="0" applyFont="1" applyBorder="1"/>
    <xf numFmtId="0" fontId="5" fillId="0" borderId="4" xfId="0" applyFont="1" applyBorder="1" applyAlignment="1">
      <alignment horizontal="center"/>
    </xf>
    <xf numFmtId="164" fontId="6" fillId="0" borderId="4" xfId="1" applyNumberFormat="1" applyFont="1" applyBorder="1" applyAlignment="1">
      <alignment horizontal="right"/>
    </xf>
    <xf numFmtId="164" fontId="3" fillId="0" borderId="4" xfId="1" applyNumberFormat="1" applyFont="1" applyBorder="1" applyAlignment="1">
      <alignment horizontal="right"/>
    </xf>
    <xf numFmtId="164" fontId="7" fillId="0" borderId="4" xfId="1" applyNumberFormat="1" applyFont="1" applyBorder="1" applyAlignment="1">
      <alignment horizontal="right"/>
    </xf>
    <xf numFmtId="164" fontId="8" fillId="0" borderId="4" xfId="1" applyNumberFormat="1" applyFont="1" applyBorder="1" applyAlignment="1">
      <alignment horizontal="right"/>
    </xf>
    <xf numFmtId="0" fontId="3" fillId="0" borderId="5" xfId="0" applyFont="1" applyBorder="1"/>
    <xf numFmtId="164" fontId="3" fillId="0" borderId="6" xfId="1" applyNumberFormat="1" applyFont="1" applyBorder="1" applyAlignment="1">
      <alignment horizontal="right"/>
    </xf>
    <xf numFmtId="0" fontId="5" fillId="0" borderId="4" xfId="0" applyFont="1" applyBorder="1" applyAlignment="1" applyProtection="1">
      <alignment horizontal="center"/>
      <protection locked="0"/>
    </xf>
    <xf numFmtId="164" fontId="6" fillId="0" borderId="4" xfId="1" applyNumberFormat="1" applyFont="1" applyBorder="1" applyAlignment="1" applyProtection="1">
      <alignment horizontal="right"/>
      <protection locked="0"/>
    </xf>
    <xf numFmtId="164" fontId="3" fillId="0" borderId="4" xfId="1" applyNumberFormat="1" applyFont="1" applyBorder="1" applyAlignment="1" applyProtection="1">
      <alignment horizontal="right"/>
      <protection locked="0"/>
    </xf>
    <xf numFmtId="164" fontId="7" fillId="0" borderId="4" xfId="1" applyNumberFormat="1" applyFont="1" applyBorder="1" applyAlignment="1" applyProtection="1">
      <alignment horizontal="right"/>
      <protection locked="0"/>
    </xf>
    <xf numFmtId="164" fontId="8" fillId="0" borderId="4" xfId="1" applyNumberFormat="1" applyFont="1" applyBorder="1" applyAlignment="1" applyProtection="1">
      <alignment horizontal="right"/>
      <protection locked="0"/>
    </xf>
    <xf numFmtId="164" fontId="3" fillId="0" borderId="6" xfId="1" applyNumberFormat="1" applyFont="1" applyBorder="1" applyAlignment="1" applyProtection="1">
      <alignment horizontal="right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0" xfId="0" applyNumberFormat="1"/>
    <xf numFmtId="0" fontId="4" fillId="0" borderId="4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</xf>
    <xf numFmtId="164" fontId="6" fillId="0" borderId="4" xfId="1" applyNumberFormat="1" applyFont="1" applyBorder="1" applyAlignment="1" applyProtection="1">
      <alignment horizontal="right"/>
    </xf>
    <xf numFmtId="164" fontId="3" fillId="0" borderId="4" xfId="1" applyNumberFormat="1" applyFont="1" applyBorder="1" applyAlignment="1" applyProtection="1">
      <alignment horizontal="right"/>
    </xf>
    <xf numFmtId="164" fontId="7" fillId="0" borderId="4" xfId="1" applyNumberFormat="1" applyFont="1" applyBorder="1" applyAlignment="1" applyProtection="1">
      <alignment horizontal="right"/>
    </xf>
    <xf numFmtId="164" fontId="8" fillId="0" borderId="4" xfId="1" applyNumberFormat="1" applyFont="1" applyBorder="1" applyAlignment="1" applyProtection="1">
      <alignment horizontal="right"/>
    </xf>
    <xf numFmtId="164" fontId="3" fillId="0" borderId="6" xfId="1" applyNumberFormat="1" applyFont="1" applyBorder="1" applyAlignment="1" applyProtection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22" fmlaLink="$B$2" fmlaRange="'COVID-19 Stats 5-14-2021'!B$2:N$223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0</xdr:row>
      <xdr:rowOff>171450</xdr:rowOff>
    </xdr:from>
    <xdr:to>
      <xdr:col>6</xdr:col>
      <xdr:colOff>107950</xdr:colOff>
      <xdr:row>2</xdr:row>
      <xdr:rowOff>215900</xdr:rowOff>
    </xdr:to>
    <xdr:sp macro="[0]!GetN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8950" y="171450"/>
          <a:ext cx="1301750" cy="527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Get</a:t>
          </a:r>
          <a:r>
            <a:rPr lang="en-US" sz="1100" baseline="0"/>
            <a:t> New Data from WWW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3</xdr:col>
          <xdr:colOff>238125</xdr:colOff>
          <xdr:row>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son/Downloads/Power%20Query%20Practice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ent Searches"/>
      <sheetName val="Patent Search Stats"/>
      <sheetName val="COVID-19 Stats 5-13-2021"/>
      <sheetName val="CountryLookup"/>
      <sheetName val="CountryLookup (2)"/>
      <sheetName val="COVID Pivot"/>
      <sheetName val="COVID-19 Stats 5-14-2021"/>
    </sheetNames>
    <sheetDataSet>
      <sheetData sheetId="0"/>
      <sheetData sheetId="1"/>
      <sheetData sheetId="2">
        <row r="1">
          <cell r="A1" t="str">
            <v>#</v>
          </cell>
          <cell r="B1" t="str">
            <v>Country/Entity</v>
          </cell>
          <cell r="C1" t="str">
            <v>Total Cases</v>
          </cell>
          <cell r="D1" t="str">
            <v>New Cases</v>
          </cell>
          <cell r="E1" t="str">
            <v>Total Deaths</v>
          </cell>
          <cell r="F1" t="str">
            <v>New Deaths</v>
          </cell>
          <cell r="G1" t="str">
            <v>Total Recovered</v>
          </cell>
          <cell r="H1" t="str">
            <v>Active Cases</v>
          </cell>
          <cell r="I1" t="str">
            <v>Serious, Critical</v>
          </cell>
          <cell r="J1" t="str">
            <v>Tot Cases/ 1M pop</v>
          </cell>
          <cell r="K1" t="str">
            <v>Deaths/ 1M pop</v>
          </cell>
          <cell r="L1" t="str">
            <v>Total Tests</v>
          </cell>
          <cell r="M1" t="str">
            <v>Tests/ 
1M pop</v>
          </cell>
          <cell r="N1" t="str">
            <v>Population</v>
          </cell>
        </row>
        <row r="2">
          <cell r="A2">
            <v>1</v>
          </cell>
          <cell r="B2" t="str">
            <v>USA</v>
          </cell>
          <cell r="C2">
            <v>33626097</v>
          </cell>
          <cell r="E2">
            <v>598540</v>
          </cell>
          <cell r="G2">
            <v>26667199</v>
          </cell>
          <cell r="H2">
            <v>6360358</v>
          </cell>
          <cell r="I2">
            <v>8611</v>
          </cell>
          <cell r="J2">
            <v>101076</v>
          </cell>
          <cell r="K2">
            <v>1799</v>
          </cell>
          <cell r="L2">
            <v>462795300</v>
          </cell>
          <cell r="M2">
            <v>1391111</v>
          </cell>
          <cell r="N2">
            <v>332680263</v>
          </cell>
        </row>
        <row r="3">
          <cell r="A3">
            <v>2</v>
          </cell>
          <cell r="B3" t="str">
            <v>India</v>
          </cell>
          <cell r="C3">
            <v>24046120</v>
          </cell>
          <cell r="E3">
            <v>262350</v>
          </cell>
          <cell r="G3">
            <v>20073367</v>
          </cell>
          <cell r="H3">
            <v>3710403</v>
          </cell>
          <cell r="I3">
            <v>8944</v>
          </cell>
          <cell r="J3">
            <v>17278</v>
          </cell>
          <cell r="K3">
            <v>189</v>
          </cell>
          <cell r="L3">
            <v>309448585</v>
          </cell>
          <cell r="M3">
            <v>222350</v>
          </cell>
          <cell r="N3">
            <v>1391716282</v>
          </cell>
        </row>
        <row r="4">
          <cell r="A4">
            <v>3</v>
          </cell>
          <cell r="B4" t="str">
            <v>Brazil</v>
          </cell>
          <cell r="C4">
            <v>15436827</v>
          </cell>
          <cell r="E4">
            <v>430596</v>
          </cell>
          <cell r="G4">
            <v>13979329</v>
          </cell>
          <cell r="H4">
            <v>1026902</v>
          </cell>
          <cell r="I4">
            <v>8318</v>
          </cell>
          <cell r="J4">
            <v>72180</v>
          </cell>
          <cell r="K4">
            <v>2013</v>
          </cell>
          <cell r="L4">
            <v>46970130</v>
          </cell>
          <cell r="M4">
            <v>219625</v>
          </cell>
          <cell r="N4">
            <v>213864852</v>
          </cell>
        </row>
        <row r="5">
          <cell r="A5">
            <v>4</v>
          </cell>
          <cell r="B5" t="str">
            <v>France</v>
          </cell>
          <cell r="C5">
            <v>5841129</v>
          </cell>
          <cell r="E5">
            <v>107250</v>
          </cell>
          <cell r="G5">
            <v>4999079</v>
          </cell>
          <cell r="H5">
            <v>734800</v>
          </cell>
          <cell r="I5">
            <v>4442</v>
          </cell>
          <cell r="J5">
            <v>89316</v>
          </cell>
          <cell r="K5">
            <v>1640</v>
          </cell>
          <cell r="L5">
            <v>80214807</v>
          </cell>
          <cell r="M5">
            <v>1226555</v>
          </cell>
          <cell r="N5">
            <v>65398484</v>
          </cell>
        </row>
        <row r="6">
          <cell r="A6">
            <v>5</v>
          </cell>
          <cell r="B6" t="str">
            <v>Turkey</v>
          </cell>
          <cell r="C6">
            <v>5083996</v>
          </cell>
          <cell r="E6">
            <v>44059</v>
          </cell>
          <cell r="G6">
            <v>4856763</v>
          </cell>
          <cell r="H6">
            <v>183174</v>
          </cell>
          <cell r="I6">
            <v>2765</v>
          </cell>
          <cell r="J6">
            <v>59726</v>
          </cell>
          <cell r="K6">
            <v>518</v>
          </cell>
          <cell r="L6">
            <v>50259943</v>
          </cell>
          <cell r="M6">
            <v>590444</v>
          </cell>
          <cell r="N6">
            <v>85122228</v>
          </cell>
        </row>
        <row r="7">
          <cell r="A7">
            <v>6</v>
          </cell>
          <cell r="B7" t="str">
            <v>Russia</v>
          </cell>
          <cell r="C7">
            <v>4913439</v>
          </cell>
          <cell r="E7">
            <v>114723</v>
          </cell>
          <cell r="G7">
            <v>4527878</v>
          </cell>
          <cell r="H7">
            <v>270838</v>
          </cell>
          <cell r="I7">
            <v>2300</v>
          </cell>
          <cell r="J7">
            <v>33656</v>
          </cell>
          <cell r="K7">
            <v>786</v>
          </cell>
          <cell r="L7">
            <v>132400000</v>
          </cell>
          <cell r="M7">
            <v>906920</v>
          </cell>
          <cell r="N7">
            <v>145988633</v>
          </cell>
        </row>
        <row r="8">
          <cell r="A8">
            <v>7</v>
          </cell>
          <cell r="B8" t="str">
            <v>UK</v>
          </cell>
          <cell r="C8">
            <v>4444631</v>
          </cell>
          <cell r="E8">
            <v>127651</v>
          </cell>
          <cell r="G8">
            <v>4258298</v>
          </cell>
          <cell r="H8">
            <v>58682</v>
          </cell>
          <cell r="I8">
            <v>136</v>
          </cell>
          <cell r="J8">
            <v>65176</v>
          </cell>
          <cell r="K8">
            <v>1872</v>
          </cell>
          <cell r="L8">
            <v>169007195</v>
          </cell>
          <cell r="M8">
            <v>2478319</v>
          </cell>
          <cell r="N8">
            <v>68194286</v>
          </cell>
        </row>
        <row r="9">
          <cell r="A9">
            <v>8</v>
          </cell>
          <cell r="B9" t="str">
            <v>Italy</v>
          </cell>
          <cell r="C9">
            <v>4139160</v>
          </cell>
          <cell r="E9">
            <v>123745</v>
          </cell>
          <cell r="G9">
            <v>3669407</v>
          </cell>
          <cell r="H9">
            <v>346008</v>
          </cell>
          <cell r="I9">
            <v>1893</v>
          </cell>
          <cell r="J9">
            <v>68546</v>
          </cell>
          <cell r="K9">
            <v>2049</v>
          </cell>
          <cell r="L9">
            <v>62107222</v>
          </cell>
          <cell r="M9">
            <v>1028524</v>
          </cell>
          <cell r="N9">
            <v>60384820</v>
          </cell>
        </row>
        <row r="10">
          <cell r="A10">
            <v>9</v>
          </cell>
          <cell r="B10" t="str">
            <v>Spain</v>
          </cell>
          <cell r="C10">
            <v>3598452</v>
          </cell>
          <cell r="E10">
            <v>79281</v>
          </cell>
          <cell r="G10">
            <v>3297340</v>
          </cell>
          <cell r="H10">
            <v>221831</v>
          </cell>
          <cell r="I10">
            <v>1931</v>
          </cell>
          <cell r="J10">
            <v>76939</v>
          </cell>
          <cell r="K10">
            <v>1695</v>
          </cell>
          <cell r="L10">
            <v>47213067</v>
          </cell>
          <cell r="M10">
            <v>1009463</v>
          </cell>
          <cell r="N10">
            <v>46770455</v>
          </cell>
        </row>
        <row r="11">
          <cell r="A11">
            <v>10</v>
          </cell>
          <cell r="B11" t="str">
            <v>Germany</v>
          </cell>
          <cell r="C11">
            <v>3575644</v>
          </cell>
          <cell r="E11">
            <v>86276</v>
          </cell>
          <cell r="G11">
            <v>3240300</v>
          </cell>
          <cell r="H11">
            <v>249068</v>
          </cell>
          <cell r="I11">
            <v>5049</v>
          </cell>
          <cell r="J11">
            <v>42559</v>
          </cell>
          <cell r="K11">
            <v>1027</v>
          </cell>
          <cell r="L11">
            <v>58093759</v>
          </cell>
          <cell r="M11">
            <v>691463</v>
          </cell>
          <cell r="N11">
            <v>84015677</v>
          </cell>
        </row>
        <row r="12">
          <cell r="A12">
            <v>11</v>
          </cell>
          <cell r="B12" t="str">
            <v>Argentina</v>
          </cell>
          <cell r="C12">
            <v>3242103</v>
          </cell>
          <cell r="E12">
            <v>69254</v>
          </cell>
          <cell r="G12">
            <v>2891435</v>
          </cell>
          <cell r="H12">
            <v>281414</v>
          </cell>
          <cell r="I12">
            <v>5420</v>
          </cell>
          <cell r="J12">
            <v>71171</v>
          </cell>
          <cell r="K12">
            <v>1520</v>
          </cell>
          <cell r="L12">
            <v>12142248</v>
          </cell>
          <cell r="M12">
            <v>266547</v>
          </cell>
          <cell r="N12">
            <v>45553852</v>
          </cell>
        </row>
        <row r="13">
          <cell r="A13">
            <v>12</v>
          </cell>
          <cell r="B13" t="str">
            <v>Colombia</v>
          </cell>
          <cell r="C13">
            <v>3067879</v>
          </cell>
          <cell r="E13">
            <v>79760</v>
          </cell>
          <cell r="G13">
            <v>2874656</v>
          </cell>
          <cell r="H13">
            <v>113463</v>
          </cell>
          <cell r="I13">
            <v>6582</v>
          </cell>
          <cell r="J13">
            <v>59743</v>
          </cell>
          <cell r="K13">
            <v>1553</v>
          </cell>
          <cell r="L13">
            <v>15711926</v>
          </cell>
          <cell r="M13">
            <v>305972</v>
          </cell>
          <cell r="N13">
            <v>51350926</v>
          </cell>
        </row>
        <row r="14">
          <cell r="A14">
            <v>13</v>
          </cell>
          <cell r="B14" t="str">
            <v>Poland</v>
          </cell>
          <cell r="C14">
            <v>2845762</v>
          </cell>
          <cell r="E14">
            <v>71021</v>
          </cell>
          <cell r="G14">
            <v>2584751</v>
          </cell>
          <cell r="H14">
            <v>189990</v>
          </cell>
          <cell r="I14">
            <v>1772</v>
          </cell>
          <cell r="J14">
            <v>75263</v>
          </cell>
          <cell r="K14">
            <v>1878</v>
          </cell>
          <cell r="L14">
            <v>15017415</v>
          </cell>
          <cell r="M14">
            <v>397174</v>
          </cell>
          <cell r="N14">
            <v>37810712</v>
          </cell>
        </row>
        <row r="15">
          <cell r="A15">
            <v>14</v>
          </cell>
          <cell r="B15" t="str">
            <v>Iran</v>
          </cell>
          <cell r="C15">
            <v>2722007</v>
          </cell>
          <cell r="E15">
            <v>76231</v>
          </cell>
          <cell r="G15">
            <v>2179890</v>
          </cell>
          <cell r="H15">
            <v>465886</v>
          </cell>
          <cell r="I15">
            <v>5481</v>
          </cell>
          <cell r="J15">
            <v>32054</v>
          </cell>
          <cell r="K15">
            <v>898</v>
          </cell>
          <cell r="L15">
            <v>17616446</v>
          </cell>
          <cell r="M15">
            <v>207447</v>
          </cell>
          <cell r="N15">
            <v>84920057</v>
          </cell>
        </row>
        <row r="16">
          <cell r="A16">
            <v>15</v>
          </cell>
          <cell r="B16" t="str">
            <v>Mexico</v>
          </cell>
          <cell r="C16">
            <v>2375115</v>
          </cell>
          <cell r="D16">
            <v>3632</v>
          </cell>
          <cell r="E16">
            <v>219901</v>
          </cell>
          <cell r="F16">
            <v>311</v>
          </cell>
          <cell r="G16">
            <v>1895483</v>
          </cell>
          <cell r="H16">
            <v>259731</v>
          </cell>
          <cell r="I16">
            <v>4798</v>
          </cell>
          <cell r="J16">
            <v>18256</v>
          </cell>
          <cell r="K16">
            <v>1690</v>
          </cell>
          <cell r="L16">
            <v>6811363</v>
          </cell>
          <cell r="M16">
            <v>52354</v>
          </cell>
          <cell r="N16">
            <v>130101834</v>
          </cell>
        </row>
        <row r="17">
          <cell r="A17">
            <v>16</v>
          </cell>
          <cell r="B17" t="str">
            <v>Ukraine</v>
          </cell>
          <cell r="C17">
            <v>2135886</v>
          </cell>
          <cell r="E17">
            <v>47333</v>
          </cell>
          <cell r="G17">
            <v>1816643</v>
          </cell>
          <cell r="H17">
            <v>271910</v>
          </cell>
          <cell r="I17">
            <v>177</v>
          </cell>
          <cell r="J17">
            <v>49094</v>
          </cell>
          <cell r="K17">
            <v>1088</v>
          </cell>
          <cell r="L17">
            <v>9721036</v>
          </cell>
          <cell r="M17">
            <v>223442</v>
          </cell>
          <cell r="N17">
            <v>43505911</v>
          </cell>
        </row>
        <row r="18">
          <cell r="A18">
            <v>17</v>
          </cell>
          <cell r="B18" t="str">
            <v>Peru</v>
          </cell>
          <cell r="C18">
            <v>1873316</v>
          </cell>
          <cell r="E18">
            <v>65316</v>
          </cell>
          <cell r="G18">
            <v>1720665</v>
          </cell>
          <cell r="H18">
            <v>87335</v>
          </cell>
          <cell r="I18">
            <v>2681</v>
          </cell>
          <cell r="J18">
            <v>56141</v>
          </cell>
          <cell r="K18">
            <v>1957</v>
          </cell>
          <cell r="L18">
            <v>11901521</v>
          </cell>
          <cell r="M18">
            <v>356677</v>
          </cell>
          <cell r="N18">
            <v>33367789</v>
          </cell>
        </row>
        <row r="19">
          <cell r="A19">
            <v>18</v>
          </cell>
          <cell r="B19" t="str">
            <v>Indonesia</v>
          </cell>
          <cell r="C19">
            <v>1731652</v>
          </cell>
          <cell r="E19">
            <v>47716</v>
          </cell>
          <cell r="G19">
            <v>1589079</v>
          </cell>
          <cell r="H19">
            <v>94857</v>
          </cell>
          <cell r="J19">
            <v>6274</v>
          </cell>
          <cell r="K19">
            <v>173</v>
          </cell>
          <cell r="L19">
            <v>15410887</v>
          </cell>
          <cell r="M19">
            <v>55833</v>
          </cell>
          <cell r="N19">
            <v>276019737</v>
          </cell>
        </row>
        <row r="20">
          <cell r="A20">
            <v>19</v>
          </cell>
          <cell r="B20" t="str">
            <v>Czechia</v>
          </cell>
          <cell r="C20">
            <v>1649947</v>
          </cell>
          <cell r="E20">
            <v>29825</v>
          </cell>
          <cell r="G20">
            <v>1587457</v>
          </cell>
          <cell r="H20">
            <v>32665</v>
          </cell>
          <cell r="I20">
            <v>337</v>
          </cell>
          <cell r="J20">
            <v>153824</v>
          </cell>
          <cell r="K20">
            <v>2781</v>
          </cell>
          <cell r="L20">
            <v>20767772</v>
          </cell>
          <cell r="M20">
            <v>1936177</v>
          </cell>
          <cell r="N20">
            <v>10726173</v>
          </cell>
        </row>
        <row r="21">
          <cell r="A21">
            <v>20</v>
          </cell>
          <cell r="B21" t="str">
            <v>South Africa</v>
          </cell>
          <cell r="C21">
            <v>1605252</v>
          </cell>
          <cell r="E21">
            <v>55012</v>
          </cell>
          <cell r="G21">
            <v>1520878</v>
          </cell>
          <cell r="H21">
            <v>29362</v>
          </cell>
          <cell r="I21">
            <v>546</v>
          </cell>
          <cell r="J21">
            <v>26775</v>
          </cell>
          <cell r="K21">
            <v>918</v>
          </cell>
          <cell r="L21">
            <v>11010999</v>
          </cell>
          <cell r="M21">
            <v>183659</v>
          </cell>
          <cell r="N21">
            <v>59953584</v>
          </cell>
        </row>
        <row r="22">
          <cell r="A22">
            <v>21</v>
          </cell>
          <cell r="B22" t="str">
            <v>Netherlands</v>
          </cell>
          <cell r="C22">
            <v>1583767</v>
          </cell>
          <cell r="E22">
            <v>17413</v>
          </cell>
          <cell r="G22">
            <v>1346612</v>
          </cell>
          <cell r="H22">
            <v>219742</v>
          </cell>
          <cell r="I22">
            <v>716</v>
          </cell>
          <cell r="J22">
            <v>92253</v>
          </cell>
          <cell r="K22">
            <v>1014</v>
          </cell>
          <cell r="L22">
            <v>13171698</v>
          </cell>
          <cell r="M22">
            <v>767238</v>
          </cell>
          <cell r="N22">
            <v>17167676</v>
          </cell>
        </row>
        <row r="23">
          <cell r="A23">
            <v>22</v>
          </cell>
          <cell r="B23" t="str">
            <v>Canada</v>
          </cell>
          <cell r="C23">
            <v>1312414</v>
          </cell>
          <cell r="E23">
            <v>24825</v>
          </cell>
          <cell r="G23">
            <v>1212114</v>
          </cell>
          <cell r="H23">
            <v>75475</v>
          </cell>
          <cell r="I23">
            <v>1327</v>
          </cell>
          <cell r="J23">
            <v>34512</v>
          </cell>
          <cell r="K23">
            <v>653</v>
          </cell>
          <cell r="L23">
            <v>33130218</v>
          </cell>
          <cell r="M23">
            <v>871208</v>
          </cell>
          <cell r="N23">
            <v>38027907</v>
          </cell>
        </row>
        <row r="24">
          <cell r="A24">
            <v>23</v>
          </cell>
          <cell r="B24" t="str">
            <v>Chile</v>
          </cell>
          <cell r="C24">
            <v>1266601</v>
          </cell>
          <cell r="E24">
            <v>27520</v>
          </cell>
          <cell r="G24">
            <v>1204176</v>
          </cell>
          <cell r="H24">
            <v>34905</v>
          </cell>
          <cell r="I24">
            <v>2976</v>
          </cell>
          <cell r="J24">
            <v>65770</v>
          </cell>
          <cell r="K24">
            <v>1429</v>
          </cell>
          <cell r="L24">
            <v>13750280</v>
          </cell>
          <cell r="M24">
            <v>714007</v>
          </cell>
          <cell r="N24">
            <v>19257906</v>
          </cell>
        </row>
        <row r="25">
          <cell r="A25">
            <v>24</v>
          </cell>
          <cell r="B25" t="str">
            <v>Iraq</v>
          </cell>
          <cell r="C25">
            <v>1132092</v>
          </cell>
          <cell r="E25">
            <v>15883</v>
          </cell>
          <cell r="G25">
            <v>1028627</v>
          </cell>
          <cell r="H25">
            <v>87582</v>
          </cell>
          <cell r="I25">
            <v>471</v>
          </cell>
          <cell r="J25">
            <v>27613</v>
          </cell>
          <cell r="K25">
            <v>387</v>
          </cell>
          <cell r="L25">
            <v>9817969</v>
          </cell>
          <cell r="M25">
            <v>239473</v>
          </cell>
          <cell r="N25">
            <v>40998203</v>
          </cell>
        </row>
        <row r="26">
          <cell r="A26">
            <v>25</v>
          </cell>
          <cell r="B26" t="str">
            <v>Philippines</v>
          </cell>
          <cell r="C26">
            <v>1124724</v>
          </cell>
          <cell r="E26">
            <v>18821</v>
          </cell>
          <cell r="G26">
            <v>1050643</v>
          </cell>
          <cell r="H26">
            <v>55260</v>
          </cell>
          <cell r="I26">
            <v>750</v>
          </cell>
          <cell r="J26">
            <v>10147</v>
          </cell>
          <cell r="K26">
            <v>170</v>
          </cell>
          <cell r="L26">
            <v>12467422</v>
          </cell>
          <cell r="M26">
            <v>112483</v>
          </cell>
          <cell r="N26">
            <v>110838623</v>
          </cell>
        </row>
        <row r="27">
          <cell r="A27">
            <v>26</v>
          </cell>
          <cell r="B27" t="str">
            <v>Romania</v>
          </cell>
          <cell r="C27">
            <v>1069770</v>
          </cell>
          <cell r="E27">
            <v>29308</v>
          </cell>
          <cell r="G27">
            <v>1020194</v>
          </cell>
          <cell r="H27">
            <v>20268</v>
          </cell>
          <cell r="I27">
            <v>829</v>
          </cell>
          <cell r="J27">
            <v>55932</v>
          </cell>
          <cell r="K27">
            <v>1532</v>
          </cell>
          <cell r="L27">
            <v>8592149</v>
          </cell>
          <cell r="M27">
            <v>449230</v>
          </cell>
          <cell r="N27">
            <v>19126382</v>
          </cell>
        </row>
        <row r="28">
          <cell r="A28">
            <v>27</v>
          </cell>
          <cell r="B28" t="str">
            <v>Sweden</v>
          </cell>
          <cell r="C28">
            <v>1027934</v>
          </cell>
          <cell r="E28">
            <v>14267</v>
          </cell>
          <cell r="G28">
            <v>871072</v>
          </cell>
          <cell r="H28">
            <v>142595</v>
          </cell>
          <cell r="I28">
            <v>346</v>
          </cell>
          <cell r="J28">
            <v>101238</v>
          </cell>
          <cell r="K28">
            <v>1405</v>
          </cell>
          <cell r="L28">
            <v>8798383</v>
          </cell>
          <cell r="M28">
            <v>866521</v>
          </cell>
          <cell r="N28">
            <v>10153687</v>
          </cell>
        </row>
        <row r="29">
          <cell r="A29">
            <v>28</v>
          </cell>
          <cell r="B29" t="str">
            <v>Belgium</v>
          </cell>
          <cell r="C29">
            <v>1023583</v>
          </cell>
          <cell r="E29">
            <v>24630</v>
          </cell>
          <cell r="G29">
            <v>897904</v>
          </cell>
          <cell r="H29">
            <v>101049</v>
          </cell>
          <cell r="I29">
            <v>657</v>
          </cell>
          <cell r="J29">
            <v>87988</v>
          </cell>
          <cell r="K29">
            <v>2117</v>
          </cell>
          <cell r="L29">
            <v>13125499</v>
          </cell>
          <cell r="M29">
            <v>1128276</v>
          </cell>
          <cell r="N29">
            <v>11633238</v>
          </cell>
        </row>
        <row r="30">
          <cell r="A30">
            <v>29</v>
          </cell>
          <cell r="B30" t="str">
            <v>Pakistan</v>
          </cell>
          <cell r="C30">
            <v>870703</v>
          </cell>
          <cell r="E30">
            <v>19336</v>
          </cell>
          <cell r="G30">
            <v>776315</v>
          </cell>
          <cell r="H30">
            <v>75052</v>
          </cell>
          <cell r="I30">
            <v>4567</v>
          </cell>
          <cell r="J30">
            <v>3877</v>
          </cell>
          <cell r="K30">
            <v>86</v>
          </cell>
          <cell r="L30">
            <v>12349976</v>
          </cell>
          <cell r="M30">
            <v>54991</v>
          </cell>
          <cell r="N30">
            <v>224582574</v>
          </cell>
        </row>
        <row r="31">
          <cell r="A31">
            <v>30</v>
          </cell>
          <cell r="B31" t="str">
            <v>Portugal</v>
          </cell>
          <cell r="C31">
            <v>840929</v>
          </cell>
          <cell r="E31">
            <v>16999</v>
          </cell>
          <cell r="G31">
            <v>801961</v>
          </cell>
          <cell r="H31">
            <v>21969</v>
          </cell>
          <cell r="I31">
            <v>70</v>
          </cell>
          <cell r="J31">
            <v>82680</v>
          </cell>
          <cell r="K31">
            <v>1671</v>
          </cell>
          <cell r="L31">
            <v>11052822</v>
          </cell>
          <cell r="M31">
            <v>1086705</v>
          </cell>
          <cell r="N31">
            <v>10170947</v>
          </cell>
        </row>
        <row r="32">
          <cell r="A32">
            <v>31</v>
          </cell>
          <cell r="B32" t="str">
            <v>Israel</v>
          </cell>
          <cell r="C32">
            <v>839059</v>
          </cell>
          <cell r="E32">
            <v>6379</v>
          </cell>
          <cell r="G32">
            <v>831888</v>
          </cell>
          <cell r="H32">
            <v>792</v>
          </cell>
          <cell r="I32">
            <v>67</v>
          </cell>
          <cell r="J32">
            <v>91226</v>
          </cell>
          <cell r="K32">
            <v>694</v>
          </cell>
          <cell r="L32">
            <v>14466175</v>
          </cell>
          <cell r="M32">
            <v>1572822</v>
          </cell>
          <cell r="N32">
            <v>9197590</v>
          </cell>
        </row>
        <row r="33">
          <cell r="A33">
            <v>32</v>
          </cell>
          <cell r="B33" t="str">
            <v>Hungary</v>
          </cell>
          <cell r="C33">
            <v>795200</v>
          </cell>
          <cell r="E33">
            <v>28970</v>
          </cell>
          <cell r="G33">
            <v>600461</v>
          </cell>
          <cell r="H33">
            <v>165769</v>
          </cell>
          <cell r="I33">
            <v>354</v>
          </cell>
          <cell r="J33">
            <v>82497</v>
          </cell>
          <cell r="K33">
            <v>3005</v>
          </cell>
          <cell r="L33">
            <v>5588435</v>
          </cell>
          <cell r="M33">
            <v>579767</v>
          </cell>
          <cell r="N33">
            <v>9639099</v>
          </cell>
        </row>
        <row r="34">
          <cell r="A34">
            <v>33</v>
          </cell>
          <cell r="B34" t="str">
            <v>Bangladesh</v>
          </cell>
          <cell r="C34">
            <v>778687</v>
          </cell>
          <cell r="E34">
            <v>12076</v>
          </cell>
          <cell r="G34">
            <v>719619</v>
          </cell>
          <cell r="H34">
            <v>46992</v>
          </cell>
          <cell r="I34">
            <v>1149</v>
          </cell>
          <cell r="J34">
            <v>4688</v>
          </cell>
          <cell r="K34">
            <v>73</v>
          </cell>
          <cell r="L34">
            <v>5690693</v>
          </cell>
          <cell r="M34">
            <v>34259</v>
          </cell>
          <cell r="N34">
            <v>166105663</v>
          </cell>
        </row>
        <row r="35">
          <cell r="A35">
            <v>34</v>
          </cell>
          <cell r="B35" t="str">
            <v>Jordan</v>
          </cell>
          <cell r="C35">
            <v>722754</v>
          </cell>
          <cell r="E35">
            <v>9203</v>
          </cell>
          <cell r="G35">
            <v>710410</v>
          </cell>
          <cell r="H35">
            <v>3141</v>
          </cell>
          <cell r="I35">
            <v>729</v>
          </cell>
          <cell r="J35">
            <v>70235</v>
          </cell>
          <cell r="K35">
            <v>894</v>
          </cell>
          <cell r="L35">
            <v>6903678</v>
          </cell>
          <cell r="M35">
            <v>670874</v>
          </cell>
          <cell r="N35">
            <v>10290568</v>
          </cell>
        </row>
        <row r="36">
          <cell r="A36">
            <v>35</v>
          </cell>
          <cell r="B36" t="str">
            <v>Serbia</v>
          </cell>
          <cell r="C36">
            <v>704398</v>
          </cell>
          <cell r="E36">
            <v>6629</v>
          </cell>
          <cell r="G36">
            <v>671361</v>
          </cell>
          <cell r="H36">
            <v>26408</v>
          </cell>
          <cell r="I36">
            <v>98</v>
          </cell>
          <cell r="J36">
            <v>80901</v>
          </cell>
          <cell r="K36">
            <v>761</v>
          </cell>
          <cell r="L36">
            <v>3977053</v>
          </cell>
          <cell r="M36">
            <v>456772</v>
          </cell>
          <cell r="N36">
            <v>8706867</v>
          </cell>
        </row>
        <row r="37">
          <cell r="A37">
            <v>36</v>
          </cell>
          <cell r="B37" t="str">
            <v>Switzerland</v>
          </cell>
          <cell r="C37">
            <v>677210</v>
          </cell>
          <cell r="E37">
            <v>10728</v>
          </cell>
          <cell r="G37">
            <v>612471</v>
          </cell>
          <cell r="H37">
            <v>54011</v>
          </cell>
          <cell r="I37">
            <v>190</v>
          </cell>
          <cell r="J37">
            <v>77757</v>
          </cell>
          <cell r="K37">
            <v>1232</v>
          </cell>
          <cell r="L37">
            <v>7216520</v>
          </cell>
          <cell r="M37">
            <v>828599</v>
          </cell>
          <cell r="N37">
            <v>8709301</v>
          </cell>
        </row>
        <row r="38">
          <cell r="A38">
            <v>37</v>
          </cell>
          <cell r="B38" t="str">
            <v>Japan</v>
          </cell>
          <cell r="C38">
            <v>658629</v>
          </cell>
          <cell r="E38">
            <v>11165</v>
          </cell>
          <cell r="G38">
            <v>573913</v>
          </cell>
          <cell r="H38">
            <v>73551</v>
          </cell>
          <cell r="I38">
            <v>1214</v>
          </cell>
          <cell r="J38">
            <v>5221</v>
          </cell>
          <cell r="K38">
            <v>89</v>
          </cell>
          <cell r="L38">
            <v>12789711</v>
          </cell>
          <cell r="M38">
            <v>101392</v>
          </cell>
          <cell r="N38">
            <v>126140961</v>
          </cell>
        </row>
        <row r="39">
          <cell r="A39">
            <v>38</v>
          </cell>
          <cell r="B39" t="str">
            <v>Austria</v>
          </cell>
          <cell r="C39">
            <v>634893</v>
          </cell>
          <cell r="E39">
            <v>10444</v>
          </cell>
          <cell r="G39">
            <v>611254</v>
          </cell>
          <cell r="H39">
            <v>13195</v>
          </cell>
          <cell r="I39">
            <v>316</v>
          </cell>
          <cell r="J39">
            <v>70148</v>
          </cell>
          <cell r="K39">
            <v>1154</v>
          </cell>
          <cell r="L39">
            <v>35798712</v>
          </cell>
          <cell r="M39">
            <v>3955302</v>
          </cell>
          <cell r="N39">
            <v>9050816</v>
          </cell>
        </row>
        <row r="40">
          <cell r="A40">
            <v>39</v>
          </cell>
          <cell r="B40" t="str">
            <v>UAE</v>
          </cell>
          <cell r="C40">
            <v>542158</v>
          </cell>
          <cell r="E40">
            <v>1623</v>
          </cell>
          <cell r="G40">
            <v>522356</v>
          </cell>
          <cell r="H40">
            <v>18179</v>
          </cell>
          <cell r="J40">
            <v>54251</v>
          </cell>
          <cell r="K40">
            <v>162</v>
          </cell>
          <cell r="L40">
            <v>46613437</v>
          </cell>
          <cell r="M40">
            <v>4664386</v>
          </cell>
          <cell r="N40">
            <v>9993478</v>
          </cell>
        </row>
        <row r="41">
          <cell r="A41">
            <v>40</v>
          </cell>
          <cell r="B41" t="str">
            <v>Lebanon</v>
          </cell>
          <cell r="C41">
            <v>534968</v>
          </cell>
          <cell r="E41">
            <v>7569</v>
          </cell>
          <cell r="G41">
            <v>492270</v>
          </cell>
          <cell r="H41">
            <v>35129</v>
          </cell>
          <cell r="I41">
            <v>333</v>
          </cell>
          <cell r="J41">
            <v>78684</v>
          </cell>
          <cell r="K41">
            <v>1113</v>
          </cell>
          <cell r="L41">
            <v>4163257</v>
          </cell>
          <cell r="M41">
            <v>612338</v>
          </cell>
          <cell r="N41">
            <v>6798949</v>
          </cell>
        </row>
        <row r="42">
          <cell r="A42">
            <v>41</v>
          </cell>
          <cell r="B42" t="str">
            <v>Morocco</v>
          </cell>
          <cell r="C42">
            <v>514670</v>
          </cell>
          <cell r="E42">
            <v>9091</v>
          </cell>
          <cell r="G42">
            <v>502205</v>
          </cell>
          <cell r="H42">
            <v>3374</v>
          </cell>
          <cell r="I42">
            <v>96</v>
          </cell>
          <cell r="J42">
            <v>13803</v>
          </cell>
          <cell r="K42">
            <v>244</v>
          </cell>
          <cell r="L42">
            <v>6367171</v>
          </cell>
          <cell r="M42">
            <v>170757</v>
          </cell>
          <cell r="N42">
            <v>37287963</v>
          </cell>
        </row>
        <row r="43">
          <cell r="A43">
            <v>42</v>
          </cell>
          <cell r="B43" t="str">
            <v>Malaysia</v>
          </cell>
          <cell r="C43">
            <v>458077</v>
          </cell>
          <cell r="E43">
            <v>1788</v>
          </cell>
          <cell r="G43">
            <v>414707</v>
          </cell>
          <cell r="H43">
            <v>41582</v>
          </cell>
          <cell r="I43">
            <v>481</v>
          </cell>
          <cell r="J43">
            <v>13998</v>
          </cell>
          <cell r="K43">
            <v>55</v>
          </cell>
          <cell r="L43">
            <v>10341089</v>
          </cell>
          <cell r="M43">
            <v>316013</v>
          </cell>
          <cell r="N43">
            <v>32723609</v>
          </cell>
        </row>
        <row r="44">
          <cell r="A44">
            <v>43</v>
          </cell>
          <cell r="B44" t="str">
            <v>Nepal</v>
          </cell>
          <cell r="C44">
            <v>431191</v>
          </cell>
          <cell r="E44">
            <v>4466</v>
          </cell>
          <cell r="G44">
            <v>321518</v>
          </cell>
          <cell r="H44">
            <v>105207</v>
          </cell>
          <cell r="J44">
            <v>14573</v>
          </cell>
          <cell r="K44">
            <v>151</v>
          </cell>
          <cell r="L44">
            <v>2712562</v>
          </cell>
          <cell r="M44">
            <v>91678</v>
          </cell>
          <cell r="N44">
            <v>29587919</v>
          </cell>
        </row>
        <row r="45">
          <cell r="A45">
            <v>44</v>
          </cell>
          <cell r="B45" t="str">
            <v>Saudi Arabia</v>
          </cell>
          <cell r="C45">
            <v>430505</v>
          </cell>
          <cell r="E45">
            <v>7122</v>
          </cell>
          <cell r="G45">
            <v>414139</v>
          </cell>
          <cell r="H45">
            <v>9244</v>
          </cell>
          <cell r="I45">
            <v>1344</v>
          </cell>
          <cell r="J45">
            <v>12202</v>
          </cell>
          <cell r="K45">
            <v>202</v>
          </cell>
          <cell r="L45">
            <v>17812376</v>
          </cell>
          <cell r="M45">
            <v>504872</v>
          </cell>
          <cell r="N45">
            <v>35280979</v>
          </cell>
        </row>
        <row r="46">
          <cell r="A46">
            <v>45</v>
          </cell>
          <cell r="B46" t="str">
            <v>Bulgaria</v>
          </cell>
          <cell r="C46">
            <v>413320</v>
          </cell>
          <cell r="E46">
            <v>17194</v>
          </cell>
          <cell r="G46">
            <v>360002</v>
          </cell>
          <cell r="H46">
            <v>36124</v>
          </cell>
          <cell r="I46">
            <v>516</v>
          </cell>
          <cell r="J46">
            <v>59875</v>
          </cell>
          <cell r="K46">
            <v>2491</v>
          </cell>
          <cell r="L46">
            <v>2642503</v>
          </cell>
          <cell r="M46">
            <v>382801</v>
          </cell>
          <cell r="N46">
            <v>6903067</v>
          </cell>
        </row>
        <row r="47">
          <cell r="A47">
            <v>46</v>
          </cell>
          <cell r="B47" t="str">
            <v>Ecuador</v>
          </cell>
          <cell r="C47">
            <v>405783</v>
          </cell>
          <cell r="E47">
            <v>19442</v>
          </cell>
          <cell r="G47">
            <v>342878</v>
          </cell>
          <cell r="H47">
            <v>43463</v>
          </cell>
          <cell r="I47">
            <v>594</v>
          </cell>
          <cell r="J47">
            <v>22703</v>
          </cell>
          <cell r="K47">
            <v>1088</v>
          </cell>
          <cell r="L47">
            <v>1355202</v>
          </cell>
          <cell r="M47">
            <v>75820</v>
          </cell>
          <cell r="N47">
            <v>17873899</v>
          </cell>
        </row>
        <row r="48">
          <cell r="A48">
            <v>47</v>
          </cell>
          <cell r="B48" t="str">
            <v>Slovakia</v>
          </cell>
          <cell r="C48">
            <v>386868</v>
          </cell>
          <cell r="E48">
            <v>12135</v>
          </cell>
          <cell r="G48">
            <v>369609</v>
          </cell>
          <cell r="H48">
            <v>5124</v>
          </cell>
          <cell r="I48">
            <v>225</v>
          </cell>
          <cell r="J48">
            <v>70830</v>
          </cell>
          <cell r="K48">
            <v>2222</v>
          </cell>
          <cell r="L48">
            <v>2745856</v>
          </cell>
          <cell r="M48">
            <v>502726</v>
          </cell>
          <cell r="N48">
            <v>5461931</v>
          </cell>
        </row>
        <row r="49">
          <cell r="A49">
            <v>48</v>
          </cell>
          <cell r="B49" t="str">
            <v>Belarus</v>
          </cell>
          <cell r="C49">
            <v>372242</v>
          </cell>
          <cell r="E49">
            <v>2671</v>
          </cell>
          <cell r="G49">
            <v>362806</v>
          </cell>
          <cell r="H49">
            <v>6765</v>
          </cell>
          <cell r="J49">
            <v>39405</v>
          </cell>
          <cell r="K49">
            <v>283</v>
          </cell>
          <cell r="L49">
            <v>6036143</v>
          </cell>
          <cell r="M49">
            <v>638973</v>
          </cell>
          <cell r="N49">
            <v>9446632</v>
          </cell>
        </row>
        <row r="50">
          <cell r="A50">
            <v>49</v>
          </cell>
          <cell r="B50" t="str">
            <v>Greece</v>
          </cell>
          <cell r="C50">
            <v>371712</v>
          </cell>
          <cell r="E50">
            <v>11266</v>
          </cell>
          <cell r="G50">
            <v>333892</v>
          </cell>
          <cell r="H50">
            <v>26554</v>
          </cell>
          <cell r="I50">
            <v>683</v>
          </cell>
          <cell r="J50">
            <v>35814</v>
          </cell>
          <cell r="K50">
            <v>1085</v>
          </cell>
          <cell r="L50">
            <v>8707677</v>
          </cell>
          <cell r="M50">
            <v>838978</v>
          </cell>
          <cell r="N50">
            <v>10378916</v>
          </cell>
        </row>
        <row r="51">
          <cell r="A51">
            <v>50</v>
          </cell>
          <cell r="B51" t="str">
            <v>Panama</v>
          </cell>
          <cell r="C51">
            <v>369455</v>
          </cell>
          <cell r="E51">
            <v>6288</v>
          </cell>
          <cell r="G51">
            <v>358358</v>
          </cell>
          <cell r="H51">
            <v>4809</v>
          </cell>
          <cell r="I51">
            <v>105</v>
          </cell>
          <cell r="J51">
            <v>84480</v>
          </cell>
          <cell r="K51">
            <v>1438</v>
          </cell>
          <cell r="L51">
            <v>2497125</v>
          </cell>
          <cell r="M51">
            <v>570996</v>
          </cell>
          <cell r="N51">
            <v>4373282</v>
          </cell>
        </row>
        <row r="52">
          <cell r="A52">
            <v>51</v>
          </cell>
          <cell r="B52" t="str">
            <v>Kazakhstan</v>
          </cell>
          <cell r="C52">
            <v>350591</v>
          </cell>
          <cell r="E52">
            <v>3984</v>
          </cell>
          <cell r="G52">
            <v>307464</v>
          </cell>
          <cell r="H52">
            <v>39143</v>
          </cell>
          <cell r="I52">
            <v>221</v>
          </cell>
          <cell r="J52">
            <v>18481</v>
          </cell>
          <cell r="K52">
            <v>210</v>
          </cell>
          <cell r="L52">
            <v>10691113</v>
          </cell>
          <cell r="M52">
            <v>563567</v>
          </cell>
          <cell r="N52">
            <v>18970446</v>
          </cell>
        </row>
        <row r="53">
          <cell r="A53">
            <v>52</v>
          </cell>
          <cell r="B53" t="str">
            <v>Croatia</v>
          </cell>
          <cell r="C53">
            <v>348158</v>
          </cell>
          <cell r="E53">
            <v>7623</v>
          </cell>
          <cell r="G53">
            <v>332669</v>
          </cell>
          <cell r="H53">
            <v>7866</v>
          </cell>
          <cell r="I53">
            <v>202</v>
          </cell>
          <cell r="J53">
            <v>85264</v>
          </cell>
          <cell r="K53">
            <v>1867</v>
          </cell>
          <cell r="L53">
            <v>1906407</v>
          </cell>
          <cell r="M53">
            <v>466878</v>
          </cell>
          <cell r="N53">
            <v>4083312</v>
          </cell>
        </row>
        <row r="54">
          <cell r="A54">
            <v>53</v>
          </cell>
          <cell r="B54" t="str">
            <v>Azerbaijan</v>
          </cell>
          <cell r="C54">
            <v>328668</v>
          </cell>
          <cell r="E54">
            <v>4742</v>
          </cell>
          <cell r="G54">
            <v>311198</v>
          </cell>
          <cell r="H54">
            <v>12728</v>
          </cell>
          <cell r="J54">
            <v>32165</v>
          </cell>
          <cell r="K54">
            <v>464</v>
          </cell>
          <cell r="L54">
            <v>3360900</v>
          </cell>
          <cell r="M54">
            <v>328917</v>
          </cell>
          <cell r="N54">
            <v>10218087</v>
          </cell>
        </row>
        <row r="55">
          <cell r="A55">
            <v>54</v>
          </cell>
          <cell r="B55" t="str">
            <v>Georgia</v>
          </cell>
          <cell r="C55">
            <v>326441</v>
          </cell>
          <cell r="E55">
            <v>4379</v>
          </cell>
          <cell r="G55">
            <v>306264</v>
          </cell>
          <cell r="H55">
            <v>15798</v>
          </cell>
          <cell r="J55">
            <v>81968</v>
          </cell>
          <cell r="K55">
            <v>1100</v>
          </cell>
          <cell r="L55">
            <v>4473163</v>
          </cell>
          <cell r="M55">
            <v>1123195</v>
          </cell>
          <cell r="N55">
            <v>3982534</v>
          </cell>
        </row>
        <row r="56">
          <cell r="A56">
            <v>55</v>
          </cell>
          <cell r="B56" t="str">
            <v>Bolivia</v>
          </cell>
          <cell r="C56">
            <v>324868</v>
          </cell>
          <cell r="E56">
            <v>13345</v>
          </cell>
          <cell r="G56">
            <v>266512</v>
          </cell>
          <cell r="H56">
            <v>45011</v>
          </cell>
          <cell r="I56">
            <v>158</v>
          </cell>
          <cell r="J56">
            <v>27507</v>
          </cell>
          <cell r="K56">
            <v>1130</v>
          </cell>
          <cell r="L56">
            <v>1275910</v>
          </cell>
          <cell r="M56">
            <v>108034</v>
          </cell>
          <cell r="N56">
            <v>11810296</v>
          </cell>
        </row>
        <row r="57">
          <cell r="A57">
            <v>56</v>
          </cell>
          <cell r="B57" t="str">
            <v>Tunisia</v>
          </cell>
          <cell r="C57">
            <v>324823</v>
          </cell>
          <cell r="E57">
            <v>11693</v>
          </cell>
          <cell r="G57">
            <v>284754</v>
          </cell>
          <cell r="H57">
            <v>28376</v>
          </cell>
          <cell r="I57">
            <v>445</v>
          </cell>
          <cell r="J57">
            <v>27238</v>
          </cell>
          <cell r="K57">
            <v>981</v>
          </cell>
          <cell r="L57">
            <v>1378729</v>
          </cell>
          <cell r="M57">
            <v>115613</v>
          </cell>
          <cell r="N57">
            <v>11925349</v>
          </cell>
        </row>
        <row r="58">
          <cell r="A58">
            <v>57</v>
          </cell>
          <cell r="B58" t="str">
            <v>Paraguay</v>
          </cell>
          <cell r="C58">
            <v>307457</v>
          </cell>
          <cell r="E58">
            <v>7427</v>
          </cell>
          <cell r="G58">
            <v>254360</v>
          </cell>
          <cell r="H58">
            <v>45670</v>
          </cell>
          <cell r="I58">
            <v>592</v>
          </cell>
          <cell r="J58">
            <v>42654</v>
          </cell>
          <cell r="K58">
            <v>1030</v>
          </cell>
          <cell r="L58">
            <v>1176104</v>
          </cell>
          <cell r="M58">
            <v>163164</v>
          </cell>
          <cell r="N58">
            <v>7208106</v>
          </cell>
        </row>
        <row r="59">
          <cell r="A59">
            <v>58</v>
          </cell>
          <cell r="B59" t="str">
            <v>Palestine</v>
          </cell>
          <cell r="C59">
            <v>303270</v>
          </cell>
          <cell r="E59">
            <v>3401</v>
          </cell>
          <cell r="G59">
            <v>288891</v>
          </cell>
          <cell r="H59">
            <v>10978</v>
          </cell>
          <cell r="I59">
            <v>78</v>
          </cell>
          <cell r="J59">
            <v>58284</v>
          </cell>
          <cell r="K59">
            <v>654</v>
          </cell>
          <cell r="L59">
            <v>1784690</v>
          </cell>
          <cell r="M59">
            <v>342992</v>
          </cell>
          <cell r="N59">
            <v>5203302</v>
          </cell>
        </row>
        <row r="60">
          <cell r="A60">
            <v>59</v>
          </cell>
          <cell r="B60" t="str">
            <v>Kuwait</v>
          </cell>
          <cell r="C60">
            <v>289243</v>
          </cell>
          <cell r="E60">
            <v>1674</v>
          </cell>
          <cell r="G60">
            <v>274554</v>
          </cell>
          <cell r="H60">
            <v>13015</v>
          </cell>
          <cell r="I60">
            <v>197</v>
          </cell>
          <cell r="J60">
            <v>66877</v>
          </cell>
          <cell r="K60">
            <v>387</v>
          </cell>
          <cell r="L60">
            <v>2438929</v>
          </cell>
          <cell r="M60">
            <v>563914</v>
          </cell>
          <cell r="N60">
            <v>4324999</v>
          </cell>
        </row>
        <row r="61">
          <cell r="A61">
            <v>60</v>
          </cell>
          <cell r="B61" t="str">
            <v>Costa Rica</v>
          </cell>
          <cell r="C61">
            <v>279926</v>
          </cell>
          <cell r="E61">
            <v>3514</v>
          </cell>
          <cell r="G61">
            <v>219105</v>
          </cell>
          <cell r="H61">
            <v>57307</v>
          </cell>
          <cell r="I61">
            <v>482</v>
          </cell>
          <cell r="J61">
            <v>54521</v>
          </cell>
          <cell r="K61">
            <v>684</v>
          </cell>
          <cell r="L61">
            <v>1083035</v>
          </cell>
          <cell r="M61">
            <v>210942</v>
          </cell>
          <cell r="N61">
            <v>5134282</v>
          </cell>
        </row>
        <row r="62">
          <cell r="A62">
            <v>61</v>
          </cell>
          <cell r="B62" t="str">
            <v>Dominican Republic</v>
          </cell>
          <cell r="C62">
            <v>274319</v>
          </cell>
          <cell r="E62">
            <v>3560</v>
          </cell>
          <cell r="G62">
            <v>232625</v>
          </cell>
          <cell r="H62">
            <v>38134</v>
          </cell>
          <cell r="I62">
            <v>242</v>
          </cell>
          <cell r="J62">
            <v>25071</v>
          </cell>
          <cell r="K62">
            <v>325</v>
          </cell>
          <cell r="L62">
            <v>1461677</v>
          </cell>
          <cell r="M62">
            <v>133586</v>
          </cell>
          <cell r="N62">
            <v>10941808</v>
          </cell>
        </row>
        <row r="63">
          <cell r="A63">
            <v>62</v>
          </cell>
          <cell r="B63" t="str">
            <v>Ethiopia</v>
          </cell>
          <cell r="C63">
            <v>264960</v>
          </cell>
          <cell r="E63">
            <v>3951</v>
          </cell>
          <cell r="G63">
            <v>215734</v>
          </cell>
          <cell r="H63">
            <v>45275</v>
          </cell>
          <cell r="I63">
            <v>653</v>
          </cell>
          <cell r="J63">
            <v>2257</v>
          </cell>
          <cell r="K63">
            <v>34</v>
          </cell>
          <cell r="L63">
            <v>2640295</v>
          </cell>
          <cell r="M63">
            <v>22488</v>
          </cell>
          <cell r="N63">
            <v>117408852</v>
          </cell>
        </row>
        <row r="64">
          <cell r="A64">
            <v>63</v>
          </cell>
          <cell r="B64" t="str">
            <v>Denmark</v>
          </cell>
          <cell r="C64">
            <v>263514</v>
          </cell>
          <cell r="E64">
            <v>2499</v>
          </cell>
          <cell r="G64">
            <v>248683</v>
          </cell>
          <cell r="H64">
            <v>12332</v>
          </cell>
          <cell r="I64">
            <v>36</v>
          </cell>
          <cell r="J64">
            <v>45356</v>
          </cell>
          <cell r="K64">
            <v>430</v>
          </cell>
          <cell r="L64">
            <v>45170604</v>
          </cell>
          <cell r="M64">
            <v>7774839</v>
          </cell>
          <cell r="N64">
            <v>5809844</v>
          </cell>
        </row>
        <row r="65">
          <cell r="A65">
            <v>64</v>
          </cell>
          <cell r="B65" t="str">
            <v>Lithuania</v>
          </cell>
          <cell r="C65">
            <v>262335</v>
          </cell>
          <cell r="E65">
            <v>4071</v>
          </cell>
          <cell r="G65">
            <v>236442</v>
          </cell>
          <cell r="H65">
            <v>21822</v>
          </cell>
          <cell r="I65">
            <v>158</v>
          </cell>
          <cell r="J65">
            <v>97548</v>
          </cell>
          <cell r="K65">
            <v>1514</v>
          </cell>
          <cell r="L65">
            <v>3048832</v>
          </cell>
          <cell r="M65">
            <v>1133697</v>
          </cell>
          <cell r="N65">
            <v>2689283</v>
          </cell>
        </row>
        <row r="66">
          <cell r="A66">
            <v>65</v>
          </cell>
          <cell r="B66" t="str">
            <v>Ireland</v>
          </cell>
          <cell r="C66">
            <v>254450</v>
          </cell>
          <cell r="E66">
            <v>4937</v>
          </cell>
          <cell r="G66">
            <v>236747</v>
          </cell>
          <cell r="H66">
            <v>12766</v>
          </cell>
          <cell r="I66">
            <v>36</v>
          </cell>
          <cell r="J66">
            <v>51039</v>
          </cell>
          <cell r="K66">
            <v>990</v>
          </cell>
          <cell r="L66">
            <v>4729538</v>
          </cell>
          <cell r="M66">
            <v>948682</v>
          </cell>
          <cell r="N66">
            <v>4985377</v>
          </cell>
        </row>
        <row r="67">
          <cell r="A67">
            <v>66</v>
          </cell>
          <cell r="B67" t="str">
            <v>Moldova</v>
          </cell>
          <cell r="C67">
            <v>253386</v>
          </cell>
          <cell r="E67">
            <v>5995</v>
          </cell>
          <cell r="G67">
            <v>244298</v>
          </cell>
          <cell r="H67">
            <v>3093</v>
          </cell>
          <cell r="I67">
            <v>171</v>
          </cell>
          <cell r="J67">
            <v>62940</v>
          </cell>
          <cell r="K67">
            <v>1489</v>
          </cell>
          <cell r="L67">
            <v>1033892</v>
          </cell>
          <cell r="M67">
            <v>256814</v>
          </cell>
          <cell r="N67">
            <v>4025841</v>
          </cell>
        </row>
        <row r="68">
          <cell r="A68">
            <v>67</v>
          </cell>
          <cell r="B68" t="str">
            <v>Slovenia</v>
          </cell>
          <cell r="C68">
            <v>248046</v>
          </cell>
          <cell r="E68">
            <v>4308</v>
          </cell>
          <cell r="G68">
            <v>235106</v>
          </cell>
          <cell r="H68">
            <v>8632</v>
          </cell>
          <cell r="I68">
            <v>124</v>
          </cell>
          <cell r="J68">
            <v>119300</v>
          </cell>
          <cell r="K68">
            <v>2072</v>
          </cell>
          <cell r="L68">
            <v>1220132</v>
          </cell>
          <cell r="M68">
            <v>586832</v>
          </cell>
          <cell r="N68">
            <v>2079185</v>
          </cell>
        </row>
        <row r="69">
          <cell r="A69">
            <v>68</v>
          </cell>
          <cell r="B69" t="str">
            <v>Egypt</v>
          </cell>
          <cell r="C69">
            <v>242120</v>
          </cell>
          <cell r="E69">
            <v>14150</v>
          </cell>
          <cell r="G69">
            <v>179261</v>
          </cell>
          <cell r="H69">
            <v>48709</v>
          </cell>
          <cell r="I69">
            <v>90</v>
          </cell>
          <cell r="J69">
            <v>2328</v>
          </cell>
          <cell r="K69">
            <v>136</v>
          </cell>
          <cell r="L69">
            <v>2715258</v>
          </cell>
          <cell r="M69">
            <v>26109</v>
          </cell>
          <cell r="N69">
            <v>103995350</v>
          </cell>
        </row>
        <row r="70">
          <cell r="A70">
            <v>69</v>
          </cell>
          <cell r="B70" t="str">
            <v>Guatemala</v>
          </cell>
          <cell r="C70">
            <v>238787</v>
          </cell>
          <cell r="E70">
            <v>7832</v>
          </cell>
          <cell r="G70">
            <v>218321</v>
          </cell>
          <cell r="H70">
            <v>12634</v>
          </cell>
          <cell r="I70">
            <v>5</v>
          </cell>
          <cell r="J70">
            <v>13120</v>
          </cell>
          <cell r="K70">
            <v>430</v>
          </cell>
          <cell r="L70">
            <v>1322009</v>
          </cell>
          <cell r="M70">
            <v>72635</v>
          </cell>
          <cell r="N70">
            <v>18200794</v>
          </cell>
        </row>
        <row r="71">
          <cell r="A71">
            <v>70</v>
          </cell>
          <cell r="B71" t="str">
            <v>Uruguay</v>
          </cell>
          <cell r="C71">
            <v>231901</v>
          </cell>
          <cell r="E71">
            <v>3318</v>
          </cell>
          <cell r="G71">
            <v>201367</v>
          </cell>
          <cell r="H71">
            <v>27216</v>
          </cell>
          <cell r="I71">
            <v>511</v>
          </cell>
          <cell r="J71">
            <v>66559</v>
          </cell>
          <cell r="K71">
            <v>952</v>
          </cell>
          <cell r="L71">
            <v>1965821</v>
          </cell>
          <cell r="M71">
            <v>564219</v>
          </cell>
          <cell r="N71">
            <v>3484143</v>
          </cell>
        </row>
        <row r="72">
          <cell r="A72">
            <v>71</v>
          </cell>
          <cell r="B72" t="str">
            <v>Honduras</v>
          </cell>
          <cell r="C72">
            <v>222992</v>
          </cell>
          <cell r="E72">
            <v>5853</v>
          </cell>
          <cell r="G72">
            <v>82187</v>
          </cell>
          <cell r="H72">
            <v>134952</v>
          </cell>
          <cell r="I72">
            <v>535</v>
          </cell>
          <cell r="J72">
            <v>22210</v>
          </cell>
          <cell r="K72">
            <v>583</v>
          </cell>
          <cell r="L72">
            <v>664126</v>
          </cell>
          <cell r="M72">
            <v>66146</v>
          </cell>
          <cell r="N72">
            <v>10040310</v>
          </cell>
        </row>
        <row r="73">
          <cell r="A73">
            <v>72</v>
          </cell>
          <cell r="B73" t="str">
            <v>Armenia</v>
          </cell>
          <cell r="C73">
            <v>220217</v>
          </cell>
          <cell r="E73">
            <v>4291</v>
          </cell>
          <cell r="G73">
            <v>206752</v>
          </cell>
          <cell r="H73">
            <v>9174</v>
          </cell>
          <cell r="J73">
            <v>74196</v>
          </cell>
          <cell r="K73">
            <v>1446</v>
          </cell>
          <cell r="L73">
            <v>1026974</v>
          </cell>
          <cell r="M73">
            <v>346011</v>
          </cell>
          <cell r="N73">
            <v>2968036</v>
          </cell>
        </row>
        <row r="74">
          <cell r="A74">
            <v>73</v>
          </cell>
          <cell r="B74" t="str">
            <v>Qatar</v>
          </cell>
          <cell r="C74">
            <v>212423</v>
          </cell>
          <cell r="E74">
            <v>522</v>
          </cell>
          <cell r="G74">
            <v>205160</v>
          </cell>
          <cell r="H74">
            <v>6741</v>
          </cell>
          <cell r="I74">
            <v>225</v>
          </cell>
          <cell r="J74">
            <v>75654</v>
          </cell>
          <cell r="K74">
            <v>186</v>
          </cell>
          <cell r="L74">
            <v>1961687</v>
          </cell>
          <cell r="M74">
            <v>698655</v>
          </cell>
          <cell r="N74">
            <v>2807805</v>
          </cell>
        </row>
        <row r="75">
          <cell r="A75">
            <v>74</v>
          </cell>
          <cell r="B75" t="str">
            <v>Venezuela</v>
          </cell>
          <cell r="C75">
            <v>210948</v>
          </cell>
          <cell r="E75">
            <v>2337</v>
          </cell>
          <cell r="G75">
            <v>194166</v>
          </cell>
          <cell r="H75">
            <v>14445</v>
          </cell>
          <cell r="I75">
            <v>316</v>
          </cell>
          <cell r="J75">
            <v>7437</v>
          </cell>
          <cell r="K75">
            <v>82</v>
          </cell>
          <cell r="L75">
            <v>3359014</v>
          </cell>
          <cell r="M75">
            <v>118416</v>
          </cell>
          <cell r="N75">
            <v>28366129</v>
          </cell>
        </row>
        <row r="76">
          <cell r="A76">
            <v>75</v>
          </cell>
          <cell r="B76" t="str">
            <v>Oman</v>
          </cell>
          <cell r="C76">
            <v>202713</v>
          </cell>
          <cell r="E76">
            <v>2148</v>
          </cell>
          <cell r="G76">
            <v>186391</v>
          </cell>
          <cell r="H76">
            <v>14174</v>
          </cell>
          <cell r="I76">
            <v>255</v>
          </cell>
          <cell r="J76">
            <v>38848</v>
          </cell>
          <cell r="K76">
            <v>412</v>
          </cell>
          <cell r="L76">
            <v>1550000</v>
          </cell>
          <cell r="M76">
            <v>297042</v>
          </cell>
          <cell r="N76">
            <v>5218121</v>
          </cell>
        </row>
        <row r="77">
          <cell r="A77">
            <v>76</v>
          </cell>
          <cell r="B77" t="str">
            <v>Bosnia and Herzegovina</v>
          </cell>
          <cell r="C77">
            <v>202003</v>
          </cell>
          <cell r="E77">
            <v>8958</v>
          </cell>
          <cell r="G77">
            <v>168145</v>
          </cell>
          <cell r="H77">
            <v>24900</v>
          </cell>
          <cell r="J77">
            <v>61905</v>
          </cell>
          <cell r="K77">
            <v>2745</v>
          </cell>
          <cell r="L77">
            <v>936259</v>
          </cell>
          <cell r="M77">
            <v>286921</v>
          </cell>
          <cell r="N77">
            <v>3263121</v>
          </cell>
        </row>
        <row r="78">
          <cell r="A78">
            <v>77</v>
          </cell>
          <cell r="B78" t="str">
            <v>Bahrain</v>
          </cell>
          <cell r="C78">
            <v>196105</v>
          </cell>
          <cell r="E78">
            <v>715</v>
          </cell>
          <cell r="G78">
            <v>179958</v>
          </cell>
          <cell r="H78">
            <v>15432</v>
          </cell>
          <cell r="I78">
            <v>166</v>
          </cell>
          <cell r="J78">
            <v>111921</v>
          </cell>
          <cell r="K78">
            <v>408</v>
          </cell>
          <cell r="L78">
            <v>4307946</v>
          </cell>
          <cell r="M78">
            <v>2458628</v>
          </cell>
          <cell r="N78">
            <v>1752175</v>
          </cell>
        </row>
        <row r="79">
          <cell r="A79">
            <v>78</v>
          </cell>
          <cell r="B79" t="str">
            <v>Libya</v>
          </cell>
          <cell r="C79">
            <v>181179</v>
          </cell>
          <cell r="E79">
            <v>3085</v>
          </cell>
          <cell r="G79">
            <v>167629</v>
          </cell>
          <cell r="H79">
            <v>10465</v>
          </cell>
          <cell r="J79">
            <v>26062</v>
          </cell>
          <cell r="K79">
            <v>444</v>
          </cell>
          <cell r="L79">
            <v>981532</v>
          </cell>
          <cell r="M79">
            <v>141190</v>
          </cell>
          <cell r="N79">
            <v>6951847</v>
          </cell>
        </row>
        <row r="80">
          <cell r="A80">
            <v>79</v>
          </cell>
          <cell r="B80" t="str">
            <v>Nigeria</v>
          </cell>
          <cell r="C80">
            <v>165612</v>
          </cell>
          <cell r="E80">
            <v>2066</v>
          </cell>
          <cell r="G80">
            <v>156387</v>
          </cell>
          <cell r="H80">
            <v>7159</v>
          </cell>
          <cell r="I80">
            <v>11</v>
          </cell>
          <cell r="J80">
            <v>787</v>
          </cell>
          <cell r="K80">
            <v>10</v>
          </cell>
          <cell r="L80">
            <v>1977479</v>
          </cell>
          <cell r="M80">
            <v>9393</v>
          </cell>
          <cell r="N80">
            <v>210526787</v>
          </cell>
        </row>
        <row r="81">
          <cell r="A81">
            <v>80</v>
          </cell>
          <cell r="B81" t="str">
            <v>Kenya</v>
          </cell>
          <cell r="C81">
            <v>164720</v>
          </cell>
          <cell r="E81">
            <v>2968</v>
          </cell>
          <cell r="G81">
            <v>113248</v>
          </cell>
          <cell r="H81">
            <v>48504</v>
          </cell>
          <cell r="I81">
            <v>117</v>
          </cell>
          <cell r="J81">
            <v>3006</v>
          </cell>
          <cell r="K81">
            <v>54</v>
          </cell>
          <cell r="L81">
            <v>1733500</v>
          </cell>
          <cell r="M81">
            <v>31639</v>
          </cell>
          <cell r="N81">
            <v>54789380</v>
          </cell>
        </row>
        <row r="82">
          <cell r="A82">
            <v>81</v>
          </cell>
          <cell r="B82" t="str">
            <v>North Macedonia</v>
          </cell>
          <cell r="C82">
            <v>154494</v>
          </cell>
          <cell r="E82">
            <v>5168</v>
          </cell>
          <cell r="G82">
            <v>143069</v>
          </cell>
          <cell r="H82">
            <v>6257</v>
          </cell>
          <cell r="I82">
            <v>124</v>
          </cell>
          <cell r="J82">
            <v>74158</v>
          </cell>
          <cell r="K82">
            <v>2481</v>
          </cell>
          <cell r="L82">
            <v>748069</v>
          </cell>
          <cell r="M82">
            <v>359079</v>
          </cell>
          <cell r="N82">
            <v>2083300</v>
          </cell>
        </row>
        <row r="83">
          <cell r="A83">
            <v>82</v>
          </cell>
          <cell r="B83" t="str">
            <v>Myanmar</v>
          </cell>
          <cell r="C83">
            <v>143004</v>
          </cell>
          <cell r="E83">
            <v>3212</v>
          </cell>
          <cell r="G83">
            <v>132069</v>
          </cell>
          <cell r="H83">
            <v>7723</v>
          </cell>
          <cell r="J83">
            <v>2613</v>
          </cell>
          <cell r="K83">
            <v>59</v>
          </cell>
          <cell r="L83">
            <v>2597378</v>
          </cell>
          <cell r="M83">
            <v>47462</v>
          </cell>
          <cell r="N83">
            <v>54724978</v>
          </cell>
        </row>
        <row r="84">
          <cell r="A84">
            <v>83</v>
          </cell>
          <cell r="B84" t="str">
            <v>Sri Lanka</v>
          </cell>
          <cell r="C84">
            <v>135796</v>
          </cell>
          <cell r="E84">
            <v>892</v>
          </cell>
          <cell r="G84">
            <v>108802</v>
          </cell>
          <cell r="H84">
            <v>26102</v>
          </cell>
          <cell r="J84">
            <v>6319</v>
          </cell>
          <cell r="K84">
            <v>42</v>
          </cell>
          <cell r="L84">
            <v>3050870</v>
          </cell>
          <cell r="M84">
            <v>141961</v>
          </cell>
          <cell r="N84">
            <v>21490889</v>
          </cell>
        </row>
        <row r="85">
          <cell r="A85">
            <v>84</v>
          </cell>
          <cell r="B85" t="str">
            <v>Albania</v>
          </cell>
          <cell r="C85">
            <v>131890</v>
          </cell>
          <cell r="E85">
            <v>2426</v>
          </cell>
          <cell r="G85">
            <v>121122</v>
          </cell>
          <cell r="H85">
            <v>8342</v>
          </cell>
          <cell r="I85">
            <v>18</v>
          </cell>
          <cell r="J85">
            <v>45874</v>
          </cell>
          <cell r="K85">
            <v>844</v>
          </cell>
          <cell r="L85">
            <v>666176</v>
          </cell>
          <cell r="M85">
            <v>231707</v>
          </cell>
          <cell r="N85">
            <v>2875076</v>
          </cell>
        </row>
        <row r="86">
          <cell r="A86">
            <v>85</v>
          </cell>
          <cell r="B86" t="str">
            <v>S. Korea</v>
          </cell>
          <cell r="C86">
            <v>130380</v>
          </cell>
          <cell r="D86">
            <v>747</v>
          </cell>
          <cell r="E86">
            <v>1893</v>
          </cell>
          <cell r="F86">
            <v>2</v>
          </cell>
          <cell r="G86">
            <v>120395</v>
          </cell>
          <cell r="H86">
            <v>8092</v>
          </cell>
          <cell r="I86">
            <v>153</v>
          </cell>
          <cell r="J86">
            <v>2541</v>
          </cell>
          <cell r="K86">
            <v>37</v>
          </cell>
          <cell r="L86">
            <v>9281291</v>
          </cell>
          <cell r="M86">
            <v>180896</v>
          </cell>
          <cell r="N86">
            <v>51307377</v>
          </cell>
        </row>
        <row r="87">
          <cell r="A87">
            <v>86</v>
          </cell>
          <cell r="B87" t="str">
            <v>Latvia</v>
          </cell>
          <cell r="C87">
            <v>126378</v>
          </cell>
          <cell r="E87">
            <v>2240</v>
          </cell>
          <cell r="G87">
            <v>114981</v>
          </cell>
          <cell r="H87">
            <v>9157</v>
          </cell>
          <cell r="I87">
            <v>81</v>
          </cell>
          <cell r="J87">
            <v>67651</v>
          </cell>
          <cell r="K87">
            <v>1199</v>
          </cell>
          <cell r="L87">
            <v>2455203</v>
          </cell>
          <cell r="M87">
            <v>1314285</v>
          </cell>
          <cell r="N87">
            <v>1868090</v>
          </cell>
        </row>
        <row r="88">
          <cell r="A88">
            <v>87</v>
          </cell>
          <cell r="B88" t="str">
            <v>Estonia</v>
          </cell>
          <cell r="C88">
            <v>126364</v>
          </cell>
          <cell r="E88">
            <v>1212</v>
          </cell>
          <cell r="G88">
            <v>117582</v>
          </cell>
          <cell r="H88">
            <v>7570</v>
          </cell>
          <cell r="I88">
            <v>36</v>
          </cell>
          <cell r="J88">
            <v>95203</v>
          </cell>
          <cell r="K88">
            <v>913</v>
          </cell>
          <cell r="L88">
            <v>1346257</v>
          </cell>
          <cell r="M88">
            <v>1014277</v>
          </cell>
          <cell r="N88">
            <v>1327307</v>
          </cell>
        </row>
        <row r="89">
          <cell r="A89">
            <v>88</v>
          </cell>
          <cell r="B89" t="str">
            <v>Algeria</v>
          </cell>
          <cell r="C89">
            <v>124889</v>
          </cell>
          <cell r="E89">
            <v>3355</v>
          </cell>
          <cell r="G89">
            <v>87003</v>
          </cell>
          <cell r="H89">
            <v>34531</v>
          </cell>
          <cell r="I89">
            <v>28</v>
          </cell>
          <cell r="J89">
            <v>2804</v>
          </cell>
          <cell r="K89">
            <v>75</v>
          </cell>
          <cell r="L89">
            <v>230861</v>
          </cell>
          <cell r="M89">
            <v>5184</v>
          </cell>
          <cell r="N89">
            <v>44532647</v>
          </cell>
        </row>
        <row r="90">
          <cell r="A90">
            <v>89</v>
          </cell>
          <cell r="B90" t="str">
            <v>Cuba</v>
          </cell>
          <cell r="C90">
            <v>120561</v>
          </cell>
          <cell r="E90">
            <v>778</v>
          </cell>
          <cell r="G90">
            <v>113493</v>
          </cell>
          <cell r="H90">
            <v>6290</v>
          </cell>
          <cell r="I90">
            <v>138</v>
          </cell>
          <cell r="J90">
            <v>10650</v>
          </cell>
          <cell r="K90">
            <v>69</v>
          </cell>
          <cell r="L90">
            <v>3923413</v>
          </cell>
          <cell r="M90">
            <v>346572</v>
          </cell>
          <cell r="N90">
            <v>11320629</v>
          </cell>
        </row>
        <row r="91">
          <cell r="A91">
            <v>90</v>
          </cell>
          <cell r="B91" t="str">
            <v>Norway</v>
          </cell>
          <cell r="C91">
            <v>118315</v>
          </cell>
          <cell r="E91">
            <v>774</v>
          </cell>
          <cell r="G91">
            <v>88952</v>
          </cell>
          <cell r="H91">
            <v>28589</v>
          </cell>
          <cell r="I91">
            <v>23</v>
          </cell>
          <cell r="J91">
            <v>21678</v>
          </cell>
          <cell r="K91">
            <v>142</v>
          </cell>
          <cell r="L91">
            <v>5423294</v>
          </cell>
          <cell r="M91">
            <v>993667</v>
          </cell>
          <cell r="N91">
            <v>5457857</v>
          </cell>
        </row>
        <row r="92">
          <cell r="A92">
            <v>91</v>
          </cell>
          <cell r="B92" t="str">
            <v>Kyrgyzstan</v>
          </cell>
          <cell r="C92">
            <v>99645</v>
          </cell>
          <cell r="E92">
            <v>1681</v>
          </cell>
          <cell r="G92">
            <v>92718</v>
          </cell>
          <cell r="H92">
            <v>5246</v>
          </cell>
          <cell r="I92">
            <v>85</v>
          </cell>
          <cell r="J92">
            <v>15059</v>
          </cell>
          <cell r="K92">
            <v>254</v>
          </cell>
          <cell r="L92">
            <v>1043213</v>
          </cell>
          <cell r="M92">
            <v>157659</v>
          </cell>
          <cell r="N92">
            <v>6616901</v>
          </cell>
        </row>
        <row r="93">
          <cell r="A93">
            <v>92</v>
          </cell>
          <cell r="B93" t="str">
            <v>Montenegro</v>
          </cell>
          <cell r="C93">
            <v>98619</v>
          </cell>
          <cell r="E93">
            <v>1551</v>
          </cell>
          <cell r="G93">
            <v>95544</v>
          </cell>
          <cell r="H93">
            <v>1524</v>
          </cell>
          <cell r="I93">
            <v>64</v>
          </cell>
          <cell r="J93">
            <v>157003</v>
          </cell>
          <cell r="K93">
            <v>2469</v>
          </cell>
          <cell r="L93">
            <v>390682</v>
          </cell>
          <cell r="M93">
            <v>621971</v>
          </cell>
          <cell r="N93">
            <v>628135</v>
          </cell>
        </row>
        <row r="94">
          <cell r="A94">
            <v>93</v>
          </cell>
          <cell r="B94" t="str">
            <v>Uzbekistan</v>
          </cell>
          <cell r="C94">
            <v>95826</v>
          </cell>
          <cell r="E94">
            <v>667</v>
          </cell>
          <cell r="G94">
            <v>91301</v>
          </cell>
          <cell r="H94">
            <v>3858</v>
          </cell>
          <cell r="I94">
            <v>23</v>
          </cell>
          <cell r="J94">
            <v>2828</v>
          </cell>
          <cell r="K94">
            <v>20</v>
          </cell>
          <cell r="L94">
            <v>1377915</v>
          </cell>
          <cell r="M94">
            <v>40662</v>
          </cell>
          <cell r="N94">
            <v>33887260</v>
          </cell>
        </row>
        <row r="95">
          <cell r="A95">
            <v>94</v>
          </cell>
          <cell r="B95" t="str">
            <v>Thailand</v>
          </cell>
          <cell r="C95">
            <v>93794</v>
          </cell>
          <cell r="E95">
            <v>518</v>
          </cell>
          <cell r="G95">
            <v>60615</v>
          </cell>
          <cell r="H95">
            <v>32661</v>
          </cell>
          <cell r="I95">
            <v>1207</v>
          </cell>
          <cell r="J95">
            <v>1341</v>
          </cell>
          <cell r="K95">
            <v>7</v>
          </cell>
          <cell r="L95">
            <v>8124896</v>
          </cell>
          <cell r="M95">
            <v>116150</v>
          </cell>
          <cell r="N95">
            <v>69951511</v>
          </cell>
        </row>
        <row r="96">
          <cell r="A96">
            <v>95</v>
          </cell>
          <cell r="B96" t="str">
            <v>Ghana</v>
          </cell>
          <cell r="C96">
            <v>93159</v>
          </cell>
          <cell r="E96">
            <v>783</v>
          </cell>
          <cell r="G96">
            <v>90992</v>
          </cell>
          <cell r="H96">
            <v>1384</v>
          </cell>
          <cell r="I96">
            <v>7</v>
          </cell>
          <cell r="J96">
            <v>2945</v>
          </cell>
          <cell r="K96">
            <v>25</v>
          </cell>
          <cell r="L96">
            <v>1113553</v>
          </cell>
          <cell r="M96">
            <v>35205</v>
          </cell>
          <cell r="N96">
            <v>31630693</v>
          </cell>
        </row>
        <row r="97">
          <cell r="A97">
            <v>96</v>
          </cell>
          <cell r="B97" t="str">
            <v>Zambia</v>
          </cell>
          <cell r="C97">
            <v>92262</v>
          </cell>
          <cell r="E97">
            <v>1260</v>
          </cell>
          <cell r="G97">
            <v>90635</v>
          </cell>
          <cell r="H97">
            <v>367</v>
          </cell>
          <cell r="I97">
            <v>42</v>
          </cell>
          <cell r="J97">
            <v>4901</v>
          </cell>
          <cell r="K97">
            <v>67</v>
          </cell>
          <cell r="L97">
            <v>1457277</v>
          </cell>
          <cell r="M97">
            <v>77410</v>
          </cell>
          <cell r="N97">
            <v>18825532</v>
          </cell>
        </row>
        <row r="98">
          <cell r="A98">
            <v>97</v>
          </cell>
          <cell r="B98" t="str">
            <v>China</v>
          </cell>
          <cell r="C98">
            <v>90815</v>
          </cell>
          <cell r="D98">
            <v>7</v>
          </cell>
          <cell r="E98">
            <v>4636</v>
          </cell>
          <cell r="G98">
            <v>85894</v>
          </cell>
          <cell r="H98">
            <v>285</v>
          </cell>
          <cell r="I98">
            <v>1</v>
          </cell>
          <cell r="J98">
            <v>63</v>
          </cell>
          <cell r="K98">
            <v>3</v>
          </cell>
          <cell r="L98">
            <v>160000000</v>
          </cell>
          <cell r="M98">
            <v>111163</v>
          </cell>
          <cell r="N98">
            <v>1439323776</v>
          </cell>
        </row>
        <row r="99">
          <cell r="A99">
            <v>98</v>
          </cell>
          <cell r="B99" t="str">
            <v>Finland</v>
          </cell>
          <cell r="C99">
            <v>89532</v>
          </cell>
          <cell r="E99">
            <v>930</v>
          </cell>
          <cell r="G99">
            <v>46000</v>
          </cell>
          <cell r="H99">
            <v>42602</v>
          </cell>
          <cell r="I99">
            <v>24</v>
          </cell>
          <cell r="J99">
            <v>16137</v>
          </cell>
          <cell r="K99">
            <v>168</v>
          </cell>
          <cell r="L99">
            <v>4716650</v>
          </cell>
          <cell r="M99">
            <v>850127</v>
          </cell>
          <cell r="N99">
            <v>5548169</v>
          </cell>
        </row>
        <row r="100">
          <cell r="A100">
            <v>99</v>
          </cell>
          <cell r="B100" t="str">
            <v>Cameroon</v>
          </cell>
          <cell r="C100">
            <v>74946</v>
          </cell>
          <cell r="E100">
            <v>1152</v>
          </cell>
          <cell r="G100">
            <v>70497</v>
          </cell>
          <cell r="H100">
            <v>3297</v>
          </cell>
          <cell r="I100">
            <v>385</v>
          </cell>
          <cell r="J100">
            <v>2764</v>
          </cell>
          <cell r="K100">
            <v>42</v>
          </cell>
          <cell r="L100">
            <v>1518411</v>
          </cell>
          <cell r="M100">
            <v>56003</v>
          </cell>
          <cell r="N100">
            <v>27113250</v>
          </cell>
        </row>
        <row r="101">
          <cell r="A101">
            <v>100</v>
          </cell>
          <cell r="B101" t="str">
            <v>El Salvador</v>
          </cell>
          <cell r="C101">
            <v>70915</v>
          </cell>
          <cell r="E101">
            <v>2173</v>
          </cell>
          <cell r="G101">
            <v>66418</v>
          </cell>
          <cell r="H101">
            <v>2324</v>
          </cell>
          <cell r="I101">
            <v>28</v>
          </cell>
          <cell r="J101">
            <v>10886</v>
          </cell>
          <cell r="K101">
            <v>334</v>
          </cell>
          <cell r="L101">
            <v>946627</v>
          </cell>
          <cell r="M101">
            <v>145311</v>
          </cell>
          <cell r="N101">
            <v>6514499</v>
          </cell>
        </row>
        <row r="102">
          <cell r="A102">
            <v>101</v>
          </cell>
          <cell r="B102" t="str">
            <v>Cyprus</v>
          </cell>
          <cell r="C102">
            <v>70571</v>
          </cell>
          <cell r="E102">
            <v>342</v>
          </cell>
          <cell r="G102">
            <v>39061</v>
          </cell>
          <cell r="H102">
            <v>31168</v>
          </cell>
          <cell r="I102">
            <v>54</v>
          </cell>
          <cell r="J102">
            <v>58085</v>
          </cell>
          <cell r="K102">
            <v>281</v>
          </cell>
          <cell r="L102">
            <v>5641097</v>
          </cell>
          <cell r="M102">
            <v>4643062</v>
          </cell>
          <cell r="N102">
            <v>1214952</v>
          </cell>
        </row>
        <row r="103">
          <cell r="A103">
            <v>102</v>
          </cell>
          <cell r="B103" t="str">
            <v>Mozambique</v>
          </cell>
          <cell r="C103">
            <v>70315</v>
          </cell>
          <cell r="E103">
            <v>826</v>
          </cell>
          <cell r="G103">
            <v>68314</v>
          </cell>
          <cell r="H103">
            <v>1175</v>
          </cell>
          <cell r="I103">
            <v>24</v>
          </cell>
          <cell r="J103">
            <v>2197</v>
          </cell>
          <cell r="K103">
            <v>26</v>
          </cell>
          <cell r="L103">
            <v>532010</v>
          </cell>
          <cell r="M103">
            <v>16622</v>
          </cell>
          <cell r="N103">
            <v>32006467</v>
          </cell>
        </row>
        <row r="104">
          <cell r="A104">
            <v>103</v>
          </cell>
          <cell r="B104" t="str">
            <v>Luxembourg</v>
          </cell>
          <cell r="C104">
            <v>68899</v>
          </cell>
          <cell r="E104">
            <v>806</v>
          </cell>
          <cell r="G104">
            <v>65513</v>
          </cell>
          <cell r="H104">
            <v>2580</v>
          </cell>
          <cell r="I104">
            <v>30</v>
          </cell>
          <cell r="J104">
            <v>108545</v>
          </cell>
          <cell r="K104">
            <v>1270</v>
          </cell>
          <cell r="L104">
            <v>2759543</v>
          </cell>
          <cell r="M104">
            <v>4347449</v>
          </cell>
          <cell r="N104">
            <v>634750</v>
          </cell>
        </row>
        <row r="105">
          <cell r="A105">
            <v>104</v>
          </cell>
          <cell r="B105" t="str">
            <v>Afghanistan</v>
          </cell>
          <cell r="C105">
            <v>63349</v>
          </cell>
          <cell r="E105">
            <v>2730</v>
          </cell>
          <cell r="G105">
            <v>54619</v>
          </cell>
          <cell r="H105">
            <v>6000</v>
          </cell>
          <cell r="I105">
            <v>1124</v>
          </cell>
          <cell r="J105">
            <v>1596</v>
          </cell>
          <cell r="K105">
            <v>69</v>
          </cell>
          <cell r="L105">
            <v>428390</v>
          </cell>
          <cell r="M105">
            <v>10796</v>
          </cell>
          <cell r="N105">
            <v>39681789</v>
          </cell>
        </row>
        <row r="106">
          <cell r="A106">
            <v>105</v>
          </cell>
          <cell r="B106" t="str">
            <v>Singapore</v>
          </cell>
          <cell r="C106">
            <v>61453</v>
          </cell>
          <cell r="E106">
            <v>31</v>
          </cell>
          <cell r="G106">
            <v>61029</v>
          </cell>
          <cell r="H106">
            <v>393</v>
          </cell>
          <cell r="I106">
            <v>3</v>
          </cell>
          <cell r="J106">
            <v>10433</v>
          </cell>
          <cell r="K106">
            <v>5</v>
          </cell>
          <cell r="L106">
            <v>10441802</v>
          </cell>
          <cell r="M106">
            <v>1772776</v>
          </cell>
          <cell r="N106">
            <v>5890085</v>
          </cell>
        </row>
        <row r="107">
          <cell r="A107">
            <v>106</v>
          </cell>
          <cell r="B107" t="str">
            <v>Namibia</v>
          </cell>
          <cell r="C107">
            <v>50733</v>
          </cell>
          <cell r="E107">
            <v>704</v>
          </cell>
          <cell r="G107">
            <v>47776</v>
          </cell>
          <cell r="H107">
            <v>2253</v>
          </cell>
          <cell r="I107">
            <v>60</v>
          </cell>
          <cell r="J107">
            <v>19660</v>
          </cell>
          <cell r="K107">
            <v>273</v>
          </cell>
          <cell r="L107">
            <v>406093</v>
          </cell>
          <cell r="M107">
            <v>157369</v>
          </cell>
          <cell r="N107">
            <v>2580514</v>
          </cell>
        </row>
        <row r="108">
          <cell r="A108">
            <v>107</v>
          </cell>
          <cell r="B108" t="str">
            <v>Botswana</v>
          </cell>
          <cell r="C108">
            <v>49041</v>
          </cell>
          <cell r="E108">
            <v>751</v>
          </cell>
          <cell r="G108">
            <v>46290</v>
          </cell>
          <cell r="H108">
            <v>2000</v>
          </cell>
          <cell r="I108">
            <v>1</v>
          </cell>
          <cell r="J108">
            <v>20498</v>
          </cell>
          <cell r="K108">
            <v>314</v>
          </cell>
          <cell r="L108">
            <v>1086267</v>
          </cell>
          <cell r="M108">
            <v>454036</v>
          </cell>
          <cell r="N108">
            <v>2392467</v>
          </cell>
        </row>
        <row r="109">
          <cell r="A109">
            <v>108</v>
          </cell>
          <cell r="B109" t="str">
            <v>Mongolia</v>
          </cell>
          <cell r="C109">
            <v>47548</v>
          </cell>
          <cell r="D109">
            <v>515</v>
          </cell>
          <cell r="E109">
            <v>200</v>
          </cell>
          <cell r="F109">
            <v>7</v>
          </cell>
          <cell r="G109">
            <v>38330</v>
          </cell>
          <cell r="H109">
            <v>9018</v>
          </cell>
          <cell r="I109">
            <v>110</v>
          </cell>
          <cell r="J109">
            <v>14305</v>
          </cell>
          <cell r="K109">
            <v>60</v>
          </cell>
          <cell r="L109">
            <v>2815627</v>
          </cell>
          <cell r="M109">
            <v>847120</v>
          </cell>
          <cell r="N109">
            <v>3323765</v>
          </cell>
        </row>
        <row r="110">
          <cell r="A110">
            <v>109</v>
          </cell>
          <cell r="B110" t="str">
            <v>Jamaica</v>
          </cell>
          <cell r="C110">
            <v>47020</v>
          </cell>
          <cell r="E110">
            <v>834</v>
          </cell>
          <cell r="G110">
            <v>22761</v>
          </cell>
          <cell r="H110">
            <v>23425</v>
          </cell>
          <cell r="I110">
            <v>14</v>
          </cell>
          <cell r="J110">
            <v>15819</v>
          </cell>
          <cell r="K110">
            <v>281</v>
          </cell>
          <cell r="L110">
            <v>350044</v>
          </cell>
          <cell r="M110">
            <v>117767</v>
          </cell>
          <cell r="N110">
            <v>2972343</v>
          </cell>
        </row>
        <row r="111">
          <cell r="A111">
            <v>110</v>
          </cell>
          <cell r="B111" t="str">
            <v>Ivory Coast</v>
          </cell>
          <cell r="C111">
            <v>46520</v>
          </cell>
          <cell r="E111">
            <v>294</v>
          </cell>
          <cell r="G111">
            <v>45977</v>
          </cell>
          <cell r="H111">
            <v>249</v>
          </cell>
          <cell r="J111">
            <v>1727</v>
          </cell>
          <cell r="K111">
            <v>11</v>
          </cell>
          <cell r="L111">
            <v>608960</v>
          </cell>
          <cell r="M111">
            <v>22605</v>
          </cell>
          <cell r="N111">
            <v>26939174</v>
          </cell>
        </row>
        <row r="112">
          <cell r="A112">
            <v>111</v>
          </cell>
          <cell r="B112" t="str">
            <v>Uganda</v>
          </cell>
          <cell r="C112">
            <v>42578</v>
          </cell>
          <cell r="E112">
            <v>346</v>
          </cell>
          <cell r="G112">
            <v>41971</v>
          </cell>
          <cell r="H112">
            <v>261</v>
          </cell>
          <cell r="I112">
            <v>24</v>
          </cell>
          <cell r="J112">
            <v>906</v>
          </cell>
          <cell r="K112">
            <v>7</v>
          </cell>
          <cell r="L112">
            <v>1052657</v>
          </cell>
          <cell r="M112">
            <v>22407</v>
          </cell>
          <cell r="N112">
            <v>46978304</v>
          </cell>
        </row>
        <row r="113">
          <cell r="A113">
            <v>112</v>
          </cell>
          <cell r="B113" t="str">
            <v>Maldives</v>
          </cell>
          <cell r="C113">
            <v>41308</v>
          </cell>
          <cell r="E113">
            <v>87</v>
          </cell>
          <cell r="G113">
            <v>27428</v>
          </cell>
          <cell r="H113">
            <v>13793</v>
          </cell>
          <cell r="I113">
            <v>90</v>
          </cell>
          <cell r="J113">
            <v>75278</v>
          </cell>
          <cell r="K113">
            <v>159</v>
          </cell>
          <cell r="L113">
            <v>783134</v>
          </cell>
          <cell r="M113">
            <v>1427149</v>
          </cell>
          <cell r="N113">
            <v>548740</v>
          </cell>
        </row>
        <row r="114">
          <cell r="A114">
            <v>113</v>
          </cell>
          <cell r="B114" t="str">
            <v>Senegal</v>
          </cell>
          <cell r="C114">
            <v>40790</v>
          </cell>
          <cell r="E114">
            <v>1122</v>
          </cell>
          <cell r="G114">
            <v>39501</v>
          </cell>
          <cell r="H114">
            <v>167</v>
          </cell>
          <cell r="I114">
            <v>12</v>
          </cell>
          <cell r="J114">
            <v>2382</v>
          </cell>
          <cell r="K114">
            <v>66</v>
          </cell>
          <cell r="L114">
            <v>494447</v>
          </cell>
          <cell r="M114">
            <v>28877</v>
          </cell>
          <cell r="N114">
            <v>17122595</v>
          </cell>
        </row>
        <row r="115">
          <cell r="A115">
            <v>114</v>
          </cell>
          <cell r="B115" t="str">
            <v>Madagascar</v>
          </cell>
          <cell r="C115">
            <v>39759</v>
          </cell>
          <cell r="E115">
            <v>745</v>
          </cell>
          <cell r="G115">
            <v>37150</v>
          </cell>
          <cell r="H115">
            <v>1864</v>
          </cell>
          <cell r="I115">
            <v>302</v>
          </cell>
          <cell r="J115">
            <v>1405</v>
          </cell>
          <cell r="K115">
            <v>26</v>
          </cell>
          <cell r="L115">
            <v>194234</v>
          </cell>
          <cell r="M115">
            <v>6863</v>
          </cell>
          <cell r="N115">
            <v>28302091</v>
          </cell>
        </row>
        <row r="116">
          <cell r="A116">
            <v>115</v>
          </cell>
          <cell r="B116" t="str">
            <v>Zimbabwe</v>
          </cell>
          <cell r="C116">
            <v>38491</v>
          </cell>
          <cell r="E116">
            <v>1582</v>
          </cell>
          <cell r="G116">
            <v>36286</v>
          </cell>
          <cell r="H116">
            <v>623</v>
          </cell>
          <cell r="I116">
            <v>12</v>
          </cell>
          <cell r="J116">
            <v>2558</v>
          </cell>
          <cell r="K116">
            <v>105</v>
          </cell>
          <cell r="L116">
            <v>441294</v>
          </cell>
          <cell r="M116">
            <v>29323</v>
          </cell>
          <cell r="N116">
            <v>15049396</v>
          </cell>
        </row>
        <row r="117">
          <cell r="A117">
            <v>116</v>
          </cell>
          <cell r="B117" t="str">
            <v>Sudan</v>
          </cell>
          <cell r="C117">
            <v>34272</v>
          </cell>
          <cell r="E117">
            <v>2446</v>
          </cell>
          <cell r="G117">
            <v>27949</v>
          </cell>
          <cell r="H117">
            <v>3877</v>
          </cell>
          <cell r="J117">
            <v>766</v>
          </cell>
          <cell r="K117">
            <v>55</v>
          </cell>
          <cell r="L117">
            <v>232965</v>
          </cell>
          <cell r="M117">
            <v>5208</v>
          </cell>
          <cell r="N117">
            <v>44728855</v>
          </cell>
        </row>
        <row r="118">
          <cell r="A118">
            <v>117</v>
          </cell>
          <cell r="B118" t="str">
            <v>Malawi</v>
          </cell>
          <cell r="C118">
            <v>34200</v>
          </cell>
          <cell r="E118">
            <v>1153</v>
          </cell>
          <cell r="G118">
            <v>32176</v>
          </cell>
          <cell r="H118">
            <v>871</v>
          </cell>
          <cell r="I118">
            <v>11</v>
          </cell>
          <cell r="J118">
            <v>1749</v>
          </cell>
          <cell r="K118">
            <v>59</v>
          </cell>
          <cell r="L118">
            <v>238017</v>
          </cell>
          <cell r="M118">
            <v>12172</v>
          </cell>
          <cell r="N118">
            <v>19554257</v>
          </cell>
        </row>
        <row r="119">
          <cell r="A119">
            <v>118</v>
          </cell>
          <cell r="B119" t="str">
            <v>DRC</v>
          </cell>
          <cell r="C119">
            <v>30478</v>
          </cell>
          <cell r="E119">
            <v>775</v>
          </cell>
          <cell r="G119">
            <v>26601</v>
          </cell>
          <cell r="H119">
            <v>3102</v>
          </cell>
          <cell r="J119">
            <v>332</v>
          </cell>
          <cell r="K119">
            <v>8</v>
          </cell>
          <cell r="L119">
            <v>155121</v>
          </cell>
          <cell r="M119">
            <v>1688</v>
          </cell>
          <cell r="N119">
            <v>91894622</v>
          </cell>
        </row>
        <row r="120">
          <cell r="A120">
            <v>119</v>
          </cell>
          <cell r="B120" t="str">
            <v>Malta</v>
          </cell>
          <cell r="C120">
            <v>30473</v>
          </cell>
          <cell r="E120">
            <v>417</v>
          </cell>
          <cell r="G120">
            <v>29867</v>
          </cell>
          <cell r="H120">
            <v>189</v>
          </cell>
          <cell r="J120">
            <v>68856</v>
          </cell>
          <cell r="K120">
            <v>942</v>
          </cell>
          <cell r="L120">
            <v>891075</v>
          </cell>
          <cell r="M120">
            <v>2013456</v>
          </cell>
          <cell r="N120">
            <v>442560</v>
          </cell>
        </row>
        <row r="121">
          <cell r="A121">
            <v>120</v>
          </cell>
          <cell r="B121" t="str">
            <v>Australia</v>
          </cell>
          <cell r="C121">
            <v>29957</v>
          </cell>
          <cell r="D121">
            <v>2</v>
          </cell>
          <cell r="E121">
            <v>910</v>
          </cell>
          <cell r="G121">
            <v>28861</v>
          </cell>
          <cell r="H121">
            <v>186</v>
          </cell>
          <cell r="I121">
            <v>1</v>
          </cell>
          <cell r="J121">
            <v>1163</v>
          </cell>
          <cell r="K121">
            <v>35</v>
          </cell>
          <cell r="L121">
            <v>17449487</v>
          </cell>
          <cell r="M121">
            <v>677515</v>
          </cell>
          <cell r="N121">
            <v>25755133</v>
          </cell>
        </row>
        <row r="122">
          <cell r="A122">
            <v>121</v>
          </cell>
          <cell r="B122" t="str">
            <v>Angola</v>
          </cell>
          <cell r="C122">
            <v>29695</v>
          </cell>
          <cell r="E122">
            <v>649</v>
          </cell>
          <cell r="G122">
            <v>25629</v>
          </cell>
          <cell r="H122">
            <v>3417</v>
          </cell>
          <cell r="I122">
            <v>21</v>
          </cell>
          <cell r="J122">
            <v>880</v>
          </cell>
          <cell r="K122">
            <v>19</v>
          </cell>
          <cell r="L122">
            <v>527590</v>
          </cell>
          <cell r="M122">
            <v>15636</v>
          </cell>
          <cell r="N122">
            <v>33742111</v>
          </cell>
        </row>
        <row r="123">
          <cell r="A123">
            <v>122</v>
          </cell>
          <cell r="B123" t="str">
            <v>Cabo Verde</v>
          </cell>
          <cell r="C123">
            <v>27386</v>
          </cell>
          <cell r="E123">
            <v>243</v>
          </cell>
          <cell r="G123">
            <v>24289</v>
          </cell>
          <cell r="H123">
            <v>2854</v>
          </cell>
          <cell r="I123">
            <v>23</v>
          </cell>
          <cell r="J123">
            <v>48799</v>
          </cell>
          <cell r="K123">
            <v>433</v>
          </cell>
          <cell r="L123">
            <v>158645</v>
          </cell>
          <cell r="M123">
            <v>282690</v>
          </cell>
          <cell r="N123">
            <v>561198</v>
          </cell>
        </row>
        <row r="124">
          <cell r="A124">
            <v>123</v>
          </cell>
          <cell r="B124" t="str">
            <v>Rwanda</v>
          </cell>
          <cell r="C124">
            <v>25934</v>
          </cell>
          <cell r="E124">
            <v>342</v>
          </cell>
          <cell r="G124">
            <v>24486</v>
          </cell>
          <cell r="H124">
            <v>1106</v>
          </cell>
          <cell r="I124">
            <v>1</v>
          </cell>
          <cell r="J124">
            <v>1961</v>
          </cell>
          <cell r="K124">
            <v>26</v>
          </cell>
          <cell r="L124">
            <v>1358566</v>
          </cell>
          <cell r="M124">
            <v>102704</v>
          </cell>
          <cell r="N124">
            <v>13227916</v>
          </cell>
        </row>
        <row r="125">
          <cell r="A125">
            <v>124</v>
          </cell>
          <cell r="B125" t="str">
            <v>Gabon</v>
          </cell>
          <cell r="C125">
            <v>23734</v>
          </cell>
          <cell r="E125">
            <v>143</v>
          </cell>
          <cell r="G125">
            <v>20270</v>
          </cell>
          <cell r="H125">
            <v>3321</v>
          </cell>
          <cell r="I125">
            <v>18</v>
          </cell>
          <cell r="J125">
            <v>10452</v>
          </cell>
          <cell r="K125">
            <v>63</v>
          </cell>
          <cell r="L125">
            <v>763003</v>
          </cell>
          <cell r="M125">
            <v>335999</v>
          </cell>
          <cell r="N125">
            <v>2270850</v>
          </cell>
        </row>
        <row r="126">
          <cell r="A126">
            <v>125</v>
          </cell>
          <cell r="B126" t="str">
            <v>Syria</v>
          </cell>
          <cell r="C126">
            <v>23595</v>
          </cell>
          <cell r="E126">
            <v>1682</v>
          </cell>
          <cell r="G126">
            <v>19908</v>
          </cell>
          <cell r="H126">
            <v>2005</v>
          </cell>
          <cell r="J126">
            <v>1321</v>
          </cell>
          <cell r="K126">
            <v>94</v>
          </cell>
          <cell r="L126">
            <v>103566</v>
          </cell>
          <cell r="M126">
            <v>5797</v>
          </cell>
          <cell r="N126">
            <v>17865780</v>
          </cell>
        </row>
        <row r="127">
          <cell r="A127">
            <v>126</v>
          </cell>
          <cell r="B127" t="str">
            <v>Guinea</v>
          </cell>
          <cell r="C127">
            <v>22719</v>
          </cell>
          <cell r="E127">
            <v>151</v>
          </cell>
          <cell r="G127">
            <v>20341</v>
          </cell>
          <cell r="H127">
            <v>2227</v>
          </cell>
          <cell r="I127">
            <v>24</v>
          </cell>
          <cell r="J127">
            <v>1691</v>
          </cell>
          <cell r="K127">
            <v>11</v>
          </cell>
          <cell r="L127">
            <v>444435</v>
          </cell>
          <cell r="M127">
            <v>33072</v>
          </cell>
          <cell r="N127">
            <v>13438415</v>
          </cell>
        </row>
        <row r="128">
          <cell r="A128">
            <v>127</v>
          </cell>
          <cell r="B128" t="str">
            <v>Réunion</v>
          </cell>
          <cell r="C128">
            <v>22644</v>
          </cell>
          <cell r="E128">
            <v>169</v>
          </cell>
          <cell r="G128">
            <v>21603</v>
          </cell>
          <cell r="H128">
            <v>872</v>
          </cell>
          <cell r="I128">
            <v>36</v>
          </cell>
          <cell r="J128">
            <v>25137</v>
          </cell>
          <cell r="K128">
            <v>188</v>
          </cell>
          <cell r="L128">
            <v>102720</v>
          </cell>
          <cell r="M128">
            <v>114028</v>
          </cell>
          <cell r="N128">
            <v>900832</v>
          </cell>
        </row>
        <row r="129">
          <cell r="A129">
            <v>128</v>
          </cell>
          <cell r="B129" t="str">
            <v>French Guiana</v>
          </cell>
          <cell r="C129">
            <v>21433</v>
          </cell>
          <cell r="E129">
            <v>108</v>
          </cell>
          <cell r="G129">
            <v>9995</v>
          </cell>
          <cell r="H129">
            <v>11330</v>
          </cell>
          <cell r="I129">
            <v>24</v>
          </cell>
          <cell r="J129">
            <v>70197</v>
          </cell>
          <cell r="K129">
            <v>354</v>
          </cell>
          <cell r="L129">
            <v>234279</v>
          </cell>
          <cell r="M129">
            <v>767305</v>
          </cell>
          <cell r="N129">
            <v>305327</v>
          </cell>
        </row>
        <row r="130">
          <cell r="A130">
            <v>129</v>
          </cell>
          <cell r="B130" t="str">
            <v>Cambodia</v>
          </cell>
          <cell r="C130">
            <v>21141</v>
          </cell>
          <cell r="E130">
            <v>142</v>
          </cell>
          <cell r="G130">
            <v>9519</v>
          </cell>
          <cell r="H130">
            <v>11480</v>
          </cell>
          <cell r="J130">
            <v>1250</v>
          </cell>
          <cell r="K130">
            <v>8</v>
          </cell>
          <cell r="L130">
            <v>1018022</v>
          </cell>
          <cell r="M130">
            <v>60172</v>
          </cell>
          <cell r="N130">
            <v>16918431</v>
          </cell>
        </row>
        <row r="131">
          <cell r="A131">
            <v>130</v>
          </cell>
          <cell r="B131" t="str">
            <v>Mayotte</v>
          </cell>
          <cell r="C131">
            <v>20176</v>
          </cell>
          <cell r="E131">
            <v>171</v>
          </cell>
          <cell r="G131">
            <v>2964</v>
          </cell>
          <cell r="H131">
            <v>17041</v>
          </cell>
          <cell r="I131">
            <v>6</v>
          </cell>
          <cell r="J131">
            <v>72453</v>
          </cell>
          <cell r="K131">
            <v>614</v>
          </cell>
          <cell r="L131">
            <v>176919</v>
          </cell>
          <cell r="M131">
            <v>635327</v>
          </cell>
          <cell r="N131">
            <v>278469</v>
          </cell>
        </row>
        <row r="132">
          <cell r="A132">
            <v>131</v>
          </cell>
          <cell r="B132" t="str">
            <v>French Polynesia</v>
          </cell>
          <cell r="C132">
            <v>18797</v>
          </cell>
          <cell r="E132">
            <v>141</v>
          </cell>
          <cell r="G132">
            <v>18617</v>
          </cell>
          <cell r="H132">
            <v>39</v>
          </cell>
          <cell r="I132">
            <v>1</v>
          </cell>
          <cell r="J132">
            <v>66582</v>
          </cell>
          <cell r="K132">
            <v>499</v>
          </cell>
          <cell r="L132">
            <v>26355</v>
          </cell>
          <cell r="M132">
            <v>93354</v>
          </cell>
          <cell r="N132">
            <v>282312</v>
          </cell>
        </row>
        <row r="133">
          <cell r="A133">
            <v>132</v>
          </cell>
          <cell r="B133" t="str">
            <v>Mauritania</v>
          </cell>
          <cell r="C133">
            <v>18767</v>
          </cell>
          <cell r="E133">
            <v>457</v>
          </cell>
          <cell r="G133">
            <v>17999</v>
          </cell>
          <cell r="H133">
            <v>311</v>
          </cell>
          <cell r="I133">
            <v>14</v>
          </cell>
          <cell r="J133">
            <v>3947</v>
          </cell>
          <cell r="K133">
            <v>96</v>
          </cell>
          <cell r="L133">
            <v>247170</v>
          </cell>
          <cell r="M133">
            <v>51986</v>
          </cell>
          <cell r="N133">
            <v>4754546</v>
          </cell>
        </row>
        <row r="134">
          <cell r="A134">
            <v>133</v>
          </cell>
          <cell r="B134" t="str">
            <v>Eswatini</v>
          </cell>
          <cell r="C134">
            <v>18497</v>
          </cell>
          <cell r="E134">
            <v>671</v>
          </cell>
          <cell r="G134">
            <v>17786</v>
          </cell>
          <cell r="H134">
            <v>40</v>
          </cell>
          <cell r="I134">
            <v>3</v>
          </cell>
          <cell r="J134">
            <v>15802</v>
          </cell>
          <cell r="K134">
            <v>573</v>
          </cell>
          <cell r="L134">
            <v>196068</v>
          </cell>
          <cell r="M134">
            <v>167503</v>
          </cell>
          <cell r="N134">
            <v>1170532</v>
          </cell>
        </row>
        <row r="135">
          <cell r="A135">
            <v>134</v>
          </cell>
          <cell r="B135" t="str">
            <v>Guadeloupe</v>
          </cell>
          <cell r="C135">
            <v>16017</v>
          </cell>
          <cell r="E135">
            <v>221</v>
          </cell>
          <cell r="G135">
            <v>2242</v>
          </cell>
          <cell r="H135">
            <v>13554</v>
          </cell>
          <cell r="I135">
            <v>33</v>
          </cell>
          <cell r="J135">
            <v>40024</v>
          </cell>
          <cell r="K135">
            <v>552</v>
          </cell>
          <cell r="L135">
            <v>195404</v>
          </cell>
          <cell r="M135">
            <v>488287</v>
          </cell>
          <cell r="N135">
            <v>400183</v>
          </cell>
        </row>
        <row r="136">
          <cell r="A136">
            <v>135</v>
          </cell>
          <cell r="B136" t="str">
            <v>Guyana</v>
          </cell>
          <cell r="C136">
            <v>14845</v>
          </cell>
          <cell r="E136">
            <v>333</v>
          </cell>
          <cell r="G136">
            <v>12693</v>
          </cell>
          <cell r="H136">
            <v>1819</v>
          </cell>
          <cell r="I136">
            <v>12</v>
          </cell>
          <cell r="J136">
            <v>18795</v>
          </cell>
          <cell r="K136">
            <v>422</v>
          </cell>
          <cell r="L136">
            <v>133695</v>
          </cell>
          <cell r="M136">
            <v>169270</v>
          </cell>
          <cell r="N136">
            <v>789833</v>
          </cell>
        </row>
        <row r="137">
          <cell r="A137">
            <v>136</v>
          </cell>
          <cell r="B137" t="str">
            <v>Trinidad and Tobago</v>
          </cell>
          <cell r="C137">
            <v>14814</v>
          </cell>
          <cell r="E137">
            <v>256</v>
          </cell>
          <cell r="G137">
            <v>9744</v>
          </cell>
          <cell r="H137">
            <v>4814</v>
          </cell>
          <cell r="I137">
            <v>15</v>
          </cell>
          <cell r="J137">
            <v>10556</v>
          </cell>
          <cell r="K137">
            <v>182</v>
          </cell>
          <cell r="L137">
            <v>149880</v>
          </cell>
          <cell r="M137">
            <v>106797</v>
          </cell>
          <cell r="N137">
            <v>1403408</v>
          </cell>
        </row>
        <row r="138">
          <cell r="A138">
            <v>137</v>
          </cell>
          <cell r="B138" t="str">
            <v>Somalia</v>
          </cell>
          <cell r="C138">
            <v>14486</v>
          </cell>
          <cell r="E138">
            <v>753</v>
          </cell>
          <cell r="G138">
            <v>6325</v>
          </cell>
          <cell r="H138">
            <v>7408</v>
          </cell>
          <cell r="J138">
            <v>890</v>
          </cell>
          <cell r="K138">
            <v>46</v>
          </cell>
          <cell r="L138">
            <v>120132</v>
          </cell>
          <cell r="M138">
            <v>7382</v>
          </cell>
          <cell r="N138">
            <v>16273534</v>
          </cell>
        </row>
        <row r="139">
          <cell r="A139">
            <v>138</v>
          </cell>
          <cell r="B139" t="str">
            <v>Mali</v>
          </cell>
          <cell r="C139">
            <v>14149</v>
          </cell>
          <cell r="E139">
            <v>508</v>
          </cell>
          <cell r="G139">
            <v>9123</v>
          </cell>
          <cell r="H139">
            <v>4518</v>
          </cell>
          <cell r="J139">
            <v>682</v>
          </cell>
          <cell r="K139">
            <v>24</v>
          </cell>
          <cell r="L139">
            <v>280531</v>
          </cell>
          <cell r="M139">
            <v>13519</v>
          </cell>
          <cell r="N139">
            <v>20750949</v>
          </cell>
        </row>
        <row r="140">
          <cell r="A140">
            <v>139</v>
          </cell>
          <cell r="B140" t="str">
            <v>Andorra</v>
          </cell>
          <cell r="C140">
            <v>13470</v>
          </cell>
          <cell r="E140">
            <v>127</v>
          </cell>
          <cell r="G140">
            <v>13104</v>
          </cell>
          <cell r="H140">
            <v>239</v>
          </cell>
          <cell r="I140">
            <v>12</v>
          </cell>
          <cell r="J140">
            <v>174094</v>
          </cell>
          <cell r="K140">
            <v>1641</v>
          </cell>
          <cell r="L140">
            <v>193595</v>
          </cell>
          <cell r="M140">
            <v>2502133</v>
          </cell>
          <cell r="N140">
            <v>77372</v>
          </cell>
        </row>
        <row r="141">
          <cell r="A141">
            <v>140</v>
          </cell>
          <cell r="B141" t="str">
            <v>Burkina Faso</v>
          </cell>
          <cell r="C141">
            <v>13387</v>
          </cell>
          <cell r="E141">
            <v>164</v>
          </cell>
          <cell r="G141">
            <v>13184</v>
          </cell>
          <cell r="H141">
            <v>39</v>
          </cell>
          <cell r="J141">
            <v>626</v>
          </cell>
          <cell r="K141">
            <v>8</v>
          </cell>
          <cell r="L141">
            <v>182822</v>
          </cell>
          <cell r="M141">
            <v>8545</v>
          </cell>
          <cell r="N141">
            <v>21394982</v>
          </cell>
        </row>
        <row r="142">
          <cell r="A142">
            <v>141</v>
          </cell>
          <cell r="B142" t="str">
            <v>Tajikistan</v>
          </cell>
          <cell r="C142">
            <v>13308</v>
          </cell>
          <cell r="E142">
            <v>90</v>
          </cell>
          <cell r="G142">
            <v>13218</v>
          </cell>
          <cell r="H142">
            <v>0</v>
          </cell>
          <cell r="J142">
            <v>1369</v>
          </cell>
          <cell r="K142">
            <v>9</v>
          </cell>
          <cell r="N142">
            <v>9721751</v>
          </cell>
        </row>
        <row r="143">
          <cell r="A143">
            <v>142</v>
          </cell>
          <cell r="B143" t="str">
            <v>Haiti</v>
          </cell>
          <cell r="C143">
            <v>13268</v>
          </cell>
          <cell r="E143">
            <v>269</v>
          </cell>
          <cell r="G143">
            <v>12397</v>
          </cell>
          <cell r="H143">
            <v>602</v>
          </cell>
          <cell r="J143">
            <v>1151</v>
          </cell>
          <cell r="K143">
            <v>23</v>
          </cell>
          <cell r="L143">
            <v>60085</v>
          </cell>
          <cell r="M143">
            <v>5215</v>
          </cell>
          <cell r="N143">
            <v>11522424</v>
          </cell>
        </row>
        <row r="144">
          <cell r="A144">
            <v>143</v>
          </cell>
          <cell r="B144" t="str">
            <v>Papua New Guinea</v>
          </cell>
          <cell r="C144">
            <v>13242</v>
          </cell>
          <cell r="E144">
            <v>133</v>
          </cell>
          <cell r="G144">
            <v>10995</v>
          </cell>
          <cell r="H144">
            <v>2114</v>
          </cell>
          <cell r="J144">
            <v>1456</v>
          </cell>
          <cell r="K144">
            <v>15</v>
          </cell>
          <cell r="L144">
            <v>104674</v>
          </cell>
          <cell r="M144">
            <v>11512</v>
          </cell>
          <cell r="N144">
            <v>9092865</v>
          </cell>
        </row>
        <row r="145">
          <cell r="A145">
            <v>144</v>
          </cell>
          <cell r="B145" t="str">
            <v>Togo</v>
          </cell>
          <cell r="C145">
            <v>13238</v>
          </cell>
          <cell r="E145">
            <v>125</v>
          </cell>
          <cell r="G145">
            <v>11834</v>
          </cell>
          <cell r="H145">
            <v>1279</v>
          </cell>
          <cell r="J145">
            <v>1567</v>
          </cell>
          <cell r="K145">
            <v>15</v>
          </cell>
          <cell r="L145">
            <v>320905</v>
          </cell>
          <cell r="M145">
            <v>37998</v>
          </cell>
          <cell r="N145">
            <v>8445417</v>
          </cell>
        </row>
        <row r="146">
          <cell r="A146">
            <v>145</v>
          </cell>
          <cell r="B146" t="str">
            <v>Belize</v>
          </cell>
          <cell r="C146">
            <v>12709</v>
          </cell>
          <cell r="E146">
            <v>323</v>
          </cell>
          <cell r="G146">
            <v>12331</v>
          </cell>
          <cell r="H146">
            <v>55</v>
          </cell>
          <cell r="I146">
            <v>1</v>
          </cell>
          <cell r="J146">
            <v>31470</v>
          </cell>
          <cell r="K146">
            <v>800</v>
          </cell>
          <cell r="L146">
            <v>123837</v>
          </cell>
          <cell r="M146">
            <v>306648</v>
          </cell>
          <cell r="N146">
            <v>403841</v>
          </cell>
        </row>
        <row r="147">
          <cell r="A147">
            <v>146</v>
          </cell>
          <cell r="B147" t="str">
            <v>Curaçao</v>
          </cell>
          <cell r="C147">
            <v>12244</v>
          </cell>
          <cell r="E147">
            <v>118</v>
          </cell>
          <cell r="G147">
            <v>12052</v>
          </cell>
          <cell r="H147">
            <v>74</v>
          </cell>
          <cell r="I147">
            <v>23</v>
          </cell>
          <cell r="J147">
            <v>74353</v>
          </cell>
          <cell r="K147">
            <v>717</v>
          </cell>
          <cell r="L147">
            <v>102474</v>
          </cell>
          <cell r="M147">
            <v>622288</v>
          </cell>
          <cell r="N147">
            <v>164673</v>
          </cell>
        </row>
        <row r="148">
          <cell r="A148">
            <v>147</v>
          </cell>
          <cell r="B148" t="str">
            <v>Hong Kong</v>
          </cell>
          <cell r="C148">
            <v>11818</v>
          </cell>
          <cell r="E148">
            <v>210</v>
          </cell>
          <cell r="G148">
            <v>11511</v>
          </cell>
          <cell r="H148">
            <v>97</v>
          </cell>
          <cell r="I148">
            <v>3</v>
          </cell>
          <cell r="J148">
            <v>1565</v>
          </cell>
          <cell r="K148">
            <v>28</v>
          </cell>
          <cell r="L148">
            <v>14841321</v>
          </cell>
          <cell r="M148">
            <v>1965864</v>
          </cell>
          <cell r="N148">
            <v>7549514</v>
          </cell>
        </row>
        <row r="149">
          <cell r="A149">
            <v>148</v>
          </cell>
          <cell r="B149" t="str">
            <v>Martinique</v>
          </cell>
          <cell r="C149">
            <v>11736</v>
          </cell>
          <cell r="E149">
            <v>90</v>
          </cell>
          <cell r="G149">
            <v>98</v>
          </cell>
          <cell r="H149">
            <v>11548</v>
          </cell>
          <cell r="I149">
            <v>24</v>
          </cell>
          <cell r="J149">
            <v>31295</v>
          </cell>
          <cell r="K149">
            <v>240</v>
          </cell>
          <cell r="L149">
            <v>170302</v>
          </cell>
          <cell r="M149">
            <v>454123</v>
          </cell>
          <cell r="N149">
            <v>375013</v>
          </cell>
        </row>
        <row r="150">
          <cell r="A150">
            <v>149</v>
          </cell>
          <cell r="B150" t="str">
            <v>Suriname</v>
          </cell>
          <cell r="C150">
            <v>11572</v>
          </cell>
          <cell r="E150">
            <v>221</v>
          </cell>
          <cell r="G150">
            <v>10034</v>
          </cell>
          <cell r="H150">
            <v>1317</v>
          </cell>
          <cell r="I150">
            <v>27</v>
          </cell>
          <cell r="J150">
            <v>19575</v>
          </cell>
          <cell r="K150">
            <v>374</v>
          </cell>
          <cell r="L150">
            <v>54694</v>
          </cell>
          <cell r="M150">
            <v>92518</v>
          </cell>
          <cell r="N150">
            <v>591171</v>
          </cell>
        </row>
        <row r="151">
          <cell r="A151">
            <v>150</v>
          </cell>
          <cell r="B151" t="str">
            <v>Djibouti</v>
          </cell>
          <cell r="C151">
            <v>11389</v>
          </cell>
          <cell r="E151">
            <v>151</v>
          </cell>
          <cell r="G151">
            <v>11221</v>
          </cell>
          <cell r="H151">
            <v>17</v>
          </cell>
          <cell r="J151">
            <v>11385</v>
          </cell>
          <cell r="K151">
            <v>151</v>
          </cell>
          <cell r="L151">
            <v>152966</v>
          </cell>
          <cell r="M151">
            <v>152907</v>
          </cell>
          <cell r="N151">
            <v>1000383</v>
          </cell>
        </row>
        <row r="152">
          <cell r="A152">
            <v>151</v>
          </cell>
          <cell r="B152" t="str">
            <v>Congo</v>
          </cell>
          <cell r="C152">
            <v>11343</v>
          </cell>
          <cell r="E152">
            <v>148</v>
          </cell>
          <cell r="G152">
            <v>8208</v>
          </cell>
          <cell r="H152">
            <v>2987</v>
          </cell>
          <cell r="J152">
            <v>2013</v>
          </cell>
          <cell r="K152">
            <v>26</v>
          </cell>
          <cell r="L152">
            <v>141948</v>
          </cell>
          <cell r="M152">
            <v>25192</v>
          </cell>
          <cell r="N152">
            <v>5634723</v>
          </cell>
        </row>
        <row r="153">
          <cell r="A153">
            <v>152</v>
          </cell>
          <cell r="B153" t="str">
            <v>Bahamas</v>
          </cell>
          <cell r="C153">
            <v>11024</v>
          </cell>
          <cell r="E153">
            <v>216</v>
          </cell>
          <cell r="G153">
            <v>9967</v>
          </cell>
          <cell r="H153">
            <v>841</v>
          </cell>
          <cell r="I153">
            <v>5</v>
          </cell>
          <cell r="J153">
            <v>27804</v>
          </cell>
          <cell r="K153">
            <v>545</v>
          </cell>
          <cell r="L153">
            <v>91550</v>
          </cell>
          <cell r="M153">
            <v>230902</v>
          </cell>
          <cell r="N153">
            <v>396488</v>
          </cell>
        </row>
        <row r="154">
          <cell r="A154">
            <v>153</v>
          </cell>
          <cell r="B154" t="str">
            <v>Aruba</v>
          </cell>
          <cell r="C154">
            <v>10826</v>
          </cell>
          <cell r="E154">
            <v>104</v>
          </cell>
          <cell r="G154">
            <v>10628</v>
          </cell>
          <cell r="H154">
            <v>94</v>
          </cell>
          <cell r="I154">
            <v>14</v>
          </cell>
          <cell r="J154">
            <v>101028</v>
          </cell>
          <cell r="K154">
            <v>971</v>
          </cell>
          <cell r="L154">
            <v>156035</v>
          </cell>
          <cell r="M154">
            <v>1456121</v>
          </cell>
          <cell r="N154">
            <v>107158</v>
          </cell>
        </row>
        <row r="155">
          <cell r="A155">
            <v>154</v>
          </cell>
          <cell r="B155" t="str">
            <v>Lesotho</v>
          </cell>
          <cell r="C155">
            <v>10778</v>
          </cell>
          <cell r="E155">
            <v>320</v>
          </cell>
          <cell r="G155">
            <v>6427</v>
          </cell>
          <cell r="H155">
            <v>4031</v>
          </cell>
          <cell r="J155">
            <v>4997</v>
          </cell>
          <cell r="K155">
            <v>148</v>
          </cell>
          <cell r="L155">
            <v>86427</v>
          </cell>
          <cell r="M155">
            <v>40070</v>
          </cell>
          <cell r="N155">
            <v>2156917</v>
          </cell>
        </row>
        <row r="156">
          <cell r="A156">
            <v>155</v>
          </cell>
          <cell r="B156" t="str">
            <v>South Sudan</v>
          </cell>
          <cell r="C156">
            <v>10641</v>
          </cell>
          <cell r="E156">
            <v>115</v>
          </cell>
          <cell r="G156">
            <v>10462</v>
          </cell>
          <cell r="H156">
            <v>64</v>
          </cell>
          <cell r="J156">
            <v>941</v>
          </cell>
          <cell r="K156">
            <v>10</v>
          </cell>
          <cell r="L156">
            <v>156542</v>
          </cell>
          <cell r="M156">
            <v>13845</v>
          </cell>
          <cell r="N156">
            <v>11306940</v>
          </cell>
        </row>
        <row r="157">
          <cell r="A157">
            <v>156</v>
          </cell>
          <cell r="B157" t="str">
            <v>Seychelles</v>
          </cell>
          <cell r="C157">
            <v>9184</v>
          </cell>
          <cell r="E157">
            <v>32</v>
          </cell>
          <cell r="G157">
            <v>6413</v>
          </cell>
          <cell r="H157">
            <v>2739</v>
          </cell>
          <cell r="J157">
            <v>92887</v>
          </cell>
          <cell r="K157">
            <v>324</v>
          </cell>
          <cell r="L157">
            <v>21504</v>
          </cell>
          <cell r="M157">
            <v>217491</v>
          </cell>
          <cell r="N157">
            <v>98873</v>
          </cell>
        </row>
        <row r="158">
          <cell r="A158">
            <v>157</v>
          </cell>
          <cell r="B158" t="str">
            <v>Benin</v>
          </cell>
          <cell r="C158">
            <v>7995</v>
          </cell>
          <cell r="E158">
            <v>101</v>
          </cell>
          <cell r="G158">
            <v>7652</v>
          </cell>
          <cell r="H158">
            <v>242</v>
          </cell>
          <cell r="I158">
            <v>35</v>
          </cell>
          <cell r="J158">
            <v>645</v>
          </cell>
          <cell r="K158">
            <v>8</v>
          </cell>
          <cell r="L158">
            <v>595112</v>
          </cell>
          <cell r="M158">
            <v>48009</v>
          </cell>
          <cell r="N158">
            <v>12395725</v>
          </cell>
        </row>
        <row r="159">
          <cell r="A159">
            <v>158</v>
          </cell>
          <cell r="B159" t="str">
            <v>Equatorial Guinea</v>
          </cell>
          <cell r="C159">
            <v>7694</v>
          </cell>
          <cell r="E159">
            <v>112</v>
          </cell>
          <cell r="G159">
            <v>7279</v>
          </cell>
          <cell r="H159">
            <v>303</v>
          </cell>
          <cell r="I159">
            <v>7</v>
          </cell>
          <cell r="J159">
            <v>5334</v>
          </cell>
          <cell r="K159">
            <v>78</v>
          </cell>
          <cell r="L159">
            <v>123169</v>
          </cell>
          <cell r="M159">
            <v>85389</v>
          </cell>
          <cell r="N159">
            <v>1442446</v>
          </cell>
        </row>
        <row r="160">
          <cell r="A160">
            <v>159</v>
          </cell>
          <cell r="B160" t="str">
            <v>Nicaragua</v>
          </cell>
          <cell r="C160">
            <v>7086</v>
          </cell>
          <cell r="E160">
            <v>184</v>
          </cell>
          <cell r="G160">
            <v>4225</v>
          </cell>
          <cell r="H160">
            <v>2677</v>
          </cell>
          <cell r="J160">
            <v>1059</v>
          </cell>
          <cell r="K160">
            <v>27</v>
          </cell>
          <cell r="N160">
            <v>6692543</v>
          </cell>
        </row>
        <row r="161">
          <cell r="A161">
            <v>160</v>
          </cell>
          <cell r="B161" t="str">
            <v>CAR</v>
          </cell>
          <cell r="C161">
            <v>6866</v>
          </cell>
          <cell r="E161">
            <v>95</v>
          </cell>
          <cell r="G161">
            <v>5112</v>
          </cell>
          <cell r="H161">
            <v>1659</v>
          </cell>
          <cell r="I161">
            <v>2</v>
          </cell>
          <cell r="J161">
            <v>1401</v>
          </cell>
          <cell r="K161">
            <v>19</v>
          </cell>
          <cell r="L161">
            <v>40907</v>
          </cell>
          <cell r="M161">
            <v>8345</v>
          </cell>
          <cell r="N161">
            <v>4902067</v>
          </cell>
        </row>
        <row r="162">
          <cell r="A162">
            <v>161</v>
          </cell>
          <cell r="B162" t="str">
            <v>Iceland</v>
          </cell>
          <cell r="C162">
            <v>6526</v>
          </cell>
          <cell r="E162">
            <v>29</v>
          </cell>
          <cell r="G162">
            <v>6422</v>
          </cell>
          <cell r="H162">
            <v>75</v>
          </cell>
          <cell r="I162">
            <v>3</v>
          </cell>
          <cell r="J162">
            <v>19018</v>
          </cell>
          <cell r="K162">
            <v>85</v>
          </cell>
          <cell r="L162">
            <v>622370</v>
          </cell>
          <cell r="M162">
            <v>1813660</v>
          </cell>
          <cell r="N162">
            <v>343157</v>
          </cell>
        </row>
        <row r="163">
          <cell r="A163">
            <v>162</v>
          </cell>
          <cell r="B163" t="str">
            <v>Yemen</v>
          </cell>
          <cell r="C163">
            <v>6507</v>
          </cell>
          <cell r="E163">
            <v>1278</v>
          </cell>
          <cell r="G163">
            <v>3003</v>
          </cell>
          <cell r="H163">
            <v>2226</v>
          </cell>
          <cell r="I163">
            <v>23</v>
          </cell>
          <cell r="J163">
            <v>214</v>
          </cell>
          <cell r="K163">
            <v>42</v>
          </cell>
          <cell r="L163">
            <v>34842</v>
          </cell>
          <cell r="M163">
            <v>1146</v>
          </cell>
          <cell r="N163">
            <v>30390601</v>
          </cell>
        </row>
        <row r="164">
          <cell r="A164">
            <v>163</v>
          </cell>
          <cell r="B164" t="str">
            <v>Gambia</v>
          </cell>
          <cell r="C164">
            <v>5934</v>
          </cell>
          <cell r="E164">
            <v>175</v>
          </cell>
          <cell r="G164">
            <v>5648</v>
          </cell>
          <cell r="H164">
            <v>111</v>
          </cell>
          <cell r="I164">
            <v>3</v>
          </cell>
          <cell r="J164">
            <v>2398</v>
          </cell>
          <cell r="K164">
            <v>71</v>
          </cell>
          <cell r="L164">
            <v>76379</v>
          </cell>
          <cell r="M164">
            <v>30861</v>
          </cell>
          <cell r="N164">
            <v>2474896</v>
          </cell>
        </row>
        <row r="165">
          <cell r="A165">
            <v>164</v>
          </cell>
          <cell r="B165" t="str">
            <v>Niger</v>
          </cell>
          <cell r="C165">
            <v>5326</v>
          </cell>
          <cell r="E165">
            <v>192</v>
          </cell>
          <cell r="G165">
            <v>4936</v>
          </cell>
          <cell r="H165">
            <v>198</v>
          </cell>
          <cell r="I165">
            <v>2</v>
          </cell>
          <cell r="J165">
            <v>213</v>
          </cell>
          <cell r="K165">
            <v>8</v>
          </cell>
          <cell r="L165">
            <v>101658</v>
          </cell>
          <cell r="M165">
            <v>4074</v>
          </cell>
          <cell r="N165">
            <v>24955877</v>
          </cell>
        </row>
        <row r="166">
          <cell r="A166">
            <v>165</v>
          </cell>
          <cell r="B166" t="str">
            <v>San Marino</v>
          </cell>
          <cell r="C166">
            <v>5083</v>
          </cell>
          <cell r="E166">
            <v>90</v>
          </cell>
          <cell r="G166">
            <v>4968</v>
          </cell>
          <cell r="H166">
            <v>25</v>
          </cell>
          <cell r="I166">
            <v>4</v>
          </cell>
          <cell r="J166">
            <v>149531</v>
          </cell>
          <cell r="K166">
            <v>2648</v>
          </cell>
          <cell r="L166">
            <v>63241</v>
          </cell>
          <cell r="M166">
            <v>1860412</v>
          </cell>
          <cell r="N166">
            <v>33993</v>
          </cell>
        </row>
        <row r="167">
          <cell r="A167">
            <v>166</v>
          </cell>
          <cell r="B167" t="str">
            <v>Chad</v>
          </cell>
          <cell r="C167">
            <v>4895</v>
          </cell>
          <cell r="E167">
            <v>172</v>
          </cell>
          <cell r="G167">
            <v>4672</v>
          </cell>
          <cell r="H167">
            <v>51</v>
          </cell>
          <cell r="J167">
            <v>291</v>
          </cell>
          <cell r="K167">
            <v>10</v>
          </cell>
          <cell r="L167">
            <v>116167</v>
          </cell>
          <cell r="M167">
            <v>6902</v>
          </cell>
          <cell r="N167">
            <v>16830013</v>
          </cell>
        </row>
        <row r="168">
          <cell r="A168">
            <v>167</v>
          </cell>
          <cell r="B168" t="str">
            <v>Saint Lucia</v>
          </cell>
          <cell r="C168">
            <v>4725</v>
          </cell>
          <cell r="E168">
            <v>75</v>
          </cell>
          <cell r="G168">
            <v>4502</v>
          </cell>
          <cell r="H168">
            <v>148</v>
          </cell>
          <cell r="I168">
            <v>2</v>
          </cell>
          <cell r="J168">
            <v>25630</v>
          </cell>
          <cell r="K168">
            <v>407</v>
          </cell>
          <cell r="L168">
            <v>42643</v>
          </cell>
          <cell r="M168">
            <v>231312</v>
          </cell>
          <cell r="N168">
            <v>184353</v>
          </cell>
        </row>
        <row r="169">
          <cell r="A169">
            <v>168</v>
          </cell>
          <cell r="B169" t="str">
            <v>Gibraltar</v>
          </cell>
          <cell r="C169">
            <v>4286</v>
          </cell>
          <cell r="E169">
            <v>94</v>
          </cell>
          <cell r="G169">
            <v>4189</v>
          </cell>
          <cell r="H169">
            <v>3</v>
          </cell>
          <cell r="J169">
            <v>127249</v>
          </cell>
          <cell r="K169">
            <v>2791</v>
          </cell>
          <cell r="L169">
            <v>240870</v>
          </cell>
          <cell r="M169">
            <v>7151297</v>
          </cell>
          <cell r="N169">
            <v>33682</v>
          </cell>
        </row>
        <row r="170">
          <cell r="A170">
            <v>169</v>
          </cell>
          <cell r="B170" t="str">
            <v>Burundi</v>
          </cell>
          <cell r="C170">
            <v>4261</v>
          </cell>
          <cell r="E170">
            <v>6</v>
          </cell>
          <cell r="G170">
            <v>773</v>
          </cell>
          <cell r="H170">
            <v>3482</v>
          </cell>
          <cell r="J170">
            <v>349</v>
          </cell>
          <cell r="K170">
            <v>0.5</v>
          </cell>
          <cell r="L170">
            <v>279132</v>
          </cell>
          <cell r="M170">
            <v>22890</v>
          </cell>
          <cell r="N170">
            <v>12194320</v>
          </cell>
        </row>
        <row r="171">
          <cell r="A171">
            <v>170</v>
          </cell>
          <cell r="B171" t="str">
            <v>Sierra Leone</v>
          </cell>
          <cell r="C171">
            <v>4096</v>
          </cell>
          <cell r="E171">
            <v>79</v>
          </cell>
          <cell r="G171">
            <v>3098</v>
          </cell>
          <cell r="H171">
            <v>919</v>
          </cell>
          <cell r="J171">
            <v>505</v>
          </cell>
          <cell r="K171">
            <v>10</v>
          </cell>
          <cell r="L171">
            <v>153257</v>
          </cell>
          <cell r="M171">
            <v>18882</v>
          </cell>
          <cell r="N171">
            <v>8116504</v>
          </cell>
        </row>
        <row r="172">
          <cell r="A172">
            <v>171</v>
          </cell>
          <cell r="B172" t="str">
            <v>Channel Islands</v>
          </cell>
          <cell r="C172">
            <v>4057</v>
          </cell>
          <cell r="E172">
            <v>86</v>
          </cell>
          <cell r="G172">
            <v>3956</v>
          </cell>
          <cell r="H172">
            <v>15</v>
          </cell>
          <cell r="J172">
            <v>23150</v>
          </cell>
          <cell r="K172">
            <v>491</v>
          </cell>
          <cell r="L172">
            <v>454413</v>
          </cell>
          <cell r="M172">
            <v>2592986</v>
          </cell>
          <cell r="N172">
            <v>175247</v>
          </cell>
        </row>
        <row r="173">
          <cell r="A173">
            <v>172</v>
          </cell>
          <cell r="B173" t="str">
            <v>Barbados</v>
          </cell>
          <cell r="C173">
            <v>3959</v>
          </cell>
          <cell r="E173">
            <v>46</v>
          </cell>
          <cell r="G173">
            <v>3908</v>
          </cell>
          <cell r="H173">
            <v>5</v>
          </cell>
          <cell r="J173">
            <v>13762</v>
          </cell>
          <cell r="K173">
            <v>160</v>
          </cell>
          <cell r="L173">
            <v>161164</v>
          </cell>
          <cell r="M173">
            <v>560220</v>
          </cell>
          <cell r="N173">
            <v>287680</v>
          </cell>
        </row>
        <row r="174">
          <cell r="A174">
            <v>173</v>
          </cell>
          <cell r="B174" t="str">
            <v>Timor-Leste</v>
          </cell>
          <cell r="C174">
            <v>3879</v>
          </cell>
          <cell r="E174">
            <v>8</v>
          </cell>
          <cell r="G174">
            <v>2060</v>
          </cell>
          <cell r="H174">
            <v>1811</v>
          </cell>
          <cell r="J174">
            <v>2895</v>
          </cell>
          <cell r="K174">
            <v>6</v>
          </cell>
          <cell r="L174">
            <v>84361</v>
          </cell>
          <cell r="M174">
            <v>62953</v>
          </cell>
          <cell r="N174">
            <v>1340053</v>
          </cell>
        </row>
        <row r="175">
          <cell r="A175">
            <v>174</v>
          </cell>
          <cell r="B175" t="str">
            <v>Comoros</v>
          </cell>
          <cell r="C175">
            <v>3860</v>
          </cell>
          <cell r="E175">
            <v>146</v>
          </cell>
          <cell r="G175">
            <v>3688</v>
          </cell>
          <cell r="H175">
            <v>26</v>
          </cell>
          <cell r="J175">
            <v>4359</v>
          </cell>
          <cell r="K175">
            <v>165</v>
          </cell>
          <cell r="N175">
            <v>885528</v>
          </cell>
        </row>
        <row r="176">
          <cell r="A176">
            <v>175</v>
          </cell>
          <cell r="B176" t="str">
            <v>Eritrea</v>
          </cell>
          <cell r="C176">
            <v>3822</v>
          </cell>
          <cell r="E176">
            <v>12</v>
          </cell>
          <cell r="G176">
            <v>3639</v>
          </cell>
          <cell r="H176">
            <v>171</v>
          </cell>
          <cell r="J176">
            <v>1065</v>
          </cell>
          <cell r="K176">
            <v>3</v>
          </cell>
          <cell r="L176">
            <v>23693</v>
          </cell>
          <cell r="M176">
            <v>6602</v>
          </cell>
          <cell r="N176">
            <v>3588734</v>
          </cell>
        </row>
        <row r="177">
          <cell r="A177">
            <v>176</v>
          </cell>
          <cell r="B177" t="str">
            <v>Guinea-Bissau</v>
          </cell>
          <cell r="C177">
            <v>3743</v>
          </cell>
          <cell r="E177">
            <v>67</v>
          </cell>
          <cell r="G177">
            <v>3418</v>
          </cell>
          <cell r="H177">
            <v>258</v>
          </cell>
          <cell r="I177">
            <v>9</v>
          </cell>
          <cell r="J177">
            <v>1864</v>
          </cell>
          <cell r="K177">
            <v>33</v>
          </cell>
          <cell r="L177">
            <v>65224</v>
          </cell>
          <cell r="M177">
            <v>32483</v>
          </cell>
          <cell r="N177">
            <v>2007958</v>
          </cell>
        </row>
        <row r="178">
          <cell r="A178">
            <v>177</v>
          </cell>
          <cell r="B178" t="str">
            <v>Vietnam</v>
          </cell>
          <cell r="C178">
            <v>3710</v>
          </cell>
          <cell r="E178">
            <v>35</v>
          </cell>
          <cell r="G178">
            <v>2657</v>
          </cell>
          <cell r="H178">
            <v>1018</v>
          </cell>
          <cell r="J178">
            <v>38</v>
          </cell>
          <cell r="K178">
            <v>0.4</v>
          </cell>
          <cell r="L178">
            <v>3091540</v>
          </cell>
          <cell r="M178">
            <v>31516</v>
          </cell>
          <cell r="N178">
            <v>98094805</v>
          </cell>
        </row>
        <row r="179">
          <cell r="A179">
            <v>178</v>
          </cell>
          <cell r="B179" t="str">
            <v>Liechtenstein</v>
          </cell>
          <cell r="C179">
            <v>2980</v>
          </cell>
          <cell r="E179">
            <v>58</v>
          </cell>
          <cell r="G179">
            <v>2887</v>
          </cell>
          <cell r="H179">
            <v>35</v>
          </cell>
          <cell r="I179">
            <v>3</v>
          </cell>
          <cell r="J179">
            <v>77964</v>
          </cell>
          <cell r="K179">
            <v>1517</v>
          </cell>
          <cell r="L179">
            <v>39109</v>
          </cell>
          <cell r="M179">
            <v>1023180</v>
          </cell>
          <cell r="N179">
            <v>38223</v>
          </cell>
        </row>
        <row r="180">
          <cell r="A180">
            <v>179</v>
          </cell>
          <cell r="B180" t="str">
            <v>New Zealand</v>
          </cell>
          <cell r="C180">
            <v>2645</v>
          </cell>
          <cell r="D180">
            <v>1</v>
          </cell>
          <cell r="E180">
            <v>26</v>
          </cell>
          <cell r="G180">
            <v>2601</v>
          </cell>
          <cell r="H180">
            <v>18</v>
          </cell>
          <cell r="J180">
            <v>529</v>
          </cell>
          <cell r="K180">
            <v>5</v>
          </cell>
          <cell r="L180">
            <v>2069812</v>
          </cell>
          <cell r="M180">
            <v>413789</v>
          </cell>
          <cell r="N180">
            <v>5002100</v>
          </cell>
        </row>
        <row r="181">
          <cell r="A181">
            <v>180</v>
          </cell>
          <cell r="B181" t="str">
            <v>Monaco</v>
          </cell>
          <cell r="C181">
            <v>2490</v>
          </cell>
          <cell r="E181">
            <v>32</v>
          </cell>
          <cell r="G181">
            <v>2428</v>
          </cell>
          <cell r="H181">
            <v>30</v>
          </cell>
          <cell r="I181">
            <v>1</v>
          </cell>
          <cell r="J181">
            <v>63067</v>
          </cell>
          <cell r="K181">
            <v>810</v>
          </cell>
          <cell r="L181">
            <v>51953</v>
          </cell>
          <cell r="M181">
            <v>1315865</v>
          </cell>
          <cell r="N181">
            <v>39482</v>
          </cell>
        </row>
        <row r="182">
          <cell r="A182">
            <v>181</v>
          </cell>
          <cell r="B182" t="str">
            <v>Bermuda</v>
          </cell>
          <cell r="C182">
            <v>2461</v>
          </cell>
          <cell r="E182">
            <v>31</v>
          </cell>
          <cell r="G182">
            <v>2222</v>
          </cell>
          <cell r="H182">
            <v>208</v>
          </cell>
          <cell r="I182">
            <v>11</v>
          </cell>
          <cell r="J182">
            <v>39643</v>
          </cell>
          <cell r="K182">
            <v>499</v>
          </cell>
          <cell r="L182">
            <v>251454</v>
          </cell>
          <cell r="M182">
            <v>4050548</v>
          </cell>
          <cell r="N182">
            <v>62079</v>
          </cell>
        </row>
        <row r="183">
          <cell r="A183">
            <v>182</v>
          </cell>
          <cell r="B183" t="str">
            <v>Turks and Caicos</v>
          </cell>
          <cell r="C183">
            <v>2404</v>
          </cell>
          <cell r="E183">
            <v>17</v>
          </cell>
          <cell r="G183">
            <v>2365</v>
          </cell>
          <cell r="H183">
            <v>22</v>
          </cell>
          <cell r="I183">
            <v>2</v>
          </cell>
          <cell r="J183">
            <v>61375</v>
          </cell>
          <cell r="K183">
            <v>434</v>
          </cell>
          <cell r="L183">
            <v>65926</v>
          </cell>
          <cell r="M183">
            <v>1683117</v>
          </cell>
          <cell r="N183">
            <v>39169</v>
          </cell>
        </row>
        <row r="184">
          <cell r="A184">
            <v>183</v>
          </cell>
          <cell r="B184" t="str">
            <v>Sao Tome and Principe</v>
          </cell>
          <cell r="C184">
            <v>2320</v>
          </cell>
          <cell r="E184">
            <v>35</v>
          </cell>
          <cell r="G184">
            <v>2270</v>
          </cell>
          <cell r="H184">
            <v>15</v>
          </cell>
          <cell r="J184">
            <v>10419</v>
          </cell>
          <cell r="K184">
            <v>157</v>
          </cell>
          <cell r="L184">
            <v>12999</v>
          </cell>
          <cell r="M184">
            <v>58380</v>
          </cell>
          <cell r="N184">
            <v>222662</v>
          </cell>
        </row>
        <row r="185">
          <cell r="A185">
            <v>184</v>
          </cell>
          <cell r="B185" t="str">
            <v>Sint Maarten</v>
          </cell>
          <cell r="C185">
            <v>2272</v>
          </cell>
          <cell r="E185">
            <v>27</v>
          </cell>
          <cell r="G185">
            <v>2213</v>
          </cell>
          <cell r="H185">
            <v>32</v>
          </cell>
          <cell r="I185">
            <v>2</v>
          </cell>
          <cell r="J185">
            <v>52476</v>
          </cell>
          <cell r="K185">
            <v>624</v>
          </cell>
          <cell r="L185">
            <v>26880</v>
          </cell>
          <cell r="M185">
            <v>620843</v>
          </cell>
          <cell r="N185">
            <v>43296</v>
          </cell>
        </row>
        <row r="186">
          <cell r="A186">
            <v>185</v>
          </cell>
          <cell r="B186" t="str">
            <v>Liberia</v>
          </cell>
          <cell r="C186">
            <v>2114</v>
          </cell>
          <cell r="E186">
            <v>85</v>
          </cell>
          <cell r="G186">
            <v>1962</v>
          </cell>
          <cell r="H186">
            <v>67</v>
          </cell>
          <cell r="I186">
            <v>2</v>
          </cell>
          <cell r="J186">
            <v>410</v>
          </cell>
          <cell r="K186">
            <v>16</v>
          </cell>
          <cell r="L186">
            <v>97875</v>
          </cell>
          <cell r="M186">
            <v>18969</v>
          </cell>
          <cell r="N186">
            <v>5159805</v>
          </cell>
        </row>
        <row r="187">
          <cell r="A187">
            <v>186</v>
          </cell>
          <cell r="B187" t="str">
            <v>St. Vincent &amp; The Grenadines</v>
          </cell>
          <cell r="C187">
            <v>1928</v>
          </cell>
          <cell r="E187">
            <v>12</v>
          </cell>
          <cell r="G187">
            <v>1764</v>
          </cell>
          <cell r="H187">
            <v>152</v>
          </cell>
          <cell r="I187">
            <v>2</v>
          </cell>
          <cell r="J187">
            <v>17331</v>
          </cell>
          <cell r="K187">
            <v>108</v>
          </cell>
          <cell r="L187">
            <v>46829</v>
          </cell>
          <cell r="M187">
            <v>420954</v>
          </cell>
          <cell r="N187">
            <v>111245</v>
          </cell>
        </row>
        <row r="188">
          <cell r="A188">
            <v>187</v>
          </cell>
          <cell r="B188" t="str">
            <v>Saint Martin</v>
          </cell>
          <cell r="C188">
            <v>1773</v>
          </cell>
          <cell r="E188">
            <v>12</v>
          </cell>
          <cell r="G188">
            <v>1399</v>
          </cell>
          <cell r="H188">
            <v>362</v>
          </cell>
          <cell r="I188">
            <v>7</v>
          </cell>
          <cell r="J188">
            <v>45190</v>
          </cell>
          <cell r="K188">
            <v>306</v>
          </cell>
          <cell r="L188">
            <v>27588</v>
          </cell>
          <cell r="M188">
            <v>703166</v>
          </cell>
          <cell r="N188">
            <v>39234</v>
          </cell>
        </row>
        <row r="189">
          <cell r="A189">
            <v>188</v>
          </cell>
          <cell r="B189" t="str">
            <v>Isle of Man</v>
          </cell>
          <cell r="C189">
            <v>1590</v>
          </cell>
          <cell r="E189">
            <v>29</v>
          </cell>
          <cell r="G189">
            <v>1555</v>
          </cell>
          <cell r="H189">
            <v>6</v>
          </cell>
          <cell r="I189">
            <v>1</v>
          </cell>
          <cell r="J189">
            <v>18613</v>
          </cell>
          <cell r="K189">
            <v>339</v>
          </cell>
          <cell r="L189">
            <v>44761</v>
          </cell>
          <cell r="M189">
            <v>523999</v>
          </cell>
          <cell r="N189">
            <v>85422</v>
          </cell>
        </row>
        <row r="190">
          <cell r="A190">
            <v>189</v>
          </cell>
          <cell r="B190" t="str">
            <v>Caribbean Netherlands</v>
          </cell>
          <cell r="C190">
            <v>1590</v>
          </cell>
          <cell r="E190">
            <v>17</v>
          </cell>
          <cell r="G190">
            <v>1558</v>
          </cell>
          <cell r="H190">
            <v>15</v>
          </cell>
          <cell r="J190">
            <v>60152</v>
          </cell>
          <cell r="K190">
            <v>643</v>
          </cell>
          <cell r="L190">
            <v>10040</v>
          </cell>
          <cell r="M190">
            <v>379828</v>
          </cell>
          <cell r="N190">
            <v>26433</v>
          </cell>
        </row>
        <row r="191">
          <cell r="A191">
            <v>190</v>
          </cell>
          <cell r="B191" t="str">
            <v>Laos</v>
          </cell>
          <cell r="C191">
            <v>1482</v>
          </cell>
          <cell r="E191">
            <v>1</v>
          </cell>
          <cell r="G191">
            <v>431</v>
          </cell>
          <cell r="H191">
            <v>1050</v>
          </cell>
          <cell r="J191">
            <v>201</v>
          </cell>
          <cell r="K191">
            <v>0.1</v>
          </cell>
          <cell r="L191">
            <v>212173</v>
          </cell>
          <cell r="M191">
            <v>28802</v>
          </cell>
          <cell r="N191">
            <v>7366551</v>
          </cell>
        </row>
        <row r="192">
          <cell r="A192">
            <v>191</v>
          </cell>
          <cell r="B192" t="str">
            <v>Mauritius</v>
          </cell>
          <cell r="C192">
            <v>1274</v>
          </cell>
          <cell r="E192">
            <v>17</v>
          </cell>
          <cell r="G192">
            <v>1130</v>
          </cell>
          <cell r="H192">
            <v>127</v>
          </cell>
          <cell r="J192">
            <v>1000</v>
          </cell>
          <cell r="K192">
            <v>13</v>
          </cell>
          <cell r="L192">
            <v>358675</v>
          </cell>
          <cell r="M192">
            <v>281624</v>
          </cell>
          <cell r="N192">
            <v>1273594</v>
          </cell>
        </row>
        <row r="193">
          <cell r="A193">
            <v>192</v>
          </cell>
          <cell r="B193" t="str">
            <v>Bhutan</v>
          </cell>
          <cell r="C193">
            <v>1263</v>
          </cell>
          <cell r="E193">
            <v>1</v>
          </cell>
          <cell r="G193">
            <v>1121</v>
          </cell>
          <cell r="H193">
            <v>141</v>
          </cell>
          <cell r="J193">
            <v>1621</v>
          </cell>
          <cell r="K193">
            <v>1</v>
          </cell>
          <cell r="L193">
            <v>736272</v>
          </cell>
          <cell r="M193">
            <v>945224</v>
          </cell>
          <cell r="N193">
            <v>778939</v>
          </cell>
        </row>
        <row r="194">
          <cell r="A194">
            <v>193</v>
          </cell>
          <cell r="B194" t="str">
            <v>Taiwan</v>
          </cell>
          <cell r="C194">
            <v>1256</v>
          </cell>
          <cell r="E194">
            <v>12</v>
          </cell>
          <cell r="G194">
            <v>1102</v>
          </cell>
          <cell r="H194">
            <v>142</v>
          </cell>
          <cell r="J194">
            <v>53</v>
          </cell>
          <cell r="K194">
            <v>0.5</v>
          </cell>
          <cell r="L194">
            <v>571259</v>
          </cell>
          <cell r="M194">
            <v>23948</v>
          </cell>
          <cell r="N194">
            <v>23854078</v>
          </cell>
        </row>
        <row r="195">
          <cell r="A195">
            <v>194</v>
          </cell>
          <cell r="B195" t="str">
            <v>Antigua and Barbuda</v>
          </cell>
          <cell r="C195">
            <v>1240</v>
          </cell>
          <cell r="E195">
            <v>32</v>
          </cell>
          <cell r="G195">
            <v>1179</v>
          </cell>
          <cell r="H195">
            <v>29</v>
          </cell>
          <cell r="I195">
            <v>4</v>
          </cell>
          <cell r="J195">
            <v>12572</v>
          </cell>
          <cell r="K195">
            <v>324</v>
          </cell>
          <cell r="L195">
            <v>16700</v>
          </cell>
          <cell r="M195">
            <v>169321</v>
          </cell>
          <cell r="N195">
            <v>98629</v>
          </cell>
        </row>
        <row r="196">
          <cell r="A196">
            <v>195</v>
          </cell>
          <cell r="B196" t="str">
            <v>St. Barth</v>
          </cell>
          <cell r="C196">
            <v>974</v>
          </cell>
          <cell r="E196">
            <v>1</v>
          </cell>
          <cell r="G196">
            <v>462</v>
          </cell>
          <cell r="H196">
            <v>511</v>
          </cell>
          <cell r="J196">
            <v>98354</v>
          </cell>
          <cell r="K196">
            <v>101</v>
          </cell>
          <cell r="L196">
            <v>26385</v>
          </cell>
          <cell r="M196">
            <v>2664344</v>
          </cell>
          <cell r="N196">
            <v>9903</v>
          </cell>
        </row>
        <row r="197">
          <cell r="A197">
            <v>196</v>
          </cell>
          <cell r="B197" t="str">
            <v>Diamond Princess</v>
          </cell>
          <cell r="C197">
            <v>712</v>
          </cell>
          <cell r="E197">
            <v>13</v>
          </cell>
          <cell r="G197">
            <v>699</v>
          </cell>
          <cell r="H197">
            <v>0</v>
          </cell>
        </row>
        <row r="198">
          <cell r="A198">
            <v>197</v>
          </cell>
          <cell r="B198" t="str">
            <v>Faeroe Islands</v>
          </cell>
          <cell r="C198">
            <v>669</v>
          </cell>
          <cell r="E198">
            <v>1</v>
          </cell>
          <cell r="G198">
            <v>663</v>
          </cell>
          <cell r="H198">
            <v>5</v>
          </cell>
          <cell r="J198">
            <v>13646</v>
          </cell>
          <cell r="K198">
            <v>20</v>
          </cell>
          <cell r="L198">
            <v>258096</v>
          </cell>
          <cell r="M198">
            <v>5264687</v>
          </cell>
          <cell r="N198">
            <v>49024</v>
          </cell>
        </row>
        <row r="199">
          <cell r="A199">
            <v>198</v>
          </cell>
          <cell r="B199" t="str">
            <v>Cayman Islands</v>
          </cell>
          <cell r="C199">
            <v>561</v>
          </cell>
          <cell r="E199">
            <v>2</v>
          </cell>
          <cell r="G199">
            <v>546</v>
          </cell>
          <cell r="H199">
            <v>13</v>
          </cell>
          <cell r="J199">
            <v>8450</v>
          </cell>
          <cell r="K199">
            <v>30</v>
          </cell>
          <cell r="L199">
            <v>93352</v>
          </cell>
          <cell r="M199">
            <v>1406158</v>
          </cell>
          <cell r="N199">
            <v>66388</v>
          </cell>
        </row>
        <row r="200">
          <cell r="A200">
            <v>199</v>
          </cell>
          <cell r="B200" t="str">
            <v>Tanzania</v>
          </cell>
          <cell r="C200">
            <v>509</v>
          </cell>
          <cell r="E200">
            <v>21</v>
          </cell>
          <cell r="G200">
            <v>183</v>
          </cell>
          <cell r="H200">
            <v>305</v>
          </cell>
          <cell r="I200">
            <v>7</v>
          </cell>
          <cell r="J200">
            <v>8</v>
          </cell>
          <cell r="K200">
            <v>0.3</v>
          </cell>
          <cell r="N200">
            <v>61193226</v>
          </cell>
        </row>
        <row r="201">
          <cell r="A201">
            <v>200</v>
          </cell>
          <cell r="B201" t="str">
            <v>Wallis and Futuna</v>
          </cell>
          <cell r="C201">
            <v>445</v>
          </cell>
          <cell r="E201">
            <v>7</v>
          </cell>
          <cell r="G201">
            <v>44</v>
          </cell>
          <cell r="H201">
            <v>394</v>
          </cell>
          <cell r="I201">
            <v>1</v>
          </cell>
          <cell r="J201">
            <v>40206</v>
          </cell>
          <cell r="K201">
            <v>632</v>
          </cell>
          <cell r="L201">
            <v>17264</v>
          </cell>
          <cell r="M201">
            <v>1559812</v>
          </cell>
          <cell r="N201">
            <v>11068</v>
          </cell>
        </row>
        <row r="202">
          <cell r="A202">
            <v>201</v>
          </cell>
          <cell r="B202" t="str">
            <v>Brunei</v>
          </cell>
          <cell r="C202">
            <v>231</v>
          </cell>
          <cell r="E202">
            <v>3</v>
          </cell>
          <cell r="G202">
            <v>220</v>
          </cell>
          <cell r="H202">
            <v>8</v>
          </cell>
          <cell r="J202">
            <v>524</v>
          </cell>
          <cell r="K202">
            <v>7</v>
          </cell>
          <cell r="L202">
            <v>122884</v>
          </cell>
          <cell r="M202">
            <v>278589</v>
          </cell>
          <cell r="N202">
            <v>441095</v>
          </cell>
        </row>
        <row r="203">
          <cell r="A203">
            <v>202</v>
          </cell>
          <cell r="B203" t="str">
            <v>British Virgin Islands</v>
          </cell>
          <cell r="C203">
            <v>219</v>
          </cell>
          <cell r="E203">
            <v>1</v>
          </cell>
          <cell r="G203">
            <v>193</v>
          </cell>
          <cell r="H203">
            <v>25</v>
          </cell>
          <cell r="J203">
            <v>7203</v>
          </cell>
          <cell r="K203">
            <v>33</v>
          </cell>
          <cell r="L203">
            <v>39777</v>
          </cell>
          <cell r="M203">
            <v>1308239</v>
          </cell>
          <cell r="N203">
            <v>30405</v>
          </cell>
        </row>
        <row r="204">
          <cell r="A204">
            <v>203</v>
          </cell>
          <cell r="B204" t="str">
            <v>Dominica</v>
          </cell>
          <cell r="C204">
            <v>178</v>
          </cell>
          <cell r="G204">
            <v>176</v>
          </cell>
          <cell r="H204">
            <v>2</v>
          </cell>
          <cell r="J204">
            <v>2467</v>
          </cell>
          <cell r="L204">
            <v>15844</v>
          </cell>
          <cell r="M204">
            <v>219625</v>
          </cell>
          <cell r="N204">
            <v>72141</v>
          </cell>
        </row>
        <row r="205">
          <cell r="A205">
            <v>204</v>
          </cell>
          <cell r="B205" t="str">
            <v>Fiji</v>
          </cell>
          <cell r="C205">
            <v>165</v>
          </cell>
          <cell r="E205">
            <v>4</v>
          </cell>
          <cell r="G205">
            <v>109</v>
          </cell>
          <cell r="H205">
            <v>52</v>
          </cell>
          <cell r="J205">
            <v>183</v>
          </cell>
          <cell r="K205">
            <v>4</v>
          </cell>
          <cell r="L205">
            <v>70792</v>
          </cell>
          <cell r="M205">
            <v>78478</v>
          </cell>
          <cell r="N205">
            <v>902057</v>
          </cell>
        </row>
        <row r="206">
          <cell r="A206">
            <v>205</v>
          </cell>
          <cell r="B206" t="str">
            <v>Grenada</v>
          </cell>
          <cell r="C206">
            <v>161</v>
          </cell>
          <cell r="E206">
            <v>1</v>
          </cell>
          <cell r="G206">
            <v>160</v>
          </cell>
          <cell r="H206">
            <v>0</v>
          </cell>
          <cell r="J206">
            <v>1425</v>
          </cell>
          <cell r="K206">
            <v>9</v>
          </cell>
          <cell r="L206">
            <v>28684</v>
          </cell>
          <cell r="M206">
            <v>253899</v>
          </cell>
          <cell r="N206">
            <v>112974</v>
          </cell>
        </row>
        <row r="207">
          <cell r="A207">
            <v>206</v>
          </cell>
          <cell r="B207" t="str">
            <v>New Caledonia</v>
          </cell>
          <cell r="C207">
            <v>124</v>
          </cell>
          <cell r="G207">
            <v>58</v>
          </cell>
          <cell r="H207">
            <v>66</v>
          </cell>
          <cell r="J207">
            <v>431</v>
          </cell>
          <cell r="L207">
            <v>31166</v>
          </cell>
          <cell r="M207">
            <v>108265</v>
          </cell>
          <cell r="N207">
            <v>287867</v>
          </cell>
        </row>
        <row r="208">
          <cell r="A208">
            <v>207</v>
          </cell>
          <cell r="B208" t="str">
            <v>Anguilla</v>
          </cell>
          <cell r="C208">
            <v>109</v>
          </cell>
          <cell r="G208">
            <v>89</v>
          </cell>
          <cell r="H208">
            <v>20</v>
          </cell>
          <cell r="J208">
            <v>7209</v>
          </cell>
          <cell r="L208">
            <v>21630</v>
          </cell>
          <cell r="M208">
            <v>1430650</v>
          </cell>
          <cell r="N208">
            <v>15119</v>
          </cell>
        </row>
        <row r="209">
          <cell r="A209">
            <v>208</v>
          </cell>
          <cell r="B209" t="str">
            <v>Falkland Islands</v>
          </cell>
          <cell r="C209">
            <v>63</v>
          </cell>
          <cell r="G209">
            <v>63</v>
          </cell>
          <cell r="H209">
            <v>0</v>
          </cell>
          <cell r="J209">
            <v>17662</v>
          </cell>
          <cell r="L209">
            <v>7258</v>
          </cell>
          <cell r="M209">
            <v>2034763</v>
          </cell>
          <cell r="N209">
            <v>3567</v>
          </cell>
        </row>
        <row r="210">
          <cell r="A210">
            <v>209</v>
          </cell>
          <cell r="B210" t="str">
            <v>Macao</v>
          </cell>
          <cell r="C210">
            <v>49</v>
          </cell>
          <cell r="G210">
            <v>49</v>
          </cell>
          <cell r="H210">
            <v>0</v>
          </cell>
          <cell r="J210">
            <v>75</v>
          </cell>
          <cell r="L210">
            <v>4483</v>
          </cell>
          <cell r="M210">
            <v>6824</v>
          </cell>
          <cell r="N210">
            <v>656966</v>
          </cell>
        </row>
        <row r="211">
          <cell r="A211">
            <v>210</v>
          </cell>
          <cell r="B211" t="str">
            <v>Saint Kitts and Nevis</v>
          </cell>
          <cell r="C211">
            <v>45</v>
          </cell>
          <cell r="G211">
            <v>44</v>
          </cell>
          <cell r="H211">
            <v>1</v>
          </cell>
          <cell r="J211">
            <v>841</v>
          </cell>
          <cell r="L211">
            <v>13691</v>
          </cell>
          <cell r="M211">
            <v>255792</v>
          </cell>
          <cell r="N211">
            <v>53524</v>
          </cell>
        </row>
        <row r="212">
          <cell r="A212">
            <v>211</v>
          </cell>
          <cell r="B212" t="str">
            <v>Greenland</v>
          </cell>
          <cell r="C212">
            <v>31</v>
          </cell>
          <cell r="G212">
            <v>31</v>
          </cell>
          <cell r="H212">
            <v>0</v>
          </cell>
          <cell r="J212">
            <v>545</v>
          </cell>
          <cell r="L212">
            <v>20669</v>
          </cell>
          <cell r="M212">
            <v>363539</v>
          </cell>
          <cell r="N212">
            <v>56855</v>
          </cell>
        </row>
        <row r="213">
          <cell r="A213">
            <v>212</v>
          </cell>
          <cell r="B213" t="str">
            <v>Vatican City</v>
          </cell>
          <cell r="C213">
            <v>27</v>
          </cell>
          <cell r="G213">
            <v>15</v>
          </cell>
          <cell r="H213">
            <v>12</v>
          </cell>
          <cell r="J213">
            <v>33624</v>
          </cell>
          <cell r="N213">
            <v>803</v>
          </cell>
        </row>
        <row r="214">
          <cell r="A214">
            <v>213</v>
          </cell>
          <cell r="B214" t="str">
            <v>Saint Pierre Miquelon</v>
          </cell>
          <cell r="C214">
            <v>25</v>
          </cell>
          <cell r="G214">
            <v>25</v>
          </cell>
          <cell r="H214">
            <v>0</v>
          </cell>
          <cell r="J214">
            <v>4334</v>
          </cell>
          <cell r="L214">
            <v>5318</v>
          </cell>
          <cell r="M214">
            <v>921824</v>
          </cell>
          <cell r="N214">
            <v>5769</v>
          </cell>
        </row>
        <row r="215">
          <cell r="A215">
            <v>214</v>
          </cell>
          <cell r="B215" t="str">
            <v>Montserrat</v>
          </cell>
          <cell r="C215">
            <v>20</v>
          </cell>
          <cell r="E215">
            <v>1</v>
          </cell>
          <cell r="G215">
            <v>19</v>
          </cell>
          <cell r="H215">
            <v>0</v>
          </cell>
          <cell r="J215">
            <v>4004</v>
          </cell>
          <cell r="K215">
            <v>200</v>
          </cell>
          <cell r="L215">
            <v>1313</v>
          </cell>
          <cell r="M215">
            <v>262863</v>
          </cell>
          <cell r="N215">
            <v>4995</v>
          </cell>
        </row>
        <row r="216">
          <cell r="A216">
            <v>215</v>
          </cell>
          <cell r="B216" t="str">
            <v>Solomon Islands</v>
          </cell>
          <cell r="C216">
            <v>20</v>
          </cell>
          <cell r="G216">
            <v>20</v>
          </cell>
          <cell r="H216">
            <v>0</v>
          </cell>
          <cell r="J216">
            <v>29</v>
          </cell>
          <cell r="L216">
            <v>4500</v>
          </cell>
          <cell r="M216">
            <v>6416</v>
          </cell>
          <cell r="N216">
            <v>701349</v>
          </cell>
        </row>
        <row r="217">
          <cell r="A217">
            <v>216</v>
          </cell>
          <cell r="B217" t="str">
            <v>Western Sahara</v>
          </cell>
          <cell r="C217">
            <v>10</v>
          </cell>
          <cell r="E217">
            <v>1</v>
          </cell>
          <cell r="G217">
            <v>8</v>
          </cell>
          <cell r="H217">
            <v>1</v>
          </cell>
          <cell r="J217">
            <v>16</v>
          </cell>
          <cell r="K217">
            <v>2</v>
          </cell>
          <cell r="N217">
            <v>609951</v>
          </cell>
        </row>
        <row r="218">
          <cell r="A218">
            <v>217</v>
          </cell>
          <cell r="B218" t="str">
            <v>MS Zaandam</v>
          </cell>
          <cell r="C218">
            <v>9</v>
          </cell>
          <cell r="E218">
            <v>2</v>
          </cell>
          <cell r="G218">
            <v>7</v>
          </cell>
          <cell r="H218">
            <v>0</v>
          </cell>
        </row>
        <row r="219">
          <cell r="A219">
            <v>218</v>
          </cell>
          <cell r="B219" t="str">
            <v>Vanuatu</v>
          </cell>
          <cell r="C219">
            <v>4</v>
          </cell>
          <cell r="E219">
            <v>1</v>
          </cell>
          <cell r="G219">
            <v>3</v>
          </cell>
          <cell r="H219">
            <v>0</v>
          </cell>
          <cell r="J219">
            <v>13</v>
          </cell>
          <cell r="K219">
            <v>3</v>
          </cell>
          <cell r="L219">
            <v>23000</v>
          </cell>
          <cell r="M219">
            <v>73409</v>
          </cell>
          <cell r="N219">
            <v>313311</v>
          </cell>
        </row>
        <row r="220">
          <cell r="A220">
            <v>219</v>
          </cell>
          <cell r="B220" t="str">
            <v>Marshall Islands</v>
          </cell>
          <cell r="C220">
            <v>4</v>
          </cell>
          <cell r="G220">
            <v>4</v>
          </cell>
          <cell r="H220">
            <v>0</v>
          </cell>
          <cell r="J220">
            <v>67</v>
          </cell>
          <cell r="N220">
            <v>59535</v>
          </cell>
        </row>
        <row r="221">
          <cell r="A221">
            <v>220</v>
          </cell>
          <cell r="B221" t="str">
            <v>Samoa</v>
          </cell>
          <cell r="C221">
            <v>3</v>
          </cell>
          <cell r="G221">
            <v>2</v>
          </cell>
          <cell r="H221">
            <v>1</v>
          </cell>
          <cell r="J221">
            <v>15</v>
          </cell>
          <cell r="N221">
            <v>199553</v>
          </cell>
        </row>
        <row r="222">
          <cell r="A222">
            <v>221</v>
          </cell>
          <cell r="B222" t="str">
            <v>Saint Helena</v>
          </cell>
          <cell r="C222">
            <v>2</v>
          </cell>
          <cell r="G222">
            <v>2</v>
          </cell>
          <cell r="H222">
            <v>0</v>
          </cell>
          <cell r="J222">
            <v>328</v>
          </cell>
          <cell r="N222">
            <v>6093</v>
          </cell>
        </row>
        <row r="223">
          <cell r="A223">
            <v>222</v>
          </cell>
          <cell r="B223" t="str">
            <v>Micronesia</v>
          </cell>
          <cell r="C223">
            <v>1</v>
          </cell>
          <cell r="G223">
            <v>1</v>
          </cell>
          <cell r="H223">
            <v>0</v>
          </cell>
          <cell r="J223">
            <v>9</v>
          </cell>
          <cell r="N223">
            <v>116064</v>
          </cell>
        </row>
      </sheetData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84BFE07-CD31-475C-9054-7F821E5B0D4E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5AEE541-1574-4A5D-8C19-F1E7B091AD9C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E4C5D6A-629F-40F4-BB56-9643DB0AB9DA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DAAB8B-DAF9-4E22-8871-B610842EDA49}" name="Table_0__3" displayName="Table_0__3" ref="A1:N224" tableType="queryTable" totalsRowShown="0">
  <autoFilter ref="A1:N224" xr:uid="{FC44B6B9-79F9-4FD8-B490-AFCB4A9E3DFA}"/>
  <tableColumns count="14">
    <tableColumn id="1" xr3:uid="{9C04613B-CE98-45DD-91A4-4CA864DDDBEB}" uniqueName="1" name="#" queryTableFieldId="1"/>
    <tableColumn id="2" xr3:uid="{5CA6143D-B4C1-423A-8750-AF18E44ABC56}" uniqueName="2" name="Country, Other" queryTableFieldId="2" dataDxfId="2"/>
    <tableColumn id="3" xr3:uid="{20394A20-7163-4C08-96BD-C76074BC0848}" uniqueName="3" name="Total Cases" queryTableFieldId="3"/>
    <tableColumn id="4" xr3:uid="{58950428-5B99-4A0D-879C-E0DACC24B8F7}" uniqueName="4" name="New Cases" queryTableFieldId="4"/>
    <tableColumn id="5" xr3:uid="{9AD0D23F-B973-4157-A573-55408FC1566F}" uniqueName="5" name="Total Deaths" queryTableFieldId="5"/>
    <tableColumn id="6" xr3:uid="{0713D832-6C46-4F68-9BC8-68B81D5C364D}" uniqueName="6" name="New Deaths" queryTableFieldId="6"/>
    <tableColumn id="7" xr3:uid="{627C542D-7C86-48CB-AF13-CDCB974914D5}" uniqueName="7" name="Total Recovered" queryTableFieldId="7"/>
    <tableColumn id="8" xr3:uid="{36DBDB1D-3B40-4529-A032-95DB018AEB99}" uniqueName="8" name="Active Cases" queryTableFieldId="8"/>
    <tableColumn id="9" xr3:uid="{805197E9-4D36-4106-B43A-2AAD62181586}" uniqueName="9" name="Serious, Critical" queryTableFieldId="9"/>
    <tableColumn id="10" xr3:uid="{F40E1E6F-40C9-42C0-A00F-72D197EAA6F2}" uniqueName="10" name="Tot Cases/ 1M pop" queryTableFieldId="10"/>
    <tableColumn id="11" xr3:uid="{2F4F79A2-1CF9-4312-91D9-080A99592AB9}" uniqueName="11" name="Deaths/ 1M pop" queryTableFieldId="11"/>
    <tableColumn id="12" xr3:uid="{5813DC0A-FB42-462A-8615-21AA2CF08260}" uniqueName="12" name="Total Tests" queryTableFieldId="12"/>
    <tableColumn id="13" xr3:uid="{0F5293A4-8EDA-4521-83A6-F403347F1B83}" uniqueName="13" name="Tests/ _x000a_1M pop" queryTableFieldId="13"/>
    <tableColumn id="14" xr3:uid="{D31C53C7-8C64-44D2-B636-673B3A2334FE}" uniqueName="14" name="Population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018539-4BBF-434A-ABDF-5319819B3924}" name="Table_03" displayName="Table_03" ref="A1:N233" tableType="queryTable" totalsRowShown="0">
  <autoFilter ref="A1:N233" xr:uid="{5A76B703-7E53-441C-A7A4-B17A00BFCC35}"/>
  <tableColumns count="14">
    <tableColumn id="1" xr3:uid="{E40A4990-4FC6-471A-A773-9E81F7DA01E5}" uniqueName="1" name="#" queryTableFieldId="1"/>
    <tableColumn id="2" xr3:uid="{96177F62-D85A-4F6C-8730-4A87C02F435A}" uniqueName="2" name="Country, Other" queryTableFieldId="2" dataDxfId="1"/>
    <tableColumn id="3" xr3:uid="{78565E6B-B3DE-49AD-8460-EB04CBDD83F9}" uniqueName="3" name="Total Cases" queryTableFieldId="3"/>
    <tableColumn id="4" xr3:uid="{6C102DF5-4C84-412C-8C49-0C361222EDE8}" uniqueName="4" name="New Cases" queryTableFieldId="4"/>
    <tableColumn id="5" xr3:uid="{F304CC61-18C6-4D23-B1A0-EE46A689D7AB}" uniqueName="5" name="Total Deaths" queryTableFieldId="5"/>
    <tableColumn id="6" xr3:uid="{7F2C2F8B-9A2B-43EF-A71A-13DC81549516}" uniqueName="6" name="New Deaths" queryTableFieldId="6"/>
    <tableColumn id="7" xr3:uid="{A99D6877-9859-4AFD-850E-5A7E60A38AFD}" uniqueName="7" name="Total Recovered" queryTableFieldId="7"/>
    <tableColumn id="8" xr3:uid="{613BBD11-C8F5-4FB1-ADA1-B9D9F461233D}" uniqueName="8" name="Active Cases" queryTableFieldId="8"/>
    <tableColumn id="9" xr3:uid="{D565DBD3-AFEF-469D-971F-694E06DCE203}" uniqueName="9" name="Serious, Critical" queryTableFieldId="9"/>
    <tableColumn id="10" xr3:uid="{62D23306-215C-497E-A1D1-FA6C9D33FD43}" uniqueName="10" name="Tot Cases/ 1M pop" queryTableFieldId="10"/>
    <tableColumn id="11" xr3:uid="{628FB8A5-CA96-454C-9744-7E16C546E433}" uniqueName="11" name="Deaths/ 1M pop" queryTableFieldId="11"/>
    <tableColumn id="12" xr3:uid="{B7D8614E-5E87-4B21-9E99-2ADAFDBF45C4}" uniqueName="12" name="Total Tests" queryTableFieldId="12"/>
    <tableColumn id="13" xr3:uid="{EC3F0E4B-6F48-4560-ADA3-843BA1BEAB39}" uniqueName="13" name="Tests/ _x000a_1M pop" queryTableFieldId="13"/>
    <tableColumn id="14" xr3:uid="{0C214706-C272-4A92-9EEE-A6A082875265}" uniqueName="14" name="Population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40B06D-99C9-49EC-BE89-F54AB1F41112}" name="Table_0" displayName="Table_0" ref="A1:N232" tableType="queryTable" totalsRowShown="0">
  <autoFilter ref="A1:N232" xr:uid="{42D9A011-8562-4C88-B0F5-08177204DB99}"/>
  <tableColumns count="14">
    <tableColumn id="1" xr3:uid="{E945EF4F-0A7C-43D4-BA06-DEAC1D811AB4}" uniqueName="1" name="#" queryTableFieldId="1"/>
    <tableColumn id="2" xr3:uid="{ABD4306F-86A4-4211-AD5B-7E2BAA60B575}" uniqueName="2" name="Country/Entity" queryTableFieldId="2" dataDxfId="0"/>
    <tableColumn id="3" xr3:uid="{4407673A-E381-40DC-B8C8-48C0797D82BA}" uniqueName="3" name="Total Cases" queryTableFieldId="3"/>
    <tableColumn id="4" xr3:uid="{FC4F8D8A-2D1E-4F0A-9F77-2C8DAABFCC94}" uniqueName="4" name="New Cases" queryTableFieldId="4"/>
    <tableColumn id="5" xr3:uid="{336FAEB6-D642-4CB0-80F5-97E28A45B2CE}" uniqueName="5" name="Total Deaths" queryTableFieldId="5"/>
    <tableColumn id="6" xr3:uid="{517CF62A-7C98-45D2-B12E-6DA426F074D2}" uniqueName="6" name="New Deaths" queryTableFieldId="6"/>
    <tableColumn id="7" xr3:uid="{18938722-056C-472B-AAF2-5A0E75A388B6}" uniqueName="7" name="Total Recovered" queryTableFieldId="7"/>
    <tableColumn id="8" xr3:uid="{9FCA6EFC-6B17-4137-AB0E-DD0923457F28}" uniqueName="8" name="Active Cases" queryTableFieldId="8"/>
    <tableColumn id="9" xr3:uid="{58510E3B-F488-41C2-8000-E31B4193682F}" uniqueName="9" name="Serious, Critical" queryTableFieldId="9"/>
    <tableColumn id="10" xr3:uid="{AEF21157-80CC-47B9-AA2D-BF5F2F78F4EB}" uniqueName="10" name="Tot Cases/ 1M pop" queryTableFieldId="10"/>
    <tableColumn id="11" xr3:uid="{BB82C8E7-81C5-4133-BED0-4C3E295E5CBC}" uniqueName="11" name="Deaths/ 1M pop" queryTableFieldId="11"/>
    <tableColumn id="12" xr3:uid="{2425552A-D25B-4A6A-A945-02045EC55ABC}" uniqueName="12" name="Total Tests" queryTableFieldId="12"/>
    <tableColumn id="13" xr3:uid="{806EEE1B-C9EB-4B7C-94B3-C942EA5FE0FA}" uniqueName="13" name="Tests/ _x000a_1M pop" queryTableFieldId="13"/>
    <tableColumn id="14" xr3:uid="{A36895B9-5EAB-4FF6-86C1-E154BB5D54BD}" uniqueName="14" name="Population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D533F-504F-4B4B-8640-453F7775ABC4}">
  <sheetPr codeName="Sheet2"/>
  <dimension ref="A1:D13"/>
  <sheetViews>
    <sheetView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18.140625" bestFit="1" customWidth="1"/>
    <col min="4" max="4" width="11.85546875" bestFit="1" customWidth="1"/>
  </cols>
  <sheetData>
    <row r="1" spans="1:4" ht="18.75" x14ac:dyDescent="0.3">
      <c r="A1" s="6" t="s">
        <v>250</v>
      </c>
      <c r="B1" s="7" t="s">
        <v>16</v>
      </c>
    </row>
    <row r="2" spans="1:4" ht="18.75" x14ac:dyDescent="0.3">
      <c r="A2" s="8" t="s">
        <v>251</v>
      </c>
      <c r="B2" s="9">
        <f>_xlfn.XLOOKUP($B$1,'COVID-19 Stats 5-17-2021'!B:B,'COVID-19 Stats 5-17-2021'!A:A,0,0,1)</f>
        <v>3</v>
      </c>
    </row>
    <row r="3" spans="1:4" ht="18.75" x14ac:dyDescent="0.3">
      <c r="A3" s="8" t="s">
        <v>13</v>
      </c>
      <c r="B3" s="10">
        <f>VLOOKUP($B$2,May172021Stats,14,FALSE)</f>
        <v>213877218</v>
      </c>
    </row>
    <row r="4" spans="1:4" ht="18.75" x14ac:dyDescent="0.3">
      <c r="A4" s="8" t="s">
        <v>2</v>
      </c>
      <c r="B4" s="11">
        <f>VLOOKUP($B$2,May172021Stats,3,FALSE)</f>
        <v>15661106</v>
      </c>
    </row>
    <row r="5" spans="1:4" ht="18.75" x14ac:dyDescent="0.3">
      <c r="A5" s="8" t="s">
        <v>3</v>
      </c>
      <c r="B5" s="11">
        <f>VLOOKUP($B$2,May172021Stats,4,FALSE)</f>
        <v>33631</v>
      </c>
    </row>
    <row r="6" spans="1:4" ht="18.75" x14ac:dyDescent="0.3">
      <c r="A6" s="8" t="s">
        <v>4</v>
      </c>
      <c r="B6" s="12">
        <f>VLOOKUP($B$2,May172021Stats,5,FALSE)</f>
        <v>436862</v>
      </c>
      <c r="C6" s="5">
        <f>(1-B6/B4)</f>
        <v>0.97210529064805518</v>
      </c>
      <c r="D6" t="s">
        <v>252</v>
      </c>
    </row>
    <row r="7" spans="1:4" ht="18.75" x14ac:dyDescent="0.3">
      <c r="A7" s="8" t="s">
        <v>5</v>
      </c>
      <c r="B7" s="11">
        <f>VLOOKUP($B$2,May172021Stats,6,FALSE)</f>
        <v>1039</v>
      </c>
    </row>
    <row r="8" spans="1:4" ht="18.75" x14ac:dyDescent="0.3">
      <c r="A8" s="8" t="s">
        <v>6</v>
      </c>
      <c r="B8" s="11">
        <f>VLOOKUP($B$2,May172021Stats,7,FALSE)</f>
        <v>14152433</v>
      </c>
    </row>
    <row r="9" spans="1:4" ht="18.75" x14ac:dyDescent="0.3">
      <c r="A9" s="8" t="s">
        <v>7</v>
      </c>
      <c r="B9" s="11">
        <f>VLOOKUP($B$2,May172021Stats,8,FALSE)</f>
        <v>1071811</v>
      </c>
    </row>
    <row r="10" spans="1:4" ht="18.75" x14ac:dyDescent="0.3">
      <c r="A10" s="8" t="s">
        <v>9</v>
      </c>
      <c r="B10" s="11">
        <f>VLOOKUP($B$2,May172021Stats,10,FALSE)</f>
        <v>73225</v>
      </c>
    </row>
    <row r="11" spans="1:4" ht="18.75" x14ac:dyDescent="0.3">
      <c r="A11" s="8" t="s">
        <v>10</v>
      </c>
      <c r="B11" s="13">
        <f>VLOOKUP($B$2,May172021Stats,11,FALSE)</f>
        <v>2043</v>
      </c>
    </row>
    <row r="12" spans="1:4" ht="18.75" x14ac:dyDescent="0.3">
      <c r="A12" s="8" t="s">
        <v>11</v>
      </c>
      <c r="B12" s="11">
        <f>VLOOKUP($B$2,May172021Stats,12,FALSE)</f>
        <v>47073060</v>
      </c>
    </row>
    <row r="13" spans="1:4" ht="18.75" x14ac:dyDescent="0.3">
      <c r="A13" s="14" t="s">
        <v>12</v>
      </c>
      <c r="B13" s="15">
        <f>VLOOKUP($B$2,May172021Stats,13,FALSE)</f>
        <v>220094</v>
      </c>
    </row>
  </sheetData>
  <sheetProtection sheet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634C-033C-4FFD-ACB5-7976A3E2A4AD}">
  <sheetPr codeName="Sheet1"/>
  <dimension ref="A1:D13"/>
  <sheetViews>
    <sheetView zoomScale="150" zoomScaleNormal="150" workbookViewId="0">
      <selection activeCell="B2" sqref="B2"/>
    </sheetView>
  </sheetViews>
  <sheetFormatPr defaultRowHeight="15" x14ac:dyDescent="0.25"/>
  <cols>
    <col min="1" max="1" width="24.85546875" bestFit="1" customWidth="1"/>
    <col min="2" max="2" width="17.85546875" customWidth="1"/>
    <col min="4" max="4" width="11.85546875" bestFit="1" customWidth="1"/>
  </cols>
  <sheetData>
    <row r="1" spans="1:4" ht="30.75" customHeight="1" x14ac:dyDescent="0.3">
      <c r="A1" s="6" t="s">
        <v>250</v>
      </c>
      <c r="B1" s="7"/>
    </row>
    <row r="2" spans="1:4" ht="18.75" x14ac:dyDescent="0.3">
      <c r="A2" s="8" t="s">
        <v>251</v>
      </c>
      <c r="B2" s="16">
        <v>1</v>
      </c>
    </row>
    <row r="3" spans="1:4" ht="18.75" x14ac:dyDescent="0.3">
      <c r="A3" s="8" t="s">
        <v>13</v>
      </c>
      <c r="B3" s="17">
        <f>VLOOKUP($B$2,May172021Stats,14,FALSE)</f>
        <v>332696143</v>
      </c>
    </row>
    <row r="4" spans="1:4" ht="18.75" x14ac:dyDescent="0.3">
      <c r="A4" s="8" t="s">
        <v>2</v>
      </c>
      <c r="B4" s="18">
        <f>VLOOKUP($B$2,May172021Stats,3,FALSE)</f>
        <v>33743560</v>
      </c>
    </row>
    <row r="5" spans="1:4" ht="18.75" x14ac:dyDescent="0.3">
      <c r="A5" s="8" t="s">
        <v>3</v>
      </c>
      <c r="B5" s="18">
        <f>VLOOKUP($B$2,May172021Stats,4,FALSE)</f>
        <v>21481</v>
      </c>
    </row>
    <row r="6" spans="1:4" ht="18.75" x14ac:dyDescent="0.3">
      <c r="A6" s="8" t="s">
        <v>4</v>
      </c>
      <c r="B6" s="19">
        <f>VLOOKUP($B$2,May172021Stats,5,FALSE)</f>
        <v>600501</v>
      </c>
      <c r="C6" s="5">
        <f>(1-B6/B4)</f>
        <v>0.98220398203390513</v>
      </c>
      <c r="D6" t="s">
        <v>252</v>
      </c>
    </row>
    <row r="7" spans="1:4" ht="18.75" x14ac:dyDescent="0.3">
      <c r="A7" s="8" t="s">
        <v>5</v>
      </c>
      <c r="B7" s="18">
        <f>VLOOKUP($B$2,May172021Stats,6,FALSE)</f>
        <v>336</v>
      </c>
    </row>
    <row r="8" spans="1:4" ht="18.75" x14ac:dyDescent="0.3">
      <c r="A8" s="8" t="s">
        <v>6</v>
      </c>
      <c r="B8" s="18">
        <f>VLOOKUP($B$2,May172021Stats,7,FALSE)</f>
        <v>27193650</v>
      </c>
    </row>
    <row r="9" spans="1:4" ht="18.75" x14ac:dyDescent="0.3">
      <c r="A9" s="8" t="s">
        <v>7</v>
      </c>
      <c r="B9" s="18">
        <f>VLOOKUP($B$2,May172021Stats,8,FALSE)</f>
        <v>5949409</v>
      </c>
    </row>
    <row r="10" spans="1:4" ht="18.75" x14ac:dyDescent="0.3">
      <c r="A10" s="8" t="s">
        <v>9</v>
      </c>
      <c r="B10" s="18">
        <f>VLOOKUP($B$2,May172021Stats,10,FALSE)</f>
        <v>101425</v>
      </c>
    </row>
    <row r="11" spans="1:4" ht="18.75" x14ac:dyDescent="0.3">
      <c r="A11" s="8" t="s">
        <v>10</v>
      </c>
      <c r="B11" s="20">
        <f>VLOOKUP($B$2,May172021Stats,11,FALSE)</f>
        <v>1805</v>
      </c>
    </row>
    <row r="12" spans="1:4" ht="18.75" x14ac:dyDescent="0.3">
      <c r="A12" s="8" t="s">
        <v>11</v>
      </c>
      <c r="B12" s="18">
        <f>VLOOKUP($B$2,May172021Stats,12,FALSE)</f>
        <v>466982985</v>
      </c>
    </row>
    <row r="13" spans="1:4" ht="18.75" x14ac:dyDescent="0.3">
      <c r="A13" s="14" t="s">
        <v>12</v>
      </c>
      <c r="B13" s="21">
        <f>VLOOKUP($B$2,May172021Stats,13,FALSE)</f>
        <v>1403632</v>
      </c>
    </row>
  </sheetData>
  <sheetProtection sheet="1" objects="1" scenarios="1" selectLockedCell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locked="0" defaultSize="0" autoLine="0" autoPict="0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3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04B82-D6AE-4E53-A9B2-57EBC9C316C7}">
  <sheetPr codeName="Sheet6"/>
  <dimension ref="A1:D13"/>
  <sheetViews>
    <sheetView tabSelected="1"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28" bestFit="1" customWidth="1"/>
    <col min="4" max="4" width="11.85546875" bestFit="1" customWidth="1"/>
  </cols>
  <sheetData>
    <row r="1" spans="1:4" ht="18.75" x14ac:dyDescent="0.3">
      <c r="A1" s="8" t="s">
        <v>251</v>
      </c>
      <c r="B1" s="29">
        <v>1</v>
      </c>
    </row>
    <row r="2" spans="1:4" ht="18.75" x14ac:dyDescent="0.3">
      <c r="A2" s="8" t="s">
        <v>250</v>
      </c>
      <c r="B2" s="30" t="str">
        <f>VLOOKUP($B$1,May172021Stats,2,FALSE)</f>
        <v>USA</v>
      </c>
    </row>
    <row r="3" spans="1:4" ht="18.75" x14ac:dyDescent="0.3">
      <c r="A3" s="8" t="s">
        <v>13</v>
      </c>
      <c r="B3" s="31">
        <f>VLOOKUP($B$1,May172021Stats,14,FALSE)</f>
        <v>332696143</v>
      </c>
    </row>
    <row r="4" spans="1:4" ht="18.75" x14ac:dyDescent="0.3">
      <c r="A4" s="8" t="s">
        <v>2</v>
      </c>
      <c r="B4" s="32">
        <f>VLOOKUP($B$1,May172021Stats,3,FALSE)</f>
        <v>33743560</v>
      </c>
    </row>
    <row r="5" spans="1:4" ht="18.75" x14ac:dyDescent="0.3">
      <c r="A5" s="8" t="s">
        <v>3</v>
      </c>
      <c r="B5" s="32">
        <f>VLOOKUP($B$1,May172021Stats,4,FALSE)</f>
        <v>21481</v>
      </c>
    </row>
    <row r="6" spans="1:4" ht="18.75" x14ac:dyDescent="0.3">
      <c r="A6" s="8" t="s">
        <v>4</v>
      </c>
      <c r="B6" s="33">
        <f>VLOOKUP($B$1,May172021Stats,5,FALSE)</f>
        <v>600501</v>
      </c>
      <c r="C6" s="5">
        <f>(1-B6/B4)</f>
        <v>0.98220398203390513</v>
      </c>
      <c r="D6" t="s">
        <v>252</v>
      </c>
    </row>
    <row r="7" spans="1:4" ht="18.75" x14ac:dyDescent="0.3">
      <c r="A7" s="8" t="s">
        <v>5</v>
      </c>
      <c r="B7" s="32">
        <f>VLOOKUP($B$1,May172021Stats,6,FALSE)</f>
        <v>336</v>
      </c>
    </row>
    <row r="8" spans="1:4" ht="18.75" x14ac:dyDescent="0.3">
      <c r="A8" s="8" t="s">
        <v>6</v>
      </c>
      <c r="B8" s="32">
        <f>VLOOKUP($B$1,May172021Stats,7,FALSE)</f>
        <v>27193650</v>
      </c>
    </row>
    <row r="9" spans="1:4" ht="18.75" x14ac:dyDescent="0.3">
      <c r="A9" s="8" t="s">
        <v>7</v>
      </c>
      <c r="B9" s="32">
        <f>VLOOKUP($B$1,May172021Stats,8,FALSE)</f>
        <v>5949409</v>
      </c>
    </row>
    <row r="10" spans="1:4" ht="18.75" x14ac:dyDescent="0.3">
      <c r="A10" s="8" t="s">
        <v>9</v>
      </c>
      <c r="B10" s="32">
        <f>VLOOKUP($B$1,May172021Stats,10,FALSE)</f>
        <v>101425</v>
      </c>
    </row>
    <row r="11" spans="1:4" ht="18.75" x14ac:dyDescent="0.3">
      <c r="A11" s="8" t="s">
        <v>10</v>
      </c>
      <c r="B11" s="34">
        <f>VLOOKUP($B$1,May172021Stats,11,FALSE)</f>
        <v>1805</v>
      </c>
    </row>
    <row r="12" spans="1:4" ht="18.75" x14ac:dyDescent="0.3">
      <c r="A12" s="8" t="s">
        <v>11</v>
      </c>
      <c r="B12" s="32">
        <f>VLOOKUP($B$1,May172021Stats,12,FALSE)</f>
        <v>466982985</v>
      </c>
    </row>
    <row r="13" spans="1:4" ht="18.75" x14ac:dyDescent="0.3">
      <c r="A13" s="14" t="s">
        <v>12</v>
      </c>
      <c r="B13" s="35">
        <f>VLOOKUP($B$1,May172021Stats,13,FALSE)</f>
        <v>1403632</v>
      </c>
    </row>
  </sheetData>
  <sheetProtection sheet="1" objects="1" scenarios="1" selectLockedCells="1"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061A-D194-4430-B9A0-3D627606E24A}">
  <sheetPr codeName="Sheet5"/>
  <dimension ref="A1:N232"/>
  <sheetViews>
    <sheetView workbookViewId="0"/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2.85546875" bestFit="1" customWidth="1"/>
    <col min="5" max="5" width="14.28515625" bestFit="1" customWidth="1"/>
    <col min="6" max="6" width="14" bestFit="1" customWidth="1"/>
    <col min="7" max="7" width="17.7109375" bestFit="1" customWidth="1"/>
    <col min="8" max="8" width="14.28515625" bestFit="1" customWidth="1"/>
    <col min="9" max="9" width="17.140625" bestFit="1" customWidth="1"/>
    <col min="10" max="10" width="19.85546875" bestFit="1" customWidth="1"/>
    <col min="11" max="11" width="17.570312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28" t="s">
        <v>14</v>
      </c>
      <c r="C2">
        <v>33743560</v>
      </c>
      <c r="D2">
        <v>21481</v>
      </c>
      <c r="E2">
        <v>600501</v>
      </c>
      <c r="F2">
        <v>336</v>
      </c>
      <c r="G2">
        <v>27193650</v>
      </c>
      <c r="H2">
        <v>5949409</v>
      </c>
      <c r="I2">
        <v>7849</v>
      </c>
      <c r="J2">
        <v>101425</v>
      </c>
      <c r="K2">
        <v>1805</v>
      </c>
      <c r="L2">
        <v>466982985</v>
      </c>
      <c r="M2">
        <v>1403632</v>
      </c>
      <c r="N2">
        <v>332696143</v>
      </c>
    </row>
    <row r="3" spans="1:14" x14ac:dyDescent="0.25">
      <c r="A3">
        <v>2</v>
      </c>
      <c r="B3" s="28" t="s">
        <v>15</v>
      </c>
      <c r="C3">
        <v>25227970</v>
      </c>
      <c r="D3">
        <v>263045</v>
      </c>
      <c r="E3">
        <v>278751</v>
      </c>
      <c r="F3">
        <v>4340</v>
      </c>
      <c r="G3">
        <v>21590003</v>
      </c>
      <c r="H3">
        <v>3359216</v>
      </c>
      <c r="I3">
        <v>8944</v>
      </c>
      <c r="J3">
        <v>18126</v>
      </c>
      <c r="K3">
        <v>200</v>
      </c>
      <c r="L3">
        <v>316423658</v>
      </c>
      <c r="M3">
        <v>227344</v>
      </c>
      <c r="N3">
        <v>1391827403</v>
      </c>
    </row>
    <row r="4" spans="1:14" x14ac:dyDescent="0.25">
      <c r="A4">
        <v>3</v>
      </c>
      <c r="B4" s="28" t="s">
        <v>16</v>
      </c>
      <c r="C4">
        <v>15661106</v>
      </c>
      <c r="D4">
        <v>33631</v>
      </c>
      <c r="E4">
        <v>436862</v>
      </c>
      <c r="F4">
        <v>1039</v>
      </c>
      <c r="G4">
        <v>14152433</v>
      </c>
      <c r="H4">
        <v>1071811</v>
      </c>
      <c r="I4">
        <v>8318</v>
      </c>
      <c r="J4">
        <v>73225</v>
      </c>
      <c r="K4">
        <v>2043</v>
      </c>
      <c r="L4">
        <v>47073060</v>
      </c>
      <c r="M4">
        <v>220094</v>
      </c>
      <c r="N4">
        <v>213877218</v>
      </c>
    </row>
    <row r="5" spans="1:14" x14ac:dyDescent="0.25">
      <c r="A5">
        <v>4</v>
      </c>
      <c r="B5" s="28" t="s">
        <v>17</v>
      </c>
      <c r="C5">
        <v>5881137</v>
      </c>
      <c r="D5">
        <v>3350</v>
      </c>
      <c r="E5">
        <v>107812</v>
      </c>
      <c r="F5">
        <v>196</v>
      </c>
      <c r="G5">
        <v>5152566</v>
      </c>
      <c r="H5">
        <v>620759</v>
      </c>
      <c r="I5">
        <v>4186</v>
      </c>
      <c r="J5">
        <v>89926</v>
      </c>
      <c r="K5">
        <v>1649</v>
      </c>
      <c r="L5">
        <v>81694063</v>
      </c>
      <c r="M5">
        <v>1249151</v>
      </c>
      <c r="N5">
        <v>65399664</v>
      </c>
    </row>
    <row r="6" spans="1:14" x14ac:dyDescent="0.25">
      <c r="A6">
        <v>5</v>
      </c>
      <c r="B6" s="28" t="s">
        <v>18</v>
      </c>
      <c r="C6">
        <v>5127548</v>
      </c>
      <c r="D6">
        <v>10174</v>
      </c>
      <c r="E6">
        <v>44983</v>
      </c>
      <c r="F6">
        <v>223</v>
      </c>
      <c r="G6">
        <v>4961120</v>
      </c>
      <c r="H6">
        <v>121445</v>
      </c>
      <c r="I6">
        <v>2326</v>
      </c>
      <c r="J6">
        <v>60232</v>
      </c>
      <c r="K6">
        <v>528</v>
      </c>
      <c r="L6">
        <v>51076732</v>
      </c>
      <c r="M6">
        <v>599987</v>
      </c>
      <c r="N6">
        <v>85129663</v>
      </c>
    </row>
    <row r="7" spans="1:14" x14ac:dyDescent="0.25">
      <c r="A7">
        <v>6</v>
      </c>
      <c r="B7" s="28" t="s">
        <v>19</v>
      </c>
      <c r="C7">
        <v>4949573</v>
      </c>
      <c r="D7">
        <v>9328</v>
      </c>
      <c r="E7">
        <v>116211</v>
      </c>
      <c r="F7">
        <v>340</v>
      </c>
      <c r="G7">
        <v>4563254</v>
      </c>
      <c r="H7">
        <v>270108</v>
      </c>
      <c r="I7">
        <v>2300</v>
      </c>
      <c r="J7">
        <v>33904</v>
      </c>
      <c r="K7">
        <v>796</v>
      </c>
      <c r="L7">
        <v>133800000</v>
      </c>
      <c r="M7">
        <v>916507</v>
      </c>
      <c r="N7">
        <v>145989144</v>
      </c>
    </row>
    <row r="8" spans="1:14" x14ac:dyDescent="0.25">
      <c r="A8">
        <v>7</v>
      </c>
      <c r="B8" s="28" t="s">
        <v>20</v>
      </c>
      <c r="C8">
        <v>4452756</v>
      </c>
      <c r="D8">
        <v>1979</v>
      </c>
      <c r="E8">
        <v>127684</v>
      </c>
      <c r="F8">
        <v>5</v>
      </c>
      <c r="G8">
        <v>4279267</v>
      </c>
      <c r="H8">
        <v>45805</v>
      </c>
      <c r="I8">
        <v>124</v>
      </c>
      <c r="J8">
        <v>65292</v>
      </c>
      <c r="K8">
        <v>1872</v>
      </c>
      <c r="L8">
        <v>170156171</v>
      </c>
      <c r="M8">
        <v>2495061</v>
      </c>
      <c r="N8">
        <v>68197203</v>
      </c>
    </row>
    <row r="9" spans="1:14" x14ac:dyDescent="0.25">
      <c r="A9">
        <v>8</v>
      </c>
      <c r="B9" s="28" t="s">
        <v>21</v>
      </c>
      <c r="C9">
        <v>4162576</v>
      </c>
      <c r="D9">
        <v>3455</v>
      </c>
      <c r="E9">
        <v>124296</v>
      </c>
      <c r="F9">
        <v>140</v>
      </c>
      <c r="G9">
        <v>3715389</v>
      </c>
      <c r="H9">
        <v>322891</v>
      </c>
      <c r="I9">
        <v>1754</v>
      </c>
      <c r="J9">
        <v>68935</v>
      </c>
      <c r="K9">
        <v>2058</v>
      </c>
      <c r="L9">
        <v>63021591</v>
      </c>
      <c r="M9">
        <v>1043679</v>
      </c>
      <c r="N9">
        <v>60384095</v>
      </c>
    </row>
    <row r="10" spans="1:14" x14ac:dyDescent="0.25">
      <c r="A10">
        <v>9</v>
      </c>
      <c r="B10" s="28" t="s">
        <v>22</v>
      </c>
      <c r="C10">
        <v>3615860</v>
      </c>
      <c r="D10">
        <v>3621</v>
      </c>
      <c r="E10">
        <v>79432</v>
      </c>
      <c r="F10">
        <v>31</v>
      </c>
      <c r="G10">
        <v>3333587</v>
      </c>
      <c r="H10">
        <v>202841</v>
      </c>
      <c r="I10">
        <v>1836</v>
      </c>
      <c r="J10">
        <v>77311</v>
      </c>
      <c r="K10">
        <v>1698</v>
      </c>
      <c r="L10">
        <v>48928535</v>
      </c>
      <c r="M10">
        <v>1046139</v>
      </c>
      <c r="N10">
        <v>46770603</v>
      </c>
    </row>
    <row r="11" spans="1:14" x14ac:dyDescent="0.25">
      <c r="A11">
        <v>10</v>
      </c>
      <c r="B11" s="28" t="s">
        <v>23</v>
      </c>
      <c r="C11">
        <v>3608292</v>
      </c>
      <c r="D11">
        <v>5353</v>
      </c>
      <c r="E11">
        <v>86870</v>
      </c>
      <c r="F11">
        <v>139</v>
      </c>
      <c r="G11">
        <v>3300700</v>
      </c>
      <c r="H11">
        <v>220722</v>
      </c>
      <c r="I11">
        <v>4123</v>
      </c>
      <c r="J11">
        <v>42947</v>
      </c>
      <c r="K11">
        <v>1034</v>
      </c>
      <c r="L11">
        <v>58093759</v>
      </c>
      <c r="M11">
        <v>691445</v>
      </c>
      <c r="N11">
        <v>84017867</v>
      </c>
    </row>
    <row r="12" spans="1:14" x14ac:dyDescent="0.25">
      <c r="A12">
        <v>11</v>
      </c>
      <c r="B12" s="28" t="s">
        <v>24</v>
      </c>
      <c r="C12">
        <v>3335965</v>
      </c>
      <c r="D12">
        <v>28680</v>
      </c>
      <c r="E12">
        <v>71027</v>
      </c>
      <c r="F12">
        <v>505</v>
      </c>
      <c r="G12">
        <v>2973267</v>
      </c>
      <c r="H12">
        <v>291671</v>
      </c>
      <c r="I12">
        <v>5690</v>
      </c>
      <c r="J12">
        <v>73226</v>
      </c>
      <c r="K12">
        <v>1559</v>
      </c>
      <c r="L12">
        <v>12490822</v>
      </c>
      <c r="M12">
        <v>274179</v>
      </c>
      <c r="N12">
        <v>45557248</v>
      </c>
    </row>
    <row r="13" spans="1:14" x14ac:dyDescent="0.25">
      <c r="A13">
        <v>12</v>
      </c>
      <c r="B13" s="28" t="s">
        <v>25</v>
      </c>
      <c r="C13">
        <v>3131410</v>
      </c>
      <c r="D13">
        <v>12984</v>
      </c>
      <c r="E13">
        <v>81809</v>
      </c>
      <c r="F13">
        <v>509</v>
      </c>
      <c r="G13">
        <v>2931280</v>
      </c>
      <c r="H13">
        <v>118321</v>
      </c>
      <c r="I13">
        <v>6582</v>
      </c>
      <c r="J13">
        <v>60975</v>
      </c>
      <c r="K13">
        <v>1593</v>
      </c>
      <c r="L13">
        <v>15957624</v>
      </c>
      <c r="M13">
        <v>310729</v>
      </c>
      <c r="N13">
        <v>51355369</v>
      </c>
    </row>
    <row r="14" spans="1:14" x14ac:dyDescent="0.25">
      <c r="A14">
        <v>13</v>
      </c>
      <c r="B14" s="28" t="s">
        <v>26</v>
      </c>
      <c r="C14">
        <v>2855190</v>
      </c>
      <c r="D14">
        <v>1109</v>
      </c>
      <c r="E14">
        <v>71675</v>
      </c>
      <c r="F14">
        <v>11</v>
      </c>
      <c r="G14">
        <v>2605703</v>
      </c>
      <c r="H14">
        <v>177812</v>
      </c>
      <c r="I14">
        <v>1572</v>
      </c>
      <c r="J14">
        <v>75513</v>
      </c>
      <c r="K14">
        <v>1896</v>
      </c>
      <c r="L14">
        <v>15184082</v>
      </c>
      <c r="M14">
        <v>401585</v>
      </c>
      <c r="N14">
        <v>37810373</v>
      </c>
    </row>
    <row r="15" spans="1:14" x14ac:dyDescent="0.25">
      <c r="A15">
        <v>14</v>
      </c>
      <c r="B15" s="28" t="s">
        <v>27</v>
      </c>
      <c r="C15">
        <v>2765485</v>
      </c>
      <c r="D15">
        <v>14319</v>
      </c>
      <c r="E15">
        <v>77222</v>
      </c>
      <c r="F15">
        <v>286</v>
      </c>
      <c r="G15">
        <v>2242023</v>
      </c>
      <c r="H15">
        <v>446240</v>
      </c>
      <c r="I15">
        <v>5264</v>
      </c>
      <c r="J15">
        <v>32562</v>
      </c>
      <c r="K15">
        <v>909</v>
      </c>
      <c r="L15">
        <v>18151487</v>
      </c>
      <c r="M15">
        <v>213726</v>
      </c>
      <c r="N15">
        <v>84928868</v>
      </c>
    </row>
    <row r="16" spans="1:14" x14ac:dyDescent="0.25">
      <c r="A16">
        <v>15</v>
      </c>
      <c r="B16" s="28" t="s">
        <v>28</v>
      </c>
      <c r="C16">
        <v>2381923</v>
      </c>
      <c r="D16">
        <v>1233</v>
      </c>
      <c r="E16">
        <v>220433</v>
      </c>
      <c r="F16">
        <v>53</v>
      </c>
      <c r="G16">
        <v>1901322</v>
      </c>
      <c r="H16">
        <v>260168</v>
      </c>
      <c r="I16">
        <v>4798</v>
      </c>
      <c r="J16">
        <v>18307</v>
      </c>
      <c r="K16">
        <v>1694</v>
      </c>
      <c r="L16">
        <v>6852082</v>
      </c>
      <c r="M16">
        <v>52663</v>
      </c>
      <c r="N16">
        <v>130112930</v>
      </c>
    </row>
    <row r="17" spans="1:14" x14ac:dyDescent="0.25">
      <c r="A17">
        <v>16</v>
      </c>
      <c r="B17" s="28" t="s">
        <v>29</v>
      </c>
      <c r="C17">
        <v>2156000</v>
      </c>
      <c r="D17">
        <v>2136</v>
      </c>
      <c r="E17">
        <v>48184</v>
      </c>
      <c r="F17">
        <v>109</v>
      </c>
      <c r="G17">
        <v>1864593</v>
      </c>
      <c r="H17">
        <v>243223</v>
      </c>
      <c r="I17">
        <v>177</v>
      </c>
      <c r="J17">
        <v>49559</v>
      </c>
      <c r="K17">
        <v>1108</v>
      </c>
      <c r="L17">
        <v>9841788</v>
      </c>
      <c r="M17">
        <v>226228</v>
      </c>
      <c r="N17">
        <v>43503769</v>
      </c>
    </row>
    <row r="18" spans="1:14" x14ac:dyDescent="0.25">
      <c r="A18">
        <v>17</v>
      </c>
      <c r="B18" s="28" t="s">
        <v>30</v>
      </c>
      <c r="C18">
        <v>1889052</v>
      </c>
      <c r="E18">
        <v>66220</v>
      </c>
      <c r="G18">
        <v>1720665</v>
      </c>
      <c r="H18">
        <v>102167</v>
      </c>
      <c r="I18">
        <v>2680</v>
      </c>
      <c r="J18">
        <v>56607</v>
      </c>
      <c r="K18">
        <v>1984</v>
      </c>
      <c r="L18">
        <v>12091820</v>
      </c>
      <c r="M18">
        <v>362339</v>
      </c>
      <c r="N18">
        <v>33371555</v>
      </c>
    </row>
    <row r="19" spans="1:14" x14ac:dyDescent="0.25">
      <c r="A19">
        <v>18</v>
      </c>
      <c r="B19" s="28" t="s">
        <v>31</v>
      </c>
      <c r="C19">
        <v>1744045</v>
      </c>
      <c r="D19">
        <v>4295</v>
      </c>
      <c r="E19">
        <v>48305</v>
      </c>
      <c r="F19">
        <v>212</v>
      </c>
      <c r="G19">
        <v>1606611</v>
      </c>
      <c r="H19">
        <v>89129</v>
      </c>
      <c r="J19">
        <v>6318</v>
      </c>
      <c r="K19">
        <v>175</v>
      </c>
      <c r="L19">
        <v>15528037</v>
      </c>
      <c r="M19">
        <v>56252</v>
      </c>
      <c r="N19">
        <v>276043430</v>
      </c>
    </row>
    <row r="20" spans="1:14" x14ac:dyDescent="0.25">
      <c r="A20">
        <v>19</v>
      </c>
      <c r="B20" s="28" t="s">
        <v>32</v>
      </c>
      <c r="C20">
        <v>1653099</v>
      </c>
      <c r="D20">
        <v>257</v>
      </c>
      <c r="E20">
        <v>29913</v>
      </c>
      <c r="F20">
        <v>6</v>
      </c>
      <c r="G20">
        <v>1596931</v>
      </c>
      <c r="H20">
        <v>26255</v>
      </c>
      <c r="I20">
        <v>250</v>
      </c>
      <c r="J20">
        <v>154116</v>
      </c>
      <c r="K20">
        <v>2789</v>
      </c>
      <c r="L20">
        <v>21389353</v>
      </c>
      <c r="M20">
        <v>1994097</v>
      </c>
      <c r="N20">
        <v>10726335</v>
      </c>
    </row>
    <row r="21" spans="1:14" x14ac:dyDescent="0.25">
      <c r="A21">
        <v>20</v>
      </c>
      <c r="B21" s="28" t="s">
        <v>33</v>
      </c>
      <c r="C21">
        <v>1615485</v>
      </c>
      <c r="D21">
        <v>1757</v>
      </c>
      <c r="E21">
        <v>55260</v>
      </c>
      <c r="F21">
        <v>50</v>
      </c>
      <c r="G21">
        <v>1526638</v>
      </c>
      <c r="H21">
        <v>33587</v>
      </c>
      <c r="I21">
        <v>546</v>
      </c>
      <c r="J21">
        <v>26943</v>
      </c>
      <c r="K21">
        <v>922</v>
      </c>
      <c r="L21">
        <v>11134553</v>
      </c>
      <c r="M21">
        <v>185701</v>
      </c>
      <c r="N21">
        <v>59959712</v>
      </c>
    </row>
    <row r="22" spans="1:14" x14ac:dyDescent="0.25">
      <c r="A22">
        <v>21</v>
      </c>
      <c r="B22" s="28" t="s">
        <v>34</v>
      </c>
      <c r="C22">
        <v>1600993</v>
      </c>
      <c r="D22">
        <v>2829</v>
      </c>
      <c r="E22">
        <v>17456</v>
      </c>
      <c r="F22">
        <v>7</v>
      </c>
      <c r="G22">
        <v>1377879</v>
      </c>
      <c r="H22">
        <v>205658</v>
      </c>
      <c r="I22">
        <v>673</v>
      </c>
      <c r="J22">
        <v>93255</v>
      </c>
      <c r="K22">
        <v>1017</v>
      </c>
      <c r="L22">
        <v>13524699</v>
      </c>
      <c r="M22">
        <v>787786</v>
      </c>
      <c r="N22">
        <v>17167986</v>
      </c>
    </row>
    <row r="23" spans="1:14" x14ac:dyDescent="0.25">
      <c r="A23">
        <v>22</v>
      </c>
      <c r="B23" s="28" t="s">
        <v>35</v>
      </c>
      <c r="C23">
        <v>1334104</v>
      </c>
      <c r="D23">
        <v>5522</v>
      </c>
      <c r="E23">
        <v>24983</v>
      </c>
      <c r="F23">
        <v>35</v>
      </c>
      <c r="G23">
        <v>1241482</v>
      </c>
      <c r="H23">
        <v>67639</v>
      </c>
      <c r="I23">
        <v>1344</v>
      </c>
      <c r="J23">
        <v>35080</v>
      </c>
      <c r="K23">
        <v>657</v>
      </c>
      <c r="L23">
        <v>33482165</v>
      </c>
      <c r="M23">
        <v>880400</v>
      </c>
      <c r="N23">
        <v>38030617</v>
      </c>
    </row>
    <row r="24" spans="1:14" x14ac:dyDescent="0.25">
      <c r="A24">
        <v>23</v>
      </c>
      <c r="B24" s="28" t="s">
        <v>36</v>
      </c>
      <c r="C24">
        <v>1292096</v>
      </c>
      <c r="D24">
        <v>5548</v>
      </c>
      <c r="E24">
        <v>27934</v>
      </c>
      <c r="F24">
        <v>102</v>
      </c>
      <c r="G24">
        <v>1225846</v>
      </c>
      <c r="H24">
        <v>38316</v>
      </c>
      <c r="I24">
        <v>2969</v>
      </c>
      <c r="J24">
        <v>67090</v>
      </c>
      <c r="K24">
        <v>1450</v>
      </c>
      <c r="L24">
        <v>14013648</v>
      </c>
      <c r="M24">
        <v>727632</v>
      </c>
      <c r="N24">
        <v>19259250</v>
      </c>
    </row>
    <row r="25" spans="1:14" x14ac:dyDescent="0.25">
      <c r="A25">
        <v>24</v>
      </c>
      <c r="B25" s="28" t="s">
        <v>38</v>
      </c>
      <c r="C25">
        <v>1149925</v>
      </c>
      <c r="D25">
        <v>5979</v>
      </c>
      <c r="E25">
        <v>19262</v>
      </c>
      <c r="F25">
        <v>72</v>
      </c>
      <c r="G25">
        <v>1076428</v>
      </c>
      <c r="H25">
        <v>54235</v>
      </c>
      <c r="I25">
        <v>1819</v>
      </c>
      <c r="J25">
        <v>10374</v>
      </c>
      <c r="K25">
        <v>174</v>
      </c>
      <c r="L25">
        <v>12660106</v>
      </c>
      <c r="M25">
        <v>114209</v>
      </c>
      <c r="N25">
        <v>110850579</v>
      </c>
    </row>
    <row r="26" spans="1:14" x14ac:dyDescent="0.25">
      <c r="A26">
        <v>25</v>
      </c>
      <c r="B26" s="28" t="s">
        <v>37</v>
      </c>
      <c r="C26">
        <v>1142925</v>
      </c>
      <c r="D26">
        <v>3552</v>
      </c>
      <c r="E26">
        <v>15995</v>
      </c>
      <c r="F26">
        <v>41</v>
      </c>
      <c r="G26">
        <v>1050687</v>
      </c>
      <c r="H26">
        <v>76243</v>
      </c>
      <c r="I26">
        <v>481</v>
      </c>
      <c r="J26">
        <v>27872</v>
      </c>
      <c r="K26">
        <v>390</v>
      </c>
      <c r="L26">
        <v>9897459</v>
      </c>
      <c r="M26">
        <v>241368</v>
      </c>
      <c r="N26">
        <v>41005620</v>
      </c>
    </row>
    <row r="27" spans="1:14" x14ac:dyDescent="0.25">
      <c r="A27">
        <v>26</v>
      </c>
      <c r="B27" s="28" t="s">
        <v>39</v>
      </c>
      <c r="C27">
        <v>1072291</v>
      </c>
      <c r="D27">
        <v>392</v>
      </c>
      <c r="E27">
        <v>29571</v>
      </c>
      <c r="F27">
        <v>48</v>
      </c>
      <c r="G27">
        <v>1026299</v>
      </c>
      <c r="H27">
        <v>16421</v>
      </c>
      <c r="I27">
        <v>753</v>
      </c>
      <c r="J27">
        <v>56067</v>
      </c>
      <c r="K27">
        <v>1546</v>
      </c>
      <c r="L27">
        <v>8689588</v>
      </c>
      <c r="M27">
        <v>454350</v>
      </c>
      <c r="N27">
        <v>19125336</v>
      </c>
    </row>
    <row r="28" spans="1:14" x14ac:dyDescent="0.25">
      <c r="A28">
        <v>27</v>
      </c>
      <c r="B28" s="28" t="s">
        <v>40</v>
      </c>
      <c r="C28">
        <v>1037126</v>
      </c>
      <c r="E28">
        <v>14275</v>
      </c>
      <c r="G28">
        <v>892260</v>
      </c>
      <c r="H28">
        <v>130591</v>
      </c>
      <c r="I28">
        <v>306</v>
      </c>
      <c r="J28">
        <v>102138</v>
      </c>
      <c r="K28">
        <v>1406</v>
      </c>
      <c r="L28">
        <v>9481745</v>
      </c>
      <c r="M28">
        <v>933775</v>
      </c>
      <c r="N28">
        <v>10154202</v>
      </c>
    </row>
    <row r="29" spans="1:14" x14ac:dyDescent="0.25">
      <c r="A29">
        <v>28</v>
      </c>
      <c r="B29" s="28" t="s">
        <v>41</v>
      </c>
      <c r="C29">
        <v>1031923</v>
      </c>
      <c r="D29">
        <v>1852</v>
      </c>
      <c r="E29">
        <v>24709</v>
      </c>
      <c r="F29">
        <v>23</v>
      </c>
      <c r="G29">
        <v>910652</v>
      </c>
      <c r="H29">
        <v>96562</v>
      </c>
      <c r="I29">
        <v>616</v>
      </c>
      <c r="J29">
        <v>88702</v>
      </c>
      <c r="K29">
        <v>2124</v>
      </c>
      <c r="L29">
        <v>13287222</v>
      </c>
      <c r="M29">
        <v>1142137</v>
      </c>
      <c r="N29">
        <v>11633650</v>
      </c>
    </row>
    <row r="30" spans="1:14" x14ac:dyDescent="0.25">
      <c r="A30">
        <v>29</v>
      </c>
      <c r="B30" s="28" t="s">
        <v>42</v>
      </c>
      <c r="C30">
        <v>880362</v>
      </c>
      <c r="D30">
        <v>3232</v>
      </c>
      <c r="E30">
        <v>19617</v>
      </c>
      <c r="F30">
        <v>74</v>
      </c>
      <c r="G30">
        <v>792522</v>
      </c>
      <c r="H30">
        <v>68223</v>
      </c>
      <c r="I30">
        <v>4443</v>
      </c>
      <c r="J30">
        <v>3919</v>
      </c>
      <c r="K30">
        <v>87</v>
      </c>
      <c r="L30">
        <v>12480767</v>
      </c>
      <c r="M30">
        <v>55564</v>
      </c>
      <c r="N30">
        <v>224617789</v>
      </c>
    </row>
    <row r="31" spans="1:14" x14ac:dyDescent="0.25">
      <c r="A31">
        <v>30</v>
      </c>
      <c r="B31" s="28" t="s">
        <v>43</v>
      </c>
      <c r="C31">
        <v>842381</v>
      </c>
      <c r="D31">
        <v>199</v>
      </c>
      <c r="E31">
        <v>17009</v>
      </c>
      <c r="F31">
        <v>2</v>
      </c>
      <c r="G31">
        <v>803191</v>
      </c>
      <c r="H31">
        <v>22181</v>
      </c>
      <c r="I31">
        <v>72</v>
      </c>
      <c r="J31">
        <v>82824</v>
      </c>
      <c r="K31">
        <v>1672</v>
      </c>
      <c r="L31">
        <v>11191669</v>
      </c>
      <c r="M31">
        <v>1100383</v>
      </c>
      <c r="N31">
        <v>10170705</v>
      </c>
    </row>
    <row r="32" spans="1:14" x14ac:dyDescent="0.25">
      <c r="A32">
        <v>31</v>
      </c>
      <c r="B32" s="28" t="s">
        <v>44</v>
      </c>
      <c r="C32">
        <v>839159</v>
      </c>
      <c r="D32">
        <v>40</v>
      </c>
      <c r="E32">
        <v>6389</v>
      </c>
      <c r="F32">
        <v>7</v>
      </c>
      <c r="G32">
        <v>832093</v>
      </c>
      <c r="H32">
        <v>677</v>
      </c>
      <c r="I32">
        <v>63</v>
      </c>
      <c r="J32">
        <v>91237</v>
      </c>
      <c r="K32">
        <v>695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s="28" t="s">
        <v>45</v>
      </c>
      <c r="C33">
        <v>798573</v>
      </c>
      <c r="D33">
        <v>426</v>
      </c>
      <c r="E33">
        <v>29213</v>
      </c>
      <c r="F33">
        <v>38</v>
      </c>
      <c r="G33">
        <v>630976</v>
      </c>
      <c r="H33">
        <v>138384</v>
      </c>
      <c r="I33">
        <v>258</v>
      </c>
      <c r="J33">
        <v>82849</v>
      </c>
      <c r="K33">
        <v>3031</v>
      </c>
      <c r="L33">
        <v>5649027</v>
      </c>
      <c r="M33">
        <v>586066</v>
      </c>
      <c r="N33">
        <v>9638898</v>
      </c>
    </row>
    <row r="34" spans="1:14" x14ac:dyDescent="0.25">
      <c r="A34">
        <v>33</v>
      </c>
      <c r="B34" s="28" t="s">
        <v>46</v>
      </c>
      <c r="C34">
        <v>780857</v>
      </c>
      <c r="D34">
        <v>698</v>
      </c>
      <c r="E34">
        <v>12181</v>
      </c>
      <c r="F34">
        <v>32</v>
      </c>
      <c r="G34">
        <v>723094</v>
      </c>
      <c r="H34">
        <v>45582</v>
      </c>
      <c r="I34">
        <v>1139</v>
      </c>
      <c r="J34">
        <v>4701</v>
      </c>
      <c r="K34">
        <v>73</v>
      </c>
      <c r="L34">
        <v>5718063</v>
      </c>
      <c r="M34">
        <v>34421</v>
      </c>
      <c r="N34">
        <v>166119101</v>
      </c>
    </row>
    <row r="35" spans="1:14" x14ac:dyDescent="0.25">
      <c r="A35">
        <v>34</v>
      </c>
      <c r="B35" s="28" t="s">
        <v>47</v>
      </c>
      <c r="C35">
        <v>725258</v>
      </c>
      <c r="D35">
        <v>1104</v>
      </c>
      <c r="E35">
        <v>9276</v>
      </c>
      <c r="F35">
        <v>17</v>
      </c>
      <c r="G35">
        <v>710445</v>
      </c>
      <c r="H35">
        <v>5537</v>
      </c>
      <c r="I35">
        <v>729</v>
      </c>
      <c r="J35">
        <v>70472</v>
      </c>
      <c r="K35">
        <v>901</v>
      </c>
      <c r="L35">
        <v>6972177</v>
      </c>
      <c r="M35">
        <v>677476</v>
      </c>
      <c r="N35">
        <v>10291397</v>
      </c>
    </row>
    <row r="36" spans="1:14" x14ac:dyDescent="0.25">
      <c r="A36">
        <v>35</v>
      </c>
      <c r="B36" s="28" t="s">
        <v>48</v>
      </c>
      <c r="C36">
        <v>707033</v>
      </c>
      <c r="D36">
        <v>575</v>
      </c>
      <c r="E36">
        <v>6696</v>
      </c>
      <c r="F36">
        <v>15</v>
      </c>
      <c r="G36">
        <v>679256</v>
      </c>
      <c r="H36">
        <v>21081</v>
      </c>
      <c r="I36">
        <v>93</v>
      </c>
      <c r="J36">
        <v>81207</v>
      </c>
      <c r="K36">
        <v>769</v>
      </c>
      <c r="L36">
        <v>4018840</v>
      </c>
      <c r="M36">
        <v>461587</v>
      </c>
      <c r="N36">
        <v>8706580</v>
      </c>
    </row>
    <row r="37" spans="1:14" x14ac:dyDescent="0.25">
      <c r="A37">
        <v>36</v>
      </c>
      <c r="B37" s="28" t="s">
        <v>50</v>
      </c>
      <c r="C37">
        <v>683175</v>
      </c>
      <c r="D37">
        <v>5263</v>
      </c>
      <c r="E37">
        <v>11508</v>
      </c>
      <c r="F37">
        <v>45</v>
      </c>
      <c r="G37">
        <v>595177</v>
      </c>
      <c r="H37">
        <v>76490</v>
      </c>
      <c r="I37">
        <v>1227</v>
      </c>
      <c r="J37">
        <v>5416</v>
      </c>
      <c r="K37">
        <v>91</v>
      </c>
      <c r="L37">
        <v>13122469</v>
      </c>
      <c r="M37">
        <v>104033</v>
      </c>
      <c r="N37">
        <v>126137802</v>
      </c>
    </row>
    <row r="38" spans="1:14" x14ac:dyDescent="0.25">
      <c r="A38">
        <v>37</v>
      </c>
      <c r="B38" s="28" t="s">
        <v>49</v>
      </c>
      <c r="C38">
        <v>682160</v>
      </c>
      <c r="D38">
        <v>2650</v>
      </c>
      <c r="E38">
        <v>10744</v>
      </c>
      <c r="F38">
        <v>13</v>
      </c>
      <c r="G38">
        <v>621695</v>
      </c>
      <c r="H38">
        <v>49721</v>
      </c>
      <c r="I38">
        <v>183</v>
      </c>
      <c r="J38">
        <v>78321</v>
      </c>
      <c r="K38">
        <v>1234</v>
      </c>
      <c r="L38">
        <v>7338506</v>
      </c>
      <c r="M38">
        <v>842556</v>
      </c>
      <c r="N38">
        <v>8709819</v>
      </c>
    </row>
    <row r="39" spans="1:14" x14ac:dyDescent="0.25">
      <c r="A39">
        <v>38</v>
      </c>
      <c r="B39" s="28" t="s">
        <v>51</v>
      </c>
      <c r="C39">
        <v>637573</v>
      </c>
      <c r="D39">
        <v>476</v>
      </c>
      <c r="E39">
        <v>10480</v>
      </c>
      <c r="F39">
        <v>6</v>
      </c>
      <c r="G39">
        <v>617307</v>
      </c>
      <c r="H39">
        <v>9786</v>
      </c>
      <c r="I39">
        <v>293</v>
      </c>
      <c r="J39">
        <v>70440</v>
      </c>
      <c r="K39">
        <v>1158</v>
      </c>
      <c r="L39">
        <v>36531447</v>
      </c>
      <c r="M39">
        <v>4036073</v>
      </c>
      <c r="N39">
        <v>9051236</v>
      </c>
    </row>
    <row r="40" spans="1:14" x14ac:dyDescent="0.25">
      <c r="A40">
        <v>39</v>
      </c>
      <c r="B40" s="28" t="s">
        <v>52</v>
      </c>
      <c r="C40">
        <v>547411</v>
      </c>
      <c r="D40">
        <v>1229</v>
      </c>
      <c r="E40">
        <v>1633</v>
      </c>
      <c r="F40">
        <v>2</v>
      </c>
      <c r="G40">
        <v>527519</v>
      </c>
      <c r="H40">
        <v>18259</v>
      </c>
      <c r="J40">
        <v>54771</v>
      </c>
      <c r="K40">
        <v>163</v>
      </c>
      <c r="L40">
        <v>47061854</v>
      </c>
      <c r="M40">
        <v>4708795</v>
      </c>
      <c r="N40">
        <v>9994457</v>
      </c>
    </row>
    <row r="41" spans="1:14" x14ac:dyDescent="0.25">
      <c r="A41">
        <v>40</v>
      </c>
      <c r="B41" s="28" t="s">
        <v>53</v>
      </c>
      <c r="C41">
        <v>535954</v>
      </c>
      <c r="D41">
        <v>201</v>
      </c>
      <c r="E41">
        <v>7631</v>
      </c>
      <c r="F41">
        <v>11</v>
      </c>
      <c r="G41">
        <v>500872</v>
      </c>
      <c r="H41">
        <v>27451</v>
      </c>
      <c r="I41">
        <v>323</v>
      </c>
      <c r="J41">
        <v>78832</v>
      </c>
      <c r="K41">
        <v>1122</v>
      </c>
      <c r="L41">
        <v>4206316</v>
      </c>
      <c r="M41">
        <v>618694</v>
      </c>
      <c r="N41">
        <v>6798700</v>
      </c>
    </row>
    <row r="42" spans="1:14" x14ac:dyDescent="0.25">
      <c r="A42">
        <v>41</v>
      </c>
      <c r="B42" s="28" t="s">
        <v>54</v>
      </c>
      <c r="C42">
        <v>515023</v>
      </c>
      <c r="D42">
        <v>79</v>
      </c>
      <c r="E42">
        <v>9104</v>
      </c>
      <c r="F42">
        <v>6</v>
      </c>
      <c r="G42">
        <v>503483</v>
      </c>
      <c r="H42">
        <v>2436</v>
      </c>
      <c r="I42">
        <v>95</v>
      </c>
      <c r="J42">
        <v>13811</v>
      </c>
      <c r="K42">
        <v>244</v>
      </c>
      <c r="L42">
        <v>6384989</v>
      </c>
      <c r="M42">
        <v>171218</v>
      </c>
      <c r="N42">
        <v>37291548</v>
      </c>
    </row>
    <row r="43" spans="1:14" x14ac:dyDescent="0.25">
      <c r="A43">
        <v>42</v>
      </c>
      <c r="B43" s="28" t="s">
        <v>55</v>
      </c>
      <c r="C43">
        <v>474556</v>
      </c>
      <c r="D43">
        <v>4446</v>
      </c>
      <c r="E43">
        <v>1947</v>
      </c>
      <c r="F43">
        <v>45</v>
      </c>
      <c r="G43">
        <v>429103</v>
      </c>
      <c r="H43">
        <v>43506</v>
      </c>
      <c r="I43">
        <v>522</v>
      </c>
      <c r="J43">
        <v>14500</v>
      </c>
      <c r="K43">
        <v>59</v>
      </c>
      <c r="L43">
        <v>10573102</v>
      </c>
      <c r="M43">
        <v>323070</v>
      </c>
      <c r="N43">
        <v>32727008</v>
      </c>
    </row>
    <row r="44" spans="1:14" x14ac:dyDescent="0.25">
      <c r="A44">
        <v>43</v>
      </c>
      <c r="B44" s="28" t="s">
        <v>56</v>
      </c>
      <c r="C44">
        <v>464218</v>
      </c>
      <c r="D44">
        <v>9198</v>
      </c>
      <c r="E44">
        <v>5215</v>
      </c>
      <c r="F44">
        <v>214</v>
      </c>
      <c r="G44">
        <v>345523</v>
      </c>
      <c r="H44">
        <v>113480</v>
      </c>
      <c r="J44">
        <v>15687</v>
      </c>
      <c r="K44">
        <v>176</v>
      </c>
      <c r="L44">
        <v>2792673</v>
      </c>
      <c r="M44">
        <v>94372</v>
      </c>
      <c r="N44">
        <v>29592220</v>
      </c>
    </row>
    <row r="45" spans="1:14" x14ac:dyDescent="0.25">
      <c r="A45">
        <v>44</v>
      </c>
      <c r="B45" s="28" t="s">
        <v>57</v>
      </c>
      <c r="C45">
        <v>433980</v>
      </c>
      <c r="D45">
        <v>886</v>
      </c>
      <c r="E45">
        <v>7174</v>
      </c>
      <c r="F45">
        <v>12</v>
      </c>
      <c r="G45">
        <v>418914</v>
      </c>
      <c r="H45">
        <v>7892</v>
      </c>
      <c r="I45">
        <v>1377</v>
      </c>
      <c r="J45">
        <v>12299</v>
      </c>
      <c r="K45">
        <v>203</v>
      </c>
      <c r="L45">
        <v>18032171</v>
      </c>
      <c r="M45">
        <v>511037</v>
      </c>
      <c r="N45">
        <v>35285426</v>
      </c>
    </row>
    <row r="46" spans="1:14" x14ac:dyDescent="0.25">
      <c r="A46">
        <v>45</v>
      </c>
      <c r="B46" s="28" t="s">
        <v>58</v>
      </c>
      <c r="C46">
        <v>414869</v>
      </c>
      <c r="D46">
        <v>677</v>
      </c>
      <c r="E46">
        <v>17343</v>
      </c>
      <c r="F46">
        <v>84</v>
      </c>
      <c r="G46">
        <v>364682</v>
      </c>
      <c r="H46">
        <v>32844</v>
      </c>
      <c r="I46">
        <v>490</v>
      </c>
      <c r="J46">
        <v>60103</v>
      </c>
      <c r="K46">
        <v>2513</v>
      </c>
      <c r="L46">
        <v>2684714</v>
      </c>
      <c r="M46">
        <v>388940</v>
      </c>
      <c r="N46">
        <v>6902641</v>
      </c>
    </row>
    <row r="47" spans="1:14" x14ac:dyDescent="0.25">
      <c r="A47">
        <v>46</v>
      </c>
      <c r="B47" s="28" t="s">
        <v>59</v>
      </c>
      <c r="C47">
        <v>410870</v>
      </c>
      <c r="D47">
        <v>741</v>
      </c>
      <c r="E47">
        <v>19786</v>
      </c>
      <c r="F47">
        <v>87</v>
      </c>
      <c r="G47">
        <v>354499</v>
      </c>
      <c r="H47">
        <v>36585</v>
      </c>
      <c r="I47">
        <v>600</v>
      </c>
      <c r="J47">
        <v>22984</v>
      </c>
      <c r="K47">
        <v>1107</v>
      </c>
      <c r="L47">
        <v>1370618</v>
      </c>
      <c r="M47">
        <v>76673</v>
      </c>
      <c r="N47">
        <v>17876097</v>
      </c>
    </row>
    <row r="48" spans="1:14" x14ac:dyDescent="0.25">
      <c r="A48">
        <v>47</v>
      </c>
      <c r="B48" s="28" t="s">
        <v>60</v>
      </c>
      <c r="C48">
        <v>387659</v>
      </c>
      <c r="D48">
        <v>136</v>
      </c>
      <c r="E48">
        <v>12238</v>
      </c>
      <c r="F48">
        <v>14</v>
      </c>
      <c r="G48">
        <v>371004</v>
      </c>
      <c r="H48">
        <v>4417</v>
      </c>
      <c r="I48">
        <v>192</v>
      </c>
      <c r="J48">
        <v>70974</v>
      </c>
      <c r="K48">
        <v>2241</v>
      </c>
      <c r="L48">
        <v>2765568</v>
      </c>
      <c r="M48">
        <v>506333</v>
      </c>
      <c r="N48">
        <v>5461953</v>
      </c>
    </row>
    <row r="49" spans="1:14" x14ac:dyDescent="0.25">
      <c r="A49">
        <v>48</v>
      </c>
      <c r="B49" s="28" t="s">
        <v>62</v>
      </c>
      <c r="C49">
        <v>378485</v>
      </c>
      <c r="D49">
        <v>1395</v>
      </c>
      <c r="E49">
        <v>11471</v>
      </c>
      <c r="F49">
        <v>56</v>
      </c>
      <c r="G49">
        <v>340612</v>
      </c>
      <c r="H49">
        <v>26402</v>
      </c>
      <c r="I49">
        <v>647</v>
      </c>
      <c r="J49">
        <v>36468</v>
      </c>
      <c r="K49">
        <v>1105</v>
      </c>
      <c r="L49">
        <v>8879508</v>
      </c>
      <c r="M49">
        <v>855567</v>
      </c>
      <c r="N49">
        <v>10378501</v>
      </c>
    </row>
    <row r="50" spans="1:14" x14ac:dyDescent="0.25">
      <c r="A50">
        <v>49</v>
      </c>
      <c r="B50" s="28" t="s">
        <v>61</v>
      </c>
      <c r="C50">
        <v>377532</v>
      </c>
      <c r="D50">
        <v>1191</v>
      </c>
      <c r="E50">
        <v>2711</v>
      </c>
      <c r="F50">
        <v>10</v>
      </c>
      <c r="G50">
        <v>367840</v>
      </c>
      <c r="H50">
        <v>6981</v>
      </c>
      <c r="J50">
        <v>39965</v>
      </c>
      <c r="K50">
        <v>287</v>
      </c>
      <c r="L50">
        <v>6105215</v>
      </c>
      <c r="M50">
        <v>646287</v>
      </c>
      <c r="N50">
        <v>9446606</v>
      </c>
    </row>
    <row r="51" spans="1:14" x14ac:dyDescent="0.25">
      <c r="A51">
        <v>50</v>
      </c>
      <c r="B51" s="28" t="s">
        <v>63</v>
      </c>
      <c r="C51">
        <v>370877</v>
      </c>
      <c r="E51">
        <v>6296</v>
      </c>
      <c r="G51">
        <v>359214</v>
      </c>
      <c r="H51">
        <v>5367</v>
      </c>
      <c r="I51">
        <v>105</v>
      </c>
      <c r="J51">
        <v>84794</v>
      </c>
      <c r="K51">
        <v>1439</v>
      </c>
      <c r="L51">
        <v>2524764</v>
      </c>
      <c r="M51">
        <v>577242</v>
      </c>
      <c r="N51">
        <v>4373839</v>
      </c>
    </row>
    <row r="52" spans="1:14" x14ac:dyDescent="0.25">
      <c r="A52">
        <v>51</v>
      </c>
      <c r="B52" s="28" t="s">
        <v>64</v>
      </c>
      <c r="C52">
        <v>360193</v>
      </c>
      <c r="D52">
        <v>2089</v>
      </c>
      <c r="E52">
        <v>4073</v>
      </c>
      <c r="F52">
        <v>19</v>
      </c>
      <c r="G52">
        <v>317741</v>
      </c>
      <c r="H52">
        <v>38379</v>
      </c>
      <c r="I52">
        <v>221</v>
      </c>
      <c r="J52">
        <v>18985</v>
      </c>
      <c r="K52">
        <v>215</v>
      </c>
      <c r="L52">
        <v>10749824</v>
      </c>
      <c r="M52">
        <v>566607</v>
      </c>
      <c r="N52">
        <v>18972287</v>
      </c>
    </row>
    <row r="53" spans="1:14" x14ac:dyDescent="0.25">
      <c r="A53">
        <v>52</v>
      </c>
      <c r="B53" s="28" t="s">
        <v>65</v>
      </c>
      <c r="C53">
        <v>350506</v>
      </c>
      <c r="D53">
        <v>116</v>
      </c>
      <c r="E53">
        <v>7738</v>
      </c>
      <c r="F53">
        <v>30</v>
      </c>
      <c r="G53">
        <v>337475</v>
      </c>
      <c r="H53">
        <v>5293</v>
      </c>
      <c r="I53">
        <v>173</v>
      </c>
      <c r="J53">
        <v>85843</v>
      </c>
      <c r="K53">
        <v>1895</v>
      </c>
      <c r="L53">
        <v>1929591</v>
      </c>
      <c r="M53">
        <v>472579</v>
      </c>
      <c r="N53">
        <v>4083105</v>
      </c>
    </row>
    <row r="54" spans="1:14" x14ac:dyDescent="0.25">
      <c r="A54">
        <v>53</v>
      </c>
      <c r="B54" s="28" t="s">
        <v>68</v>
      </c>
      <c r="C54">
        <v>332567</v>
      </c>
      <c r="D54">
        <v>1051</v>
      </c>
      <c r="E54">
        <v>13517</v>
      </c>
      <c r="F54">
        <v>24</v>
      </c>
      <c r="G54">
        <v>271690</v>
      </c>
      <c r="H54">
        <v>47360</v>
      </c>
      <c r="I54">
        <v>200</v>
      </c>
      <c r="J54">
        <v>28156</v>
      </c>
      <c r="K54">
        <v>1144</v>
      </c>
      <c r="L54">
        <v>1309771</v>
      </c>
      <c r="M54">
        <v>110889</v>
      </c>
      <c r="N54">
        <v>11811601</v>
      </c>
    </row>
    <row r="55" spans="1:14" x14ac:dyDescent="0.25">
      <c r="A55">
        <v>54</v>
      </c>
      <c r="B55" s="28" t="s">
        <v>67</v>
      </c>
      <c r="C55">
        <v>330879</v>
      </c>
      <c r="D55">
        <v>504</v>
      </c>
      <c r="E55">
        <v>4469</v>
      </c>
      <c r="F55">
        <v>27</v>
      </c>
      <c r="G55">
        <v>310859</v>
      </c>
      <c r="H55">
        <v>15551</v>
      </c>
      <c r="J55">
        <v>83084</v>
      </c>
      <c r="K55">
        <v>1122</v>
      </c>
      <c r="L55">
        <v>4591316</v>
      </c>
      <c r="M55">
        <v>1152881</v>
      </c>
      <c r="N55">
        <v>3982471</v>
      </c>
    </row>
    <row r="56" spans="1:14" x14ac:dyDescent="0.25">
      <c r="A56">
        <v>55</v>
      </c>
      <c r="B56" s="28" t="s">
        <v>66</v>
      </c>
      <c r="C56">
        <v>330269</v>
      </c>
      <c r="D56">
        <v>426</v>
      </c>
      <c r="E56">
        <v>4792</v>
      </c>
      <c r="F56">
        <v>13</v>
      </c>
      <c r="G56">
        <v>315415</v>
      </c>
      <c r="H56">
        <v>10062</v>
      </c>
      <c r="J56">
        <v>32320</v>
      </c>
      <c r="K56">
        <v>469</v>
      </c>
      <c r="L56">
        <v>3392930</v>
      </c>
      <c r="M56">
        <v>332027</v>
      </c>
      <c r="N56">
        <v>10218835</v>
      </c>
    </row>
    <row r="57" spans="1:14" x14ac:dyDescent="0.25">
      <c r="A57">
        <v>56</v>
      </c>
      <c r="B57" s="28" t="s">
        <v>69</v>
      </c>
      <c r="C57">
        <v>326572</v>
      </c>
      <c r="E57">
        <v>11849</v>
      </c>
      <c r="G57">
        <v>287644</v>
      </c>
      <c r="H57">
        <v>27079</v>
      </c>
      <c r="I57">
        <v>445</v>
      </c>
      <c r="J57">
        <v>27382</v>
      </c>
      <c r="K57">
        <v>994</v>
      </c>
      <c r="L57">
        <v>1387361</v>
      </c>
      <c r="M57">
        <v>116327</v>
      </c>
      <c r="N57">
        <v>11926362</v>
      </c>
    </row>
    <row r="58" spans="1:14" x14ac:dyDescent="0.25">
      <c r="A58">
        <v>57</v>
      </c>
      <c r="B58" s="28" t="s">
        <v>70</v>
      </c>
      <c r="C58">
        <v>313527</v>
      </c>
      <c r="E58">
        <v>7596</v>
      </c>
      <c r="G58">
        <v>260339</v>
      </c>
      <c r="H58">
        <v>45592</v>
      </c>
      <c r="I58">
        <v>582</v>
      </c>
      <c r="J58">
        <v>43492</v>
      </c>
      <c r="K58">
        <v>1054</v>
      </c>
      <c r="L58">
        <v>1194232</v>
      </c>
      <c r="M58">
        <v>165663</v>
      </c>
      <c r="N58">
        <v>7208824</v>
      </c>
    </row>
    <row r="59" spans="1:14" x14ac:dyDescent="0.25">
      <c r="A59">
        <v>58</v>
      </c>
      <c r="B59" s="28" t="s">
        <v>71</v>
      </c>
      <c r="C59">
        <v>304074</v>
      </c>
      <c r="D59">
        <v>247</v>
      </c>
      <c r="E59">
        <v>3437</v>
      </c>
      <c r="F59">
        <v>9</v>
      </c>
      <c r="G59">
        <v>293808</v>
      </c>
      <c r="H59">
        <v>6829</v>
      </c>
      <c r="I59">
        <v>66</v>
      </c>
      <c r="J59">
        <v>58428</v>
      </c>
      <c r="K59">
        <v>660</v>
      </c>
      <c r="L59">
        <v>1793407</v>
      </c>
      <c r="M59">
        <v>344603</v>
      </c>
      <c r="N59">
        <v>5204277</v>
      </c>
    </row>
    <row r="60" spans="1:14" x14ac:dyDescent="0.25">
      <c r="A60">
        <v>59</v>
      </c>
      <c r="B60" s="28" t="s">
        <v>72</v>
      </c>
      <c r="C60">
        <v>292490</v>
      </c>
      <c r="D60">
        <v>861</v>
      </c>
      <c r="E60">
        <v>1696</v>
      </c>
      <c r="F60">
        <v>3</v>
      </c>
      <c r="G60">
        <v>278824</v>
      </c>
      <c r="H60">
        <v>11970</v>
      </c>
      <c r="I60">
        <v>191</v>
      </c>
      <c r="J60">
        <v>67620</v>
      </c>
      <c r="K60">
        <v>392</v>
      </c>
      <c r="L60">
        <v>2467673</v>
      </c>
      <c r="M60">
        <v>570492</v>
      </c>
      <c r="N60">
        <v>4325517</v>
      </c>
    </row>
    <row r="61" spans="1:14" x14ac:dyDescent="0.25">
      <c r="A61">
        <v>60</v>
      </c>
      <c r="B61" s="28" t="s">
        <v>73</v>
      </c>
      <c r="C61">
        <v>288626</v>
      </c>
      <c r="D61">
        <v>1322</v>
      </c>
      <c r="E61">
        <v>3625</v>
      </c>
      <c r="F61">
        <v>32</v>
      </c>
      <c r="G61">
        <v>224354</v>
      </c>
      <c r="H61">
        <v>60647</v>
      </c>
      <c r="I61">
        <v>489</v>
      </c>
      <c r="J61">
        <v>56211</v>
      </c>
      <c r="K61">
        <v>706</v>
      </c>
      <c r="L61">
        <v>1093074</v>
      </c>
      <c r="M61">
        <v>212881</v>
      </c>
      <c r="N61">
        <v>5134663</v>
      </c>
    </row>
    <row r="62" spans="1:14" x14ac:dyDescent="0.25">
      <c r="A62">
        <v>61</v>
      </c>
      <c r="B62" s="28" t="s">
        <v>74</v>
      </c>
      <c r="C62">
        <v>277919</v>
      </c>
      <c r="D62">
        <v>731</v>
      </c>
      <c r="E62">
        <v>3589</v>
      </c>
      <c r="F62">
        <v>7</v>
      </c>
      <c r="G62">
        <v>234098</v>
      </c>
      <c r="H62">
        <v>40232</v>
      </c>
      <c r="I62">
        <v>294</v>
      </c>
      <c r="J62">
        <v>25398</v>
      </c>
      <c r="K62">
        <v>328</v>
      </c>
      <c r="L62">
        <v>1483386</v>
      </c>
      <c r="M62">
        <v>135559</v>
      </c>
      <c r="N62">
        <v>10942699</v>
      </c>
    </row>
    <row r="63" spans="1:14" x14ac:dyDescent="0.25">
      <c r="A63">
        <v>62</v>
      </c>
      <c r="B63" s="28" t="s">
        <v>76</v>
      </c>
      <c r="C63">
        <v>267339</v>
      </c>
      <c r="D63">
        <v>836</v>
      </c>
      <c r="E63">
        <v>2503</v>
      </c>
      <c r="F63">
        <v>1</v>
      </c>
      <c r="G63">
        <v>251665</v>
      </c>
      <c r="H63">
        <v>13171</v>
      </c>
      <c r="I63">
        <v>29</v>
      </c>
      <c r="J63">
        <v>46014</v>
      </c>
      <c r="K63">
        <v>431</v>
      </c>
      <c r="L63">
        <v>47223277</v>
      </c>
      <c r="M63">
        <v>8127915</v>
      </c>
      <c r="N63">
        <v>5810011</v>
      </c>
    </row>
    <row r="64" spans="1:14" x14ac:dyDescent="0.25">
      <c r="A64">
        <v>63</v>
      </c>
      <c r="B64" s="28" t="s">
        <v>75</v>
      </c>
      <c r="C64">
        <v>266646</v>
      </c>
      <c r="D64">
        <v>382</v>
      </c>
      <c r="E64">
        <v>4008</v>
      </c>
      <c r="F64">
        <v>12</v>
      </c>
      <c r="G64">
        <v>220642</v>
      </c>
      <c r="H64">
        <v>41996</v>
      </c>
      <c r="I64">
        <v>569</v>
      </c>
      <c r="J64">
        <v>2271</v>
      </c>
      <c r="K64">
        <v>34</v>
      </c>
      <c r="L64">
        <v>2656382</v>
      </c>
      <c r="M64">
        <v>22621</v>
      </c>
      <c r="N64">
        <v>117432264</v>
      </c>
    </row>
    <row r="65" spans="1:14" x14ac:dyDescent="0.25">
      <c r="A65">
        <v>64</v>
      </c>
      <c r="B65" s="28" t="s">
        <v>77</v>
      </c>
      <c r="C65">
        <v>266063</v>
      </c>
      <c r="D65">
        <v>504</v>
      </c>
      <c r="E65">
        <v>4112</v>
      </c>
      <c r="F65">
        <v>7</v>
      </c>
      <c r="G65">
        <v>240079</v>
      </c>
      <c r="H65">
        <v>21872</v>
      </c>
      <c r="I65">
        <v>178</v>
      </c>
      <c r="J65">
        <v>98946</v>
      </c>
      <c r="K65">
        <v>1529</v>
      </c>
      <c r="L65">
        <v>3111213</v>
      </c>
      <c r="M65">
        <v>1157026</v>
      </c>
      <c r="N65">
        <v>2688974</v>
      </c>
    </row>
    <row r="66" spans="1:14" x14ac:dyDescent="0.25">
      <c r="A66">
        <v>65</v>
      </c>
      <c r="B66" s="28" t="s">
        <v>78</v>
      </c>
      <c r="C66">
        <v>256032</v>
      </c>
      <c r="D66">
        <v>360</v>
      </c>
      <c r="E66">
        <v>4941</v>
      </c>
      <c r="G66">
        <v>238297</v>
      </c>
      <c r="H66">
        <v>12794</v>
      </c>
      <c r="I66">
        <v>42</v>
      </c>
      <c r="J66">
        <v>51352</v>
      </c>
      <c r="K66">
        <v>991</v>
      </c>
      <c r="L66">
        <v>4729538</v>
      </c>
      <c r="M66">
        <v>948596</v>
      </c>
      <c r="N66">
        <v>4985829</v>
      </c>
    </row>
    <row r="67" spans="1:14" x14ac:dyDescent="0.25">
      <c r="A67">
        <v>66</v>
      </c>
      <c r="B67" s="28" t="s">
        <v>79</v>
      </c>
      <c r="C67">
        <v>253954</v>
      </c>
      <c r="D67">
        <v>109</v>
      </c>
      <c r="E67">
        <v>6034</v>
      </c>
      <c r="F67">
        <v>7</v>
      </c>
      <c r="G67">
        <v>245031</v>
      </c>
      <c r="H67">
        <v>2889</v>
      </c>
      <c r="I67">
        <v>148</v>
      </c>
      <c r="J67">
        <v>63082</v>
      </c>
      <c r="K67">
        <v>1499</v>
      </c>
      <c r="L67">
        <v>1050325</v>
      </c>
      <c r="M67">
        <v>260901</v>
      </c>
      <c r="N67">
        <v>4025764</v>
      </c>
    </row>
    <row r="68" spans="1:14" x14ac:dyDescent="0.25">
      <c r="A68">
        <v>67</v>
      </c>
      <c r="B68" s="28" t="s">
        <v>80</v>
      </c>
      <c r="C68">
        <v>249424</v>
      </c>
      <c r="D68">
        <v>113</v>
      </c>
      <c r="E68">
        <v>4327</v>
      </c>
      <c r="F68">
        <v>3</v>
      </c>
      <c r="G68">
        <v>237630</v>
      </c>
      <c r="H68">
        <v>7467</v>
      </c>
      <c r="I68">
        <v>122</v>
      </c>
      <c r="J68">
        <v>119962</v>
      </c>
      <c r="K68">
        <v>2081</v>
      </c>
      <c r="L68">
        <v>1232247</v>
      </c>
      <c r="M68">
        <v>592658</v>
      </c>
      <c r="N68">
        <v>2079188</v>
      </c>
    </row>
    <row r="69" spans="1:14" x14ac:dyDescent="0.25">
      <c r="A69">
        <v>68</v>
      </c>
      <c r="B69" s="28" t="s">
        <v>81</v>
      </c>
      <c r="C69">
        <v>245721</v>
      </c>
      <c r="E69">
        <v>14327</v>
      </c>
      <c r="G69">
        <v>181478</v>
      </c>
      <c r="H69">
        <v>49916</v>
      </c>
      <c r="I69">
        <v>90</v>
      </c>
      <c r="J69">
        <v>2362</v>
      </c>
      <c r="K69">
        <v>138</v>
      </c>
      <c r="L69">
        <v>2715258</v>
      </c>
      <c r="M69">
        <v>26105</v>
      </c>
      <c r="N69">
        <v>104011195</v>
      </c>
    </row>
    <row r="70" spans="1:14" x14ac:dyDescent="0.25">
      <c r="A70">
        <v>69</v>
      </c>
      <c r="B70" s="28" t="s">
        <v>83</v>
      </c>
      <c r="C70">
        <v>242906</v>
      </c>
      <c r="D70">
        <v>2394</v>
      </c>
      <c r="E70">
        <v>3521</v>
      </c>
      <c r="F70">
        <v>62</v>
      </c>
      <c r="G70">
        <v>212051</v>
      </c>
      <c r="H70">
        <v>27334</v>
      </c>
      <c r="I70">
        <v>495</v>
      </c>
      <c r="J70">
        <v>69716</v>
      </c>
      <c r="K70">
        <v>1011</v>
      </c>
      <c r="L70">
        <v>2016365</v>
      </c>
      <c r="M70">
        <v>578710</v>
      </c>
      <c r="N70">
        <v>3484241</v>
      </c>
    </row>
    <row r="71" spans="1:14" x14ac:dyDescent="0.25">
      <c r="A71">
        <v>70</v>
      </c>
      <c r="B71" s="28" t="s">
        <v>82</v>
      </c>
      <c r="C71">
        <v>241528</v>
      </c>
      <c r="D71">
        <v>159</v>
      </c>
      <c r="E71">
        <v>7893</v>
      </c>
      <c r="F71">
        <v>6</v>
      </c>
      <c r="G71">
        <v>222049</v>
      </c>
      <c r="H71">
        <v>11586</v>
      </c>
      <c r="I71">
        <v>5</v>
      </c>
      <c r="J71">
        <v>13268</v>
      </c>
      <c r="K71">
        <v>434</v>
      </c>
      <c r="L71">
        <v>1346074</v>
      </c>
      <c r="M71">
        <v>73946</v>
      </c>
      <c r="N71">
        <v>18203514</v>
      </c>
    </row>
    <row r="72" spans="1:14" x14ac:dyDescent="0.25">
      <c r="A72">
        <v>71</v>
      </c>
      <c r="B72" s="28" t="s">
        <v>84</v>
      </c>
      <c r="C72">
        <v>226719</v>
      </c>
      <c r="D72">
        <v>755</v>
      </c>
      <c r="E72">
        <v>5960</v>
      </c>
      <c r="F72">
        <v>6</v>
      </c>
      <c r="G72">
        <v>82602</v>
      </c>
      <c r="H72">
        <v>138157</v>
      </c>
      <c r="I72">
        <v>536</v>
      </c>
      <c r="J72">
        <v>22578</v>
      </c>
      <c r="K72">
        <v>594</v>
      </c>
      <c r="L72">
        <v>679008</v>
      </c>
      <c r="M72">
        <v>67619</v>
      </c>
      <c r="N72">
        <v>10041602</v>
      </c>
    </row>
    <row r="73" spans="1:14" x14ac:dyDescent="0.25">
      <c r="A73">
        <v>72</v>
      </c>
      <c r="B73" s="28" t="s">
        <v>85</v>
      </c>
      <c r="C73">
        <v>220927</v>
      </c>
      <c r="D73">
        <v>67</v>
      </c>
      <c r="E73">
        <v>4333</v>
      </c>
      <c r="F73">
        <v>10</v>
      </c>
      <c r="G73">
        <v>208899</v>
      </c>
      <c r="H73">
        <v>7695</v>
      </c>
      <c r="J73">
        <v>74434</v>
      </c>
      <c r="K73">
        <v>1460</v>
      </c>
      <c r="L73">
        <v>1039050</v>
      </c>
      <c r="M73">
        <v>350075</v>
      </c>
      <c r="N73">
        <v>2968081</v>
      </c>
    </row>
    <row r="74" spans="1:14" x14ac:dyDescent="0.25">
      <c r="A74">
        <v>73</v>
      </c>
      <c r="B74" s="28" t="s">
        <v>87</v>
      </c>
      <c r="C74">
        <v>215301</v>
      </c>
      <c r="E74">
        <v>2396</v>
      </c>
      <c r="G74">
        <v>199202</v>
      </c>
      <c r="H74">
        <v>13703</v>
      </c>
      <c r="I74">
        <v>316</v>
      </c>
      <c r="J74">
        <v>7590</v>
      </c>
      <c r="K74">
        <v>84</v>
      </c>
      <c r="L74">
        <v>3359014</v>
      </c>
      <c r="M74">
        <v>118419</v>
      </c>
      <c r="N74">
        <v>28365471</v>
      </c>
    </row>
    <row r="75" spans="1:14" x14ac:dyDescent="0.25">
      <c r="A75">
        <v>74</v>
      </c>
      <c r="B75" s="28" t="s">
        <v>86</v>
      </c>
      <c r="C75">
        <v>213485</v>
      </c>
      <c r="D75">
        <v>302</v>
      </c>
      <c r="E75">
        <v>532</v>
      </c>
      <c r="F75">
        <v>2</v>
      </c>
      <c r="G75">
        <v>207796</v>
      </c>
      <c r="H75">
        <v>5157</v>
      </c>
      <c r="I75">
        <v>196</v>
      </c>
      <c r="J75">
        <v>76033</v>
      </c>
      <c r="K75">
        <v>189</v>
      </c>
      <c r="L75">
        <v>1973886</v>
      </c>
      <c r="M75">
        <v>703000</v>
      </c>
      <c r="N75">
        <v>2807805</v>
      </c>
    </row>
    <row r="76" spans="1:14" x14ac:dyDescent="0.25">
      <c r="A76">
        <v>75</v>
      </c>
      <c r="B76" s="28" t="s">
        <v>88</v>
      </c>
      <c r="C76">
        <v>206297</v>
      </c>
      <c r="D76">
        <v>786</v>
      </c>
      <c r="E76">
        <v>2206</v>
      </c>
      <c r="F76">
        <v>13</v>
      </c>
      <c r="G76">
        <v>191065</v>
      </c>
      <c r="H76">
        <v>13026</v>
      </c>
      <c r="I76">
        <v>238</v>
      </c>
      <c r="J76">
        <v>39527</v>
      </c>
      <c r="K76">
        <v>423</v>
      </c>
      <c r="L76">
        <v>1550000</v>
      </c>
      <c r="M76">
        <v>296981</v>
      </c>
      <c r="N76">
        <v>5219189</v>
      </c>
    </row>
    <row r="77" spans="1:14" x14ac:dyDescent="0.25">
      <c r="A77">
        <v>76</v>
      </c>
      <c r="B77" s="28" t="s">
        <v>90</v>
      </c>
      <c r="C77">
        <v>202556</v>
      </c>
      <c r="D77">
        <v>1579</v>
      </c>
      <c r="E77">
        <v>752</v>
      </c>
      <c r="F77">
        <v>6</v>
      </c>
      <c r="G77">
        <v>185619</v>
      </c>
      <c r="H77">
        <v>16185</v>
      </c>
      <c r="I77">
        <v>180</v>
      </c>
      <c r="J77">
        <v>115570</v>
      </c>
      <c r="K77">
        <v>429</v>
      </c>
      <c r="L77">
        <v>4374017</v>
      </c>
      <c r="M77">
        <v>2495641</v>
      </c>
      <c r="N77">
        <v>1752663</v>
      </c>
    </row>
    <row r="78" spans="1:14" x14ac:dyDescent="0.25">
      <c r="A78">
        <v>77</v>
      </c>
      <c r="B78" s="28" t="s">
        <v>89</v>
      </c>
      <c r="C78">
        <v>202490</v>
      </c>
      <c r="D78">
        <v>71</v>
      </c>
      <c r="E78">
        <v>9051</v>
      </c>
      <c r="F78">
        <v>25</v>
      </c>
      <c r="G78">
        <v>169455</v>
      </c>
      <c r="H78">
        <v>23984</v>
      </c>
      <c r="J78">
        <v>62057</v>
      </c>
      <c r="K78">
        <v>2774</v>
      </c>
      <c r="L78">
        <v>945559</v>
      </c>
      <c r="M78">
        <v>289786</v>
      </c>
      <c r="N78">
        <v>3262955</v>
      </c>
    </row>
    <row r="79" spans="1:14" x14ac:dyDescent="0.25">
      <c r="A79">
        <v>78</v>
      </c>
      <c r="B79" s="28" t="s">
        <v>91</v>
      </c>
      <c r="C79">
        <v>181714</v>
      </c>
      <c r="D79">
        <v>304</v>
      </c>
      <c r="E79">
        <v>3092</v>
      </c>
      <c r="F79">
        <v>4</v>
      </c>
      <c r="G79">
        <v>168378</v>
      </c>
      <c r="H79">
        <v>10244</v>
      </c>
      <c r="J79">
        <v>26136</v>
      </c>
      <c r="K79">
        <v>445</v>
      </c>
      <c r="L79">
        <v>986596</v>
      </c>
      <c r="M79">
        <v>141903</v>
      </c>
      <c r="N79">
        <v>6952613</v>
      </c>
    </row>
    <row r="80" spans="1:14" x14ac:dyDescent="0.25">
      <c r="A80">
        <v>79</v>
      </c>
      <c r="B80" s="28" t="s">
        <v>92</v>
      </c>
      <c r="C80">
        <v>165778</v>
      </c>
      <c r="D80">
        <v>69</v>
      </c>
      <c r="E80">
        <v>2067</v>
      </c>
      <c r="F80">
        <v>1</v>
      </c>
      <c r="G80">
        <v>156415</v>
      </c>
      <c r="H80">
        <v>7296</v>
      </c>
      <c r="I80">
        <v>11</v>
      </c>
      <c r="J80">
        <v>787</v>
      </c>
      <c r="K80">
        <v>10</v>
      </c>
      <c r="L80">
        <v>1977479</v>
      </c>
      <c r="M80">
        <v>9391</v>
      </c>
      <c r="N80">
        <v>210568792</v>
      </c>
    </row>
    <row r="81" spans="1:14" x14ac:dyDescent="0.25">
      <c r="A81">
        <v>80</v>
      </c>
      <c r="B81" s="28" t="s">
        <v>93</v>
      </c>
      <c r="C81">
        <v>165537</v>
      </c>
      <c r="D81">
        <v>72</v>
      </c>
      <c r="E81">
        <v>3013</v>
      </c>
      <c r="F81">
        <v>10</v>
      </c>
      <c r="G81">
        <v>113874</v>
      </c>
      <c r="H81">
        <v>48650</v>
      </c>
      <c r="I81">
        <v>108</v>
      </c>
      <c r="J81">
        <v>3021</v>
      </c>
      <c r="K81">
        <v>55</v>
      </c>
      <c r="L81">
        <v>1746449</v>
      </c>
      <c r="M81">
        <v>31870</v>
      </c>
      <c r="N81">
        <v>54799111</v>
      </c>
    </row>
    <row r="82" spans="1:14" x14ac:dyDescent="0.25">
      <c r="A82">
        <v>81</v>
      </c>
      <c r="B82" s="28" t="s">
        <v>94</v>
      </c>
      <c r="C82">
        <v>154725</v>
      </c>
      <c r="D82">
        <v>27</v>
      </c>
      <c r="E82">
        <v>5230</v>
      </c>
      <c r="F82">
        <v>19</v>
      </c>
      <c r="G82">
        <v>146043</v>
      </c>
      <c r="H82">
        <v>3452</v>
      </c>
      <c r="I82">
        <v>111</v>
      </c>
      <c r="J82">
        <v>74269</v>
      </c>
      <c r="K82">
        <v>2510</v>
      </c>
      <c r="L82">
        <v>757794</v>
      </c>
      <c r="M82">
        <v>363747</v>
      </c>
      <c r="N82">
        <v>2083299</v>
      </c>
    </row>
    <row r="83" spans="1:14" x14ac:dyDescent="0.25">
      <c r="A83">
        <v>82</v>
      </c>
      <c r="B83" s="28" t="s">
        <v>96</v>
      </c>
      <c r="C83">
        <v>145202</v>
      </c>
      <c r="D83">
        <v>2456</v>
      </c>
      <c r="E83">
        <v>962</v>
      </c>
      <c r="G83">
        <v>119629</v>
      </c>
      <c r="H83">
        <v>24611</v>
      </c>
      <c r="J83">
        <v>6756</v>
      </c>
      <c r="K83">
        <v>45</v>
      </c>
      <c r="L83">
        <v>3075321</v>
      </c>
      <c r="M83">
        <v>143094</v>
      </c>
      <c r="N83">
        <v>21491623</v>
      </c>
    </row>
    <row r="84" spans="1:14" x14ac:dyDescent="0.25">
      <c r="A84">
        <v>83</v>
      </c>
      <c r="B84" s="28" t="s">
        <v>95</v>
      </c>
      <c r="C84">
        <v>143097</v>
      </c>
      <c r="D84">
        <v>32</v>
      </c>
      <c r="E84">
        <v>3213</v>
      </c>
      <c r="F84">
        <v>1</v>
      </c>
      <c r="G84">
        <v>132123</v>
      </c>
      <c r="H84">
        <v>7761</v>
      </c>
      <c r="J84">
        <v>2615</v>
      </c>
      <c r="K84">
        <v>59</v>
      </c>
      <c r="L84">
        <v>2603024</v>
      </c>
      <c r="M84">
        <v>47563</v>
      </c>
      <c r="N84">
        <v>54727963</v>
      </c>
    </row>
    <row r="85" spans="1:14" x14ac:dyDescent="0.25">
      <c r="A85">
        <v>84</v>
      </c>
      <c r="B85" s="28" t="s">
        <v>253</v>
      </c>
      <c r="C85">
        <v>132290</v>
      </c>
      <c r="D85">
        <v>619</v>
      </c>
      <c r="E85">
        <v>1903</v>
      </c>
      <c r="F85">
        <v>3</v>
      </c>
      <c r="G85">
        <v>122163</v>
      </c>
      <c r="H85">
        <v>8224</v>
      </c>
      <c r="I85">
        <v>151</v>
      </c>
      <c r="J85">
        <v>2578</v>
      </c>
      <c r="K85">
        <v>37</v>
      </c>
      <c r="L85">
        <v>9353300</v>
      </c>
      <c r="M85">
        <v>182298</v>
      </c>
      <c r="N85">
        <v>51307738</v>
      </c>
    </row>
    <row r="86" spans="1:14" x14ac:dyDescent="0.25">
      <c r="A86">
        <v>85</v>
      </c>
      <c r="B86" s="28" t="s">
        <v>97</v>
      </c>
      <c r="C86">
        <v>132032</v>
      </c>
      <c r="D86">
        <v>17</v>
      </c>
      <c r="E86">
        <v>2435</v>
      </c>
      <c r="F86">
        <v>3</v>
      </c>
      <c r="G86">
        <v>125419</v>
      </c>
      <c r="H86">
        <v>4178</v>
      </c>
      <c r="I86">
        <v>18</v>
      </c>
      <c r="J86">
        <v>45923</v>
      </c>
      <c r="K86">
        <v>847</v>
      </c>
      <c r="L86">
        <v>677041</v>
      </c>
      <c r="M86">
        <v>235488</v>
      </c>
      <c r="N86">
        <v>2875050</v>
      </c>
    </row>
    <row r="87" spans="1:14" x14ac:dyDescent="0.25">
      <c r="A87">
        <v>86</v>
      </c>
      <c r="B87" s="28" t="s">
        <v>98</v>
      </c>
      <c r="C87">
        <v>128125</v>
      </c>
      <c r="D87">
        <v>147</v>
      </c>
      <c r="E87">
        <v>2269</v>
      </c>
      <c r="F87">
        <v>3</v>
      </c>
      <c r="G87">
        <v>117799</v>
      </c>
      <c r="H87">
        <v>8057</v>
      </c>
      <c r="I87">
        <v>71</v>
      </c>
      <c r="J87">
        <v>68592</v>
      </c>
      <c r="K87">
        <v>1215</v>
      </c>
      <c r="L87">
        <v>2494618</v>
      </c>
      <c r="M87">
        <v>1335505</v>
      </c>
      <c r="N87">
        <v>1867921</v>
      </c>
    </row>
    <row r="88" spans="1:14" x14ac:dyDescent="0.25">
      <c r="A88">
        <v>87</v>
      </c>
      <c r="B88" s="28" t="s">
        <v>99</v>
      </c>
      <c r="C88">
        <v>127206</v>
      </c>
      <c r="D88">
        <v>153</v>
      </c>
      <c r="E88">
        <v>1223</v>
      </c>
      <c r="F88">
        <v>1</v>
      </c>
      <c r="G88">
        <v>118772</v>
      </c>
      <c r="H88">
        <v>7211</v>
      </c>
      <c r="I88">
        <v>32</v>
      </c>
      <c r="J88">
        <v>95837</v>
      </c>
      <c r="K88">
        <v>921</v>
      </c>
      <c r="L88">
        <v>1362651</v>
      </c>
      <c r="M88">
        <v>1026622</v>
      </c>
      <c r="N88">
        <v>1327315</v>
      </c>
    </row>
    <row r="89" spans="1:14" x14ac:dyDescent="0.25">
      <c r="A89">
        <v>88</v>
      </c>
      <c r="B89" s="28" t="s">
        <v>101</v>
      </c>
      <c r="C89">
        <v>125511</v>
      </c>
      <c r="D89">
        <v>1057</v>
      </c>
      <c r="E89">
        <v>814</v>
      </c>
      <c r="F89">
        <v>10</v>
      </c>
      <c r="G89">
        <v>117749</v>
      </c>
      <c r="H89">
        <v>6948</v>
      </c>
      <c r="I89">
        <v>126</v>
      </c>
      <c r="J89">
        <v>11087</v>
      </c>
      <c r="K89">
        <v>72</v>
      </c>
      <c r="L89">
        <v>4015883</v>
      </c>
      <c r="M89">
        <v>354742</v>
      </c>
      <c r="N89">
        <v>11320573</v>
      </c>
    </row>
    <row r="90" spans="1:14" x14ac:dyDescent="0.25">
      <c r="A90">
        <v>89</v>
      </c>
      <c r="B90" s="28" t="s">
        <v>100</v>
      </c>
      <c r="C90">
        <v>125485</v>
      </c>
      <c r="D90">
        <v>174</v>
      </c>
      <c r="E90">
        <v>3381</v>
      </c>
      <c r="F90">
        <v>7</v>
      </c>
      <c r="G90">
        <v>87476</v>
      </c>
      <c r="H90">
        <v>34628</v>
      </c>
      <c r="I90">
        <v>28</v>
      </c>
      <c r="J90">
        <v>2817</v>
      </c>
      <c r="K90">
        <v>76</v>
      </c>
      <c r="L90">
        <v>230861</v>
      </c>
      <c r="M90">
        <v>5183</v>
      </c>
      <c r="N90">
        <v>44539145</v>
      </c>
    </row>
    <row r="91" spans="1:14" x14ac:dyDescent="0.25">
      <c r="A91">
        <v>90</v>
      </c>
      <c r="B91" s="28" t="s">
        <v>102</v>
      </c>
      <c r="C91">
        <v>119500</v>
      </c>
      <c r="D91">
        <v>201</v>
      </c>
      <c r="E91">
        <v>774</v>
      </c>
      <c r="G91">
        <v>88952</v>
      </c>
      <c r="H91">
        <v>29774</v>
      </c>
      <c r="I91">
        <v>21</v>
      </c>
      <c r="J91">
        <v>21894</v>
      </c>
      <c r="K91">
        <v>142</v>
      </c>
      <c r="L91">
        <v>5423294</v>
      </c>
      <c r="M91">
        <v>993604</v>
      </c>
      <c r="N91">
        <v>5458204</v>
      </c>
    </row>
    <row r="92" spans="1:14" x14ac:dyDescent="0.25">
      <c r="A92">
        <v>91</v>
      </c>
      <c r="B92" s="28" t="s">
        <v>106</v>
      </c>
      <c r="C92">
        <v>111082</v>
      </c>
      <c r="D92">
        <v>9635</v>
      </c>
      <c r="E92">
        <v>614</v>
      </c>
      <c r="F92">
        <v>25</v>
      </c>
      <c r="G92">
        <v>67200</v>
      </c>
      <c r="H92">
        <v>43268</v>
      </c>
      <c r="I92">
        <v>1228</v>
      </c>
      <c r="J92">
        <v>1588</v>
      </c>
      <c r="K92">
        <v>9</v>
      </c>
      <c r="L92">
        <v>8124896</v>
      </c>
      <c r="M92">
        <v>116148</v>
      </c>
      <c r="N92">
        <v>69952942</v>
      </c>
    </row>
    <row r="93" spans="1:14" x14ac:dyDescent="0.25">
      <c r="A93">
        <v>92</v>
      </c>
      <c r="B93" s="28" t="s">
        <v>103</v>
      </c>
      <c r="C93">
        <v>100732</v>
      </c>
      <c r="D93">
        <v>259</v>
      </c>
      <c r="E93">
        <v>1711</v>
      </c>
      <c r="F93">
        <v>8</v>
      </c>
      <c r="G93">
        <v>93886</v>
      </c>
      <c r="H93">
        <v>5135</v>
      </c>
      <c r="I93">
        <v>85</v>
      </c>
      <c r="J93">
        <v>15221</v>
      </c>
      <c r="K93">
        <v>259</v>
      </c>
      <c r="L93">
        <v>1059935</v>
      </c>
      <c r="M93">
        <v>160165</v>
      </c>
      <c r="N93">
        <v>6617784</v>
      </c>
    </row>
    <row r="94" spans="1:14" x14ac:dyDescent="0.25">
      <c r="A94">
        <v>93</v>
      </c>
      <c r="B94" s="28" t="s">
        <v>104</v>
      </c>
      <c r="C94">
        <v>98898</v>
      </c>
      <c r="D94">
        <v>46</v>
      </c>
      <c r="E94">
        <v>1562</v>
      </c>
      <c r="F94">
        <v>1</v>
      </c>
      <c r="G94">
        <v>95999</v>
      </c>
      <c r="H94">
        <v>1337</v>
      </c>
      <c r="I94">
        <v>60</v>
      </c>
      <c r="J94">
        <v>157447</v>
      </c>
      <c r="K94">
        <v>2487</v>
      </c>
      <c r="L94">
        <v>395995</v>
      </c>
      <c r="M94">
        <v>630430</v>
      </c>
      <c r="N94">
        <v>628135</v>
      </c>
    </row>
    <row r="95" spans="1:14" x14ac:dyDescent="0.25">
      <c r="A95">
        <v>94</v>
      </c>
      <c r="B95" s="28" t="s">
        <v>105</v>
      </c>
      <c r="C95">
        <v>96893</v>
      </c>
      <c r="D95">
        <v>223</v>
      </c>
      <c r="E95">
        <v>670</v>
      </c>
      <c r="F95">
        <v>2</v>
      </c>
      <c r="G95">
        <v>92303</v>
      </c>
      <c r="H95">
        <v>3920</v>
      </c>
      <c r="I95">
        <v>23</v>
      </c>
      <c r="J95">
        <v>2859</v>
      </c>
      <c r="K95">
        <v>20</v>
      </c>
      <c r="L95">
        <v>1377915</v>
      </c>
      <c r="M95">
        <v>40657</v>
      </c>
      <c r="N95">
        <v>33891238</v>
      </c>
    </row>
    <row r="96" spans="1:14" x14ac:dyDescent="0.25">
      <c r="A96">
        <v>95</v>
      </c>
      <c r="B96" s="28" t="s">
        <v>107</v>
      </c>
      <c r="C96">
        <v>93333</v>
      </c>
      <c r="D96">
        <v>90</v>
      </c>
      <c r="E96">
        <v>783</v>
      </c>
      <c r="G96">
        <v>91252</v>
      </c>
      <c r="H96">
        <v>1298</v>
      </c>
      <c r="I96">
        <v>8</v>
      </c>
      <c r="J96">
        <v>2950</v>
      </c>
      <c r="K96">
        <v>25</v>
      </c>
      <c r="L96">
        <v>1123985</v>
      </c>
      <c r="M96">
        <v>35529</v>
      </c>
      <c r="N96">
        <v>31636020</v>
      </c>
    </row>
    <row r="97" spans="1:14" x14ac:dyDescent="0.25">
      <c r="A97">
        <v>96</v>
      </c>
      <c r="B97" s="28" t="s">
        <v>108</v>
      </c>
      <c r="C97">
        <v>92460</v>
      </c>
      <c r="D97">
        <v>24</v>
      </c>
      <c r="E97">
        <v>1261</v>
      </c>
      <c r="F97">
        <v>1</v>
      </c>
      <c r="G97">
        <v>90862</v>
      </c>
      <c r="H97">
        <v>337</v>
      </c>
      <c r="I97">
        <v>40</v>
      </c>
      <c r="J97">
        <v>4910</v>
      </c>
      <c r="K97">
        <v>67</v>
      </c>
      <c r="L97">
        <v>1474620</v>
      </c>
      <c r="M97">
        <v>78313</v>
      </c>
      <c r="N97">
        <v>18829768</v>
      </c>
    </row>
    <row r="98" spans="1:14" x14ac:dyDescent="0.25">
      <c r="A98">
        <v>97</v>
      </c>
      <c r="B98" s="28" t="s">
        <v>109</v>
      </c>
      <c r="C98">
        <v>90872</v>
      </c>
      <c r="D98">
        <v>25</v>
      </c>
      <c r="E98">
        <v>4636</v>
      </c>
      <c r="G98">
        <v>85945</v>
      </c>
      <c r="H98">
        <v>291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28" t="s">
        <v>110</v>
      </c>
      <c r="C99">
        <v>90249</v>
      </c>
      <c r="D99">
        <v>144</v>
      </c>
      <c r="E99">
        <v>933</v>
      </c>
      <c r="F99">
        <v>2</v>
      </c>
      <c r="G99">
        <v>46000</v>
      </c>
      <c r="H99">
        <v>43316</v>
      </c>
      <c r="I99">
        <v>27</v>
      </c>
      <c r="J99">
        <v>16266</v>
      </c>
      <c r="K99">
        <v>168</v>
      </c>
      <c r="L99">
        <v>4766116</v>
      </c>
      <c r="M99">
        <v>859032</v>
      </c>
      <c r="N99">
        <v>5548239</v>
      </c>
    </row>
    <row r="100" spans="1:14" x14ac:dyDescent="0.25">
      <c r="A100">
        <v>99</v>
      </c>
      <c r="B100" s="28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55991</v>
      </c>
      <c r="N100">
        <v>27118683</v>
      </c>
    </row>
    <row r="101" spans="1:14" x14ac:dyDescent="0.25">
      <c r="A101">
        <v>100</v>
      </c>
      <c r="B101" s="28" t="s">
        <v>112</v>
      </c>
      <c r="C101">
        <v>71479</v>
      </c>
      <c r="E101">
        <v>2191</v>
      </c>
      <c r="F101">
        <v>4</v>
      </c>
      <c r="G101">
        <v>66903</v>
      </c>
      <c r="H101">
        <v>2385</v>
      </c>
      <c r="I101">
        <v>22</v>
      </c>
      <c r="J101">
        <v>10972</v>
      </c>
      <c r="K101">
        <v>336</v>
      </c>
      <c r="L101">
        <v>956458</v>
      </c>
      <c r="M101">
        <v>146814</v>
      </c>
      <c r="N101">
        <v>6514767</v>
      </c>
    </row>
    <row r="102" spans="1:14" x14ac:dyDescent="0.25">
      <c r="A102">
        <v>101</v>
      </c>
      <c r="B102" s="28" t="s">
        <v>113</v>
      </c>
      <c r="C102">
        <v>71064</v>
      </c>
      <c r="E102">
        <v>346</v>
      </c>
      <c r="G102">
        <v>39061</v>
      </c>
      <c r="H102">
        <v>31657</v>
      </c>
      <c r="I102">
        <v>50</v>
      </c>
      <c r="J102">
        <v>58488</v>
      </c>
      <c r="K102">
        <v>285</v>
      </c>
      <c r="L102">
        <v>5881056</v>
      </c>
      <c r="M102">
        <v>4840280</v>
      </c>
      <c r="N102">
        <v>1215024</v>
      </c>
    </row>
    <row r="103" spans="1:14" x14ac:dyDescent="0.25">
      <c r="A103">
        <v>102</v>
      </c>
      <c r="B103" s="28" t="s">
        <v>114</v>
      </c>
      <c r="C103">
        <v>70463</v>
      </c>
      <c r="D103">
        <v>21</v>
      </c>
      <c r="E103">
        <v>828</v>
      </c>
      <c r="F103">
        <v>2</v>
      </c>
      <c r="G103">
        <v>68731</v>
      </c>
      <c r="H103">
        <v>904</v>
      </c>
      <c r="I103">
        <v>21</v>
      </c>
      <c r="J103">
        <v>2201</v>
      </c>
      <c r="K103">
        <v>26</v>
      </c>
      <c r="L103">
        <v>537525</v>
      </c>
      <c r="M103">
        <v>16790</v>
      </c>
      <c r="N103">
        <v>32013672</v>
      </c>
    </row>
    <row r="104" spans="1:14" x14ac:dyDescent="0.25">
      <c r="A104">
        <v>103</v>
      </c>
      <c r="B104" s="28" t="s">
        <v>115</v>
      </c>
      <c r="C104">
        <v>69065</v>
      </c>
      <c r="D104">
        <v>37</v>
      </c>
      <c r="E104">
        <v>808</v>
      </c>
      <c r="F104">
        <v>2</v>
      </c>
      <c r="G104">
        <v>66183</v>
      </c>
      <c r="H104">
        <v>2074</v>
      </c>
      <c r="I104">
        <v>30</v>
      </c>
      <c r="J104">
        <v>108792</v>
      </c>
      <c r="K104">
        <v>1273</v>
      </c>
      <c r="L104">
        <v>2761206</v>
      </c>
      <c r="M104">
        <v>4349500</v>
      </c>
      <c r="N104">
        <v>634833</v>
      </c>
    </row>
    <row r="106" spans="1:14" x14ac:dyDescent="0.25">
      <c r="A106">
        <v>104</v>
      </c>
      <c r="B106" s="28" t="s">
        <v>116</v>
      </c>
      <c r="C106">
        <v>63819</v>
      </c>
      <c r="D106">
        <v>221</v>
      </c>
      <c r="E106">
        <v>2751</v>
      </c>
      <c r="F106">
        <v>6</v>
      </c>
      <c r="G106">
        <v>55010</v>
      </c>
      <c r="H106">
        <v>6058</v>
      </c>
      <c r="I106">
        <v>1124</v>
      </c>
      <c r="J106">
        <v>1608</v>
      </c>
      <c r="K106">
        <v>69</v>
      </c>
      <c r="L106">
        <v>432676</v>
      </c>
      <c r="M106">
        <v>10902</v>
      </c>
      <c r="N106">
        <v>39688992</v>
      </c>
    </row>
    <row r="107" spans="1:14" x14ac:dyDescent="0.25">
      <c r="A107">
        <v>105</v>
      </c>
      <c r="B107" s="28" t="s">
        <v>117</v>
      </c>
      <c r="C107">
        <v>61613</v>
      </c>
      <c r="D107">
        <v>28</v>
      </c>
      <c r="E107">
        <v>31</v>
      </c>
      <c r="G107">
        <v>61123</v>
      </c>
      <c r="H107">
        <v>459</v>
      </c>
      <c r="I107">
        <v>3</v>
      </c>
      <c r="J107">
        <v>10460</v>
      </c>
      <c r="K107">
        <v>5</v>
      </c>
      <c r="L107">
        <v>10441802</v>
      </c>
      <c r="M107">
        <v>1772663</v>
      </c>
      <c r="N107">
        <v>5890461</v>
      </c>
    </row>
    <row r="108" spans="1:14" x14ac:dyDescent="0.25">
      <c r="A108">
        <v>106</v>
      </c>
      <c r="B108" s="28" t="s">
        <v>118</v>
      </c>
      <c r="C108">
        <v>51390</v>
      </c>
      <c r="D108">
        <v>172</v>
      </c>
      <c r="E108">
        <v>723</v>
      </c>
      <c r="F108">
        <v>5</v>
      </c>
      <c r="G108">
        <v>48355</v>
      </c>
      <c r="H108">
        <v>2312</v>
      </c>
      <c r="I108">
        <v>66</v>
      </c>
      <c r="J108">
        <v>19912</v>
      </c>
      <c r="K108">
        <v>280</v>
      </c>
      <c r="L108">
        <v>411483</v>
      </c>
      <c r="M108">
        <v>159434</v>
      </c>
      <c r="N108">
        <v>2580891</v>
      </c>
    </row>
    <row r="109" spans="1:14" x14ac:dyDescent="0.25">
      <c r="A109">
        <v>107</v>
      </c>
      <c r="B109" s="28" t="s">
        <v>119</v>
      </c>
      <c r="C109">
        <v>49656</v>
      </c>
      <c r="E109">
        <v>761</v>
      </c>
      <c r="G109">
        <v>46640</v>
      </c>
      <c r="H109">
        <v>2255</v>
      </c>
      <c r="I109">
        <v>1</v>
      </c>
      <c r="J109">
        <v>20752</v>
      </c>
      <c r="K109">
        <v>318</v>
      </c>
      <c r="L109">
        <v>1089391</v>
      </c>
      <c r="M109">
        <v>455268</v>
      </c>
      <c r="N109">
        <v>2392857</v>
      </c>
    </row>
    <row r="110" spans="1:14" x14ac:dyDescent="0.25">
      <c r="A110">
        <v>108</v>
      </c>
      <c r="B110" s="28" t="s">
        <v>120</v>
      </c>
      <c r="C110">
        <v>49175</v>
      </c>
      <c r="D110">
        <v>533</v>
      </c>
      <c r="E110">
        <v>214</v>
      </c>
      <c r="F110">
        <v>7</v>
      </c>
      <c r="G110">
        <v>41844</v>
      </c>
      <c r="H110">
        <v>7117</v>
      </c>
      <c r="I110">
        <v>103</v>
      </c>
      <c r="J110">
        <v>14793</v>
      </c>
      <c r="K110">
        <v>64</v>
      </c>
      <c r="L110">
        <v>2833138</v>
      </c>
      <c r="M110">
        <v>852277</v>
      </c>
      <c r="N110">
        <v>3324198</v>
      </c>
    </row>
    <row r="111" spans="1:14" x14ac:dyDescent="0.25">
      <c r="A111">
        <v>109</v>
      </c>
      <c r="B111" s="28" t="s">
        <v>121</v>
      </c>
      <c r="C111">
        <v>47396</v>
      </c>
      <c r="D111">
        <v>77</v>
      </c>
      <c r="E111">
        <v>863</v>
      </c>
      <c r="F111">
        <v>3</v>
      </c>
      <c r="G111">
        <v>23281</v>
      </c>
      <c r="H111">
        <v>23252</v>
      </c>
      <c r="I111">
        <v>23</v>
      </c>
      <c r="J111">
        <v>15945</v>
      </c>
      <c r="K111">
        <v>290</v>
      </c>
      <c r="L111">
        <v>355604</v>
      </c>
      <c r="M111">
        <v>119633</v>
      </c>
      <c r="N111">
        <v>2972449</v>
      </c>
    </row>
    <row r="112" spans="1:14" x14ac:dyDescent="0.25">
      <c r="A112">
        <v>110</v>
      </c>
      <c r="B112" s="28" t="s">
        <v>122</v>
      </c>
      <c r="C112">
        <v>46656</v>
      </c>
      <c r="E112">
        <v>298</v>
      </c>
      <c r="G112">
        <v>46079</v>
      </c>
      <c r="H112">
        <v>279</v>
      </c>
      <c r="J112">
        <v>1732</v>
      </c>
      <c r="K112">
        <v>11</v>
      </c>
      <c r="L112">
        <v>608960</v>
      </c>
      <c r="M112">
        <v>22600</v>
      </c>
      <c r="N112">
        <v>26944545</v>
      </c>
    </row>
    <row r="113" spans="1:14" x14ac:dyDescent="0.25">
      <c r="A113">
        <v>111</v>
      </c>
      <c r="B113" s="28" t="s">
        <v>124</v>
      </c>
      <c r="C113">
        <v>45956</v>
      </c>
      <c r="D113">
        <v>1433</v>
      </c>
      <c r="E113">
        <v>101</v>
      </c>
      <c r="F113">
        <v>4</v>
      </c>
      <c r="G113">
        <v>28849</v>
      </c>
      <c r="H113">
        <v>17006</v>
      </c>
      <c r="I113">
        <v>90</v>
      </c>
      <c r="J113">
        <v>83736</v>
      </c>
      <c r="K113">
        <v>184</v>
      </c>
      <c r="L113">
        <v>798691</v>
      </c>
      <c r="M113">
        <v>1455293</v>
      </c>
      <c r="N113">
        <v>548818</v>
      </c>
    </row>
    <row r="114" spans="1:14" x14ac:dyDescent="0.25">
      <c r="A114">
        <v>112</v>
      </c>
      <c r="B114" s="28" t="s">
        <v>123</v>
      </c>
      <c r="C114">
        <v>42779</v>
      </c>
      <c r="E114">
        <v>347</v>
      </c>
      <c r="G114">
        <v>41971</v>
      </c>
      <c r="H114">
        <v>461</v>
      </c>
      <c r="I114">
        <v>24</v>
      </c>
      <c r="J114">
        <v>910</v>
      </c>
      <c r="K114">
        <v>7</v>
      </c>
      <c r="L114">
        <v>1059988</v>
      </c>
      <c r="M114">
        <v>22558</v>
      </c>
      <c r="N114">
        <v>46990201</v>
      </c>
    </row>
    <row r="115" spans="1:14" x14ac:dyDescent="0.25">
      <c r="A115">
        <v>113</v>
      </c>
      <c r="B115" s="28" t="s">
        <v>125</v>
      </c>
      <c r="C115">
        <v>40872</v>
      </c>
      <c r="D115">
        <v>22</v>
      </c>
      <c r="E115">
        <v>1127</v>
      </c>
      <c r="F115">
        <v>2</v>
      </c>
      <c r="G115">
        <v>39597</v>
      </c>
      <c r="H115">
        <v>148</v>
      </c>
      <c r="I115">
        <v>10</v>
      </c>
      <c r="J115">
        <v>2387</v>
      </c>
      <c r="K115">
        <v>66</v>
      </c>
      <c r="L115">
        <v>499075</v>
      </c>
      <c r="M115">
        <v>29141</v>
      </c>
      <c r="N115">
        <v>17126224</v>
      </c>
    </row>
    <row r="116" spans="1:14" x14ac:dyDescent="0.25">
      <c r="A116">
        <v>114</v>
      </c>
      <c r="B116" s="28" t="s">
        <v>126</v>
      </c>
      <c r="C116">
        <v>40204</v>
      </c>
      <c r="D116">
        <v>63</v>
      </c>
      <c r="E116">
        <v>771</v>
      </c>
      <c r="F116">
        <v>8</v>
      </c>
      <c r="G116">
        <v>37945</v>
      </c>
      <c r="H116">
        <v>1488</v>
      </c>
      <c r="I116">
        <v>268</v>
      </c>
      <c r="J116">
        <v>1420</v>
      </c>
      <c r="K116">
        <v>27</v>
      </c>
      <c r="L116">
        <v>195878</v>
      </c>
      <c r="M116">
        <v>6920</v>
      </c>
      <c r="N116">
        <v>28307945</v>
      </c>
    </row>
    <row r="117" spans="1:14" x14ac:dyDescent="0.25">
      <c r="A117">
        <v>115</v>
      </c>
      <c r="B117" s="28" t="s">
        <v>127</v>
      </c>
      <c r="C117">
        <v>38560</v>
      </c>
      <c r="E117">
        <v>1582</v>
      </c>
      <c r="G117">
        <v>36329</v>
      </c>
      <c r="H117">
        <v>649</v>
      </c>
      <c r="I117">
        <v>12</v>
      </c>
      <c r="J117">
        <v>2562</v>
      </c>
      <c r="K117">
        <v>105</v>
      </c>
      <c r="L117">
        <v>445957</v>
      </c>
      <c r="M117">
        <v>29629</v>
      </c>
      <c r="N117">
        <v>15051170</v>
      </c>
    </row>
    <row r="118" spans="1:14" x14ac:dyDescent="0.25">
      <c r="A118">
        <v>116</v>
      </c>
      <c r="B118" s="28" t="s">
        <v>128</v>
      </c>
      <c r="C118">
        <v>34272</v>
      </c>
      <c r="E118">
        <v>2446</v>
      </c>
      <c r="G118">
        <v>27949</v>
      </c>
      <c r="H118">
        <v>3877</v>
      </c>
      <c r="J118">
        <v>766</v>
      </c>
      <c r="K118">
        <v>55</v>
      </c>
      <c r="L118">
        <v>232965</v>
      </c>
      <c r="M118">
        <v>5207</v>
      </c>
      <c r="N118">
        <v>44737269</v>
      </c>
    </row>
    <row r="119" spans="1:14" x14ac:dyDescent="0.25">
      <c r="A119">
        <v>117</v>
      </c>
      <c r="B119" s="28" t="s">
        <v>129</v>
      </c>
      <c r="C119">
        <v>34216</v>
      </c>
      <c r="D119">
        <v>2</v>
      </c>
      <c r="E119">
        <v>1153</v>
      </c>
      <c r="G119">
        <v>32241</v>
      </c>
      <c r="H119">
        <v>822</v>
      </c>
      <c r="I119">
        <v>11</v>
      </c>
      <c r="J119">
        <v>1749</v>
      </c>
      <c r="K119">
        <v>59</v>
      </c>
      <c r="L119">
        <v>239237</v>
      </c>
      <c r="M119">
        <v>12232</v>
      </c>
      <c r="N119">
        <v>19558322</v>
      </c>
    </row>
    <row r="120" spans="1:14" x14ac:dyDescent="0.25">
      <c r="A120">
        <v>118</v>
      </c>
      <c r="B120" s="28" t="s">
        <v>133</v>
      </c>
      <c r="C120">
        <v>30637</v>
      </c>
      <c r="E120">
        <v>659</v>
      </c>
      <c r="G120">
        <v>25715</v>
      </c>
      <c r="H120">
        <v>4263</v>
      </c>
      <c r="I120">
        <v>22</v>
      </c>
      <c r="J120">
        <v>908</v>
      </c>
      <c r="K120">
        <v>20</v>
      </c>
      <c r="L120">
        <v>527590</v>
      </c>
      <c r="M120">
        <v>15632</v>
      </c>
      <c r="N120">
        <v>33750530</v>
      </c>
    </row>
    <row r="121" spans="1:14" x14ac:dyDescent="0.25">
      <c r="A121">
        <v>119</v>
      </c>
      <c r="B121" s="28" t="s">
        <v>130</v>
      </c>
      <c r="C121">
        <v>30609</v>
      </c>
      <c r="D121">
        <v>47</v>
      </c>
      <c r="E121">
        <v>776</v>
      </c>
      <c r="G121">
        <v>26603</v>
      </c>
      <c r="H121">
        <v>3230</v>
      </c>
      <c r="J121">
        <v>333</v>
      </c>
      <c r="K121">
        <v>8</v>
      </c>
      <c r="L121">
        <v>155288</v>
      </c>
      <c r="M121">
        <v>1689</v>
      </c>
      <c r="N121">
        <v>91917040</v>
      </c>
    </row>
    <row r="122" spans="1:14" x14ac:dyDescent="0.25">
      <c r="A122">
        <v>120</v>
      </c>
      <c r="B122" s="28" t="s">
        <v>131</v>
      </c>
      <c r="C122">
        <v>30484</v>
      </c>
      <c r="D122">
        <v>4</v>
      </c>
      <c r="E122">
        <v>417</v>
      </c>
      <c r="G122">
        <v>29920</v>
      </c>
      <c r="H122">
        <v>147</v>
      </c>
      <c r="J122">
        <v>68879</v>
      </c>
      <c r="K122">
        <v>942</v>
      </c>
      <c r="L122">
        <v>898798</v>
      </c>
      <c r="M122">
        <v>2030861</v>
      </c>
      <c r="N122">
        <v>442570</v>
      </c>
    </row>
    <row r="123" spans="1:14" x14ac:dyDescent="0.25">
      <c r="A123">
        <v>121</v>
      </c>
      <c r="B123" s="28" t="s">
        <v>132</v>
      </c>
      <c r="C123">
        <v>29978</v>
      </c>
      <c r="D123">
        <v>3</v>
      </c>
      <c r="E123">
        <v>910</v>
      </c>
      <c r="G123">
        <v>28900</v>
      </c>
      <c r="H123">
        <v>168</v>
      </c>
      <c r="I123">
        <v>1</v>
      </c>
      <c r="J123">
        <v>1164</v>
      </c>
      <c r="K123">
        <v>35</v>
      </c>
      <c r="L123">
        <v>17542376</v>
      </c>
      <c r="M123">
        <v>681057</v>
      </c>
      <c r="N123">
        <v>25757558</v>
      </c>
    </row>
    <row r="124" spans="1:14" x14ac:dyDescent="0.25">
      <c r="A124">
        <v>122</v>
      </c>
      <c r="B124" s="28" t="s">
        <v>134</v>
      </c>
      <c r="C124">
        <v>28168</v>
      </c>
      <c r="E124">
        <v>249</v>
      </c>
      <c r="G124">
        <v>25023</v>
      </c>
      <c r="H124">
        <v>2896</v>
      </c>
      <c r="I124">
        <v>23</v>
      </c>
      <c r="J124">
        <v>50188</v>
      </c>
      <c r="K124">
        <v>444</v>
      </c>
      <c r="L124">
        <v>158645</v>
      </c>
      <c r="M124">
        <v>282665</v>
      </c>
      <c r="N124">
        <v>561247</v>
      </c>
    </row>
    <row r="125" spans="1:14" x14ac:dyDescent="0.25">
      <c r="A125">
        <v>123</v>
      </c>
      <c r="B125" s="28" t="s">
        <v>135</v>
      </c>
      <c r="C125">
        <v>26215</v>
      </c>
      <c r="D125">
        <v>74</v>
      </c>
      <c r="E125">
        <v>345</v>
      </c>
      <c r="F125">
        <v>1</v>
      </c>
      <c r="G125">
        <v>24764</v>
      </c>
      <c r="H125">
        <v>1106</v>
      </c>
      <c r="I125">
        <v>2</v>
      </c>
      <c r="J125">
        <v>1981</v>
      </c>
      <c r="K125">
        <v>26</v>
      </c>
      <c r="L125">
        <v>1376065</v>
      </c>
      <c r="M125">
        <v>104007</v>
      </c>
      <c r="N125">
        <v>13230555</v>
      </c>
    </row>
    <row r="126" spans="1:14" x14ac:dyDescent="0.25">
      <c r="A126">
        <v>124</v>
      </c>
      <c r="B126" s="28" t="s">
        <v>136</v>
      </c>
      <c r="C126">
        <v>23799</v>
      </c>
      <c r="E126">
        <v>143</v>
      </c>
      <c r="G126">
        <v>20379</v>
      </c>
      <c r="H126">
        <v>3277</v>
      </c>
      <c r="I126">
        <v>15</v>
      </c>
      <c r="J126">
        <v>10478</v>
      </c>
      <c r="K126">
        <v>63</v>
      </c>
      <c r="L126">
        <v>767445</v>
      </c>
      <c r="M126">
        <v>337891</v>
      </c>
      <c r="N126">
        <v>2271282</v>
      </c>
    </row>
    <row r="127" spans="1:14" x14ac:dyDescent="0.25">
      <c r="A127">
        <v>125</v>
      </c>
      <c r="B127" s="28" t="s">
        <v>137</v>
      </c>
      <c r="C127">
        <v>23788</v>
      </c>
      <c r="D127">
        <v>50</v>
      </c>
      <c r="E127">
        <v>1705</v>
      </c>
      <c r="F127">
        <v>7</v>
      </c>
      <c r="G127">
        <v>21073</v>
      </c>
      <c r="H127">
        <v>1010</v>
      </c>
      <c r="J127">
        <v>1331</v>
      </c>
      <c r="K127">
        <v>95</v>
      </c>
      <c r="L127">
        <v>103566</v>
      </c>
      <c r="M127">
        <v>5796</v>
      </c>
      <c r="N127">
        <v>17869274</v>
      </c>
    </row>
    <row r="128" spans="1:14" x14ac:dyDescent="0.25">
      <c r="A128">
        <v>126</v>
      </c>
      <c r="B128" s="28" t="s">
        <v>138</v>
      </c>
      <c r="C128">
        <v>22830</v>
      </c>
      <c r="D128">
        <v>84</v>
      </c>
      <c r="E128">
        <v>152</v>
      </c>
      <c r="F128">
        <v>1</v>
      </c>
      <c r="G128">
        <v>20421</v>
      </c>
      <c r="H128">
        <v>2257</v>
      </c>
      <c r="I128">
        <v>24</v>
      </c>
      <c r="J128">
        <v>1698</v>
      </c>
      <c r="K128">
        <v>11</v>
      </c>
      <c r="L128">
        <v>445243</v>
      </c>
      <c r="M128">
        <v>33125</v>
      </c>
      <c r="N128">
        <v>13441345</v>
      </c>
    </row>
    <row r="129" spans="1:14" x14ac:dyDescent="0.25">
      <c r="A129">
        <v>127</v>
      </c>
      <c r="B129" s="28" t="s">
        <v>139</v>
      </c>
      <c r="C129">
        <v>22644</v>
      </c>
      <c r="E129">
        <v>169</v>
      </c>
      <c r="G129">
        <v>21603</v>
      </c>
      <c r="H129">
        <v>872</v>
      </c>
      <c r="I129">
        <v>36</v>
      </c>
      <c r="J129">
        <v>25135</v>
      </c>
      <c r="K129">
        <v>188</v>
      </c>
      <c r="L129">
        <v>102720</v>
      </c>
      <c r="M129">
        <v>114021</v>
      </c>
      <c r="N129">
        <v>900885</v>
      </c>
    </row>
    <row r="130" spans="1:14" x14ac:dyDescent="0.25">
      <c r="A130">
        <v>128</v>
      </c>
      <c r="B130" s="28" t="s">
        <v>141</v>
      </c>
      <c r="C130">
        <v>22544</v>
      </c>
      <c r="D130">
        <v>360</v>
      </c>
      <c r="E130">
        <v>154</v>
      </c>
      <c r="F130">
        <v>4</v>
      </c>
      <c r="G130">
        <v>13006</v>
      </c>
      <c r="H130">
        <v>9384</v>
      </c>
      <c r="J130">
        <v>1332</v>
      </c>
      <c r="K130">
        <v>9</v>
      </c>
      <c r="L130">
        <v>1079873</v>
      </c>
      <c r="M130">
        <v>63821</v>
      </c>
      <c r="N130">
        <v>16920328</v>
      </c>
    </row>
    <row r="131" spans="1:14" x14ac:dyDescent="0.25">
      <c r="A131">
        <v>129</v>
      </c>
      <c r="B131" s="28" t="s">
        <v>140</v>
      </c>
      <c r="C131">
        <v>21465</v>
      </c>
      <c r="E131">
        <v>108</v>
      </c>
      <c r="G131">
        <v>9995</v>
      </c>
      <c r="H131">
        <v>11362</v>
      </c>
      <c r="I131">
        <v>28</v>
      </c>
      <c r="J131">
        <v>70287</v>
      </c>
      <c r="K131">
        <v>354</v>
      </c>
      <c r="L131">
        <v>234758</v>
      </c>
      <c r="M131">
        <v>768713</v>
      </c>
      <c r="N131">
        <v>305391</v>
      </c>
    </row>
    <row r="132" spans="1:14" x14ac:dyDescent="0.25">
      <c r="A132">
        <v>130</v>
      </c>
      <c r="B132" s="28" t="s">
        <v>142</v>
      </c>
      <c r="C132">
        <v>20176</v>
      </c>
      <c r="E132">
        <v>171</v>
      </c>
      <c r="G132">
        <v>2964</v>
      </c>
      <c r="H132">
        <v>17041</v>
      </c>
      <c r="I132">
        <v>6</v>
      </c>
      <c r="J132">
        <v>72439</v>
      </c>
      <c r="K132">
        <v>614</v>
      </c>
      <c r="L132">
        <v>176919</v>
      </c>
      <c r="M132">
        <v>635204</v>
      </c>
      <c r="N132">
        <v>278523</v>
      </c>
    </row>
    <row r="133" spans="1:14" x14ac:dyDescent="0.25">
      <c r="A133">
        <v>131</v>
      </c>
      <c r="B133" s="28" t="s">
        <v>144</v>
      </c>
      <c r="C133">
        <v>18828</v>
      </c>
      <c r="E133">
        <v>457</v>
      </c>
      <c r="G133">
        <v>18090</v>
      </c>
      <c r="H133">
        <v>281</v>
      </c>
      <c r="I133">
        <v>14</v>
      </c>
      <c r="J133">
        <v>3959</v>
      </c>
      <c r="K133">
        <v>96</v>
      </c>
      <c r="L133">
        <v>249519</v>
      </c>
      <c r="M133">
        <v>52469</v>
      </c>
      <c r="N133">
        <v>4755551</v>
      </c>
    </row>
    <row r="134" spans="1:14" x14ac:dyDescent="0.25">
      <c r="A134">
        <v>132</v>
      </c>
      <c r="B134" s="28" t="s">
        <v>143</v>
      </c>
      <c r="C134">
        <v>18815</v>
      </c>
      <c r="E134">
        <v>141</v>
      </c>
      <c r="G134">
        <v>18650</v>
      </c>
      <c r="H134">
        <v>24</v>
      </c>
      <c r="I134">
        <v>1</v>
      </c>
      <c r="J134">
        <v>66643</v>
      </c>
      <c r="K134">
        <v>499</v>
      </c>
      <c r="L134">
        <v>26355</v>
      </c>
      <c r="M134">
        <v>93350</v>
      </c>
      <c r="N134">
        <v>282325</v>
      </c>
    </row>
    <row r="135" spans="1:14" x14ac:dyDescent="0.25">
      <c r="A135">
        <v>133</v>
      </c>
      <c r="B135" s="28" t="s">
        <v>145</v>
      </c>
      <c r="C135">
        <v>18523</v>
      </c>
      <c r="D135">
        <v>3</v>
      </c>
      <c r="E135">
        <v>672</v>
      </c>
      <c r="G135">
        <v>17803</v>
      </c>
      <c r="H135">
        <v>48</v>
      </c>
      <c r="I135">
        <v>3</v>
      </c>
      <c r="J135">
        <v>15823</v>
      </c>
      <c r="K135">
        <v>574</v>
      </c>
      <c r="L135">
        <v>201525</v>
      </c>
      <c r="M135">
        <v>172151</v>
      </c>
      <c r="N135">
        <v>1170630</v>
      </c>
    </row>
    <row r="136" spans="1:14" x14ac:dyDescent="0.25">
      <c r="A136">
        <v>134</v>
      </c>
      <c r="B136" s="28" t="s">
        <v>148</v>
      </c>
      <c r="C136">
        <v>16549</v>
      </c>
      <c r="D136">
        <v>294</v>
      </c>
      <c r="E136">
        <v>294</v>
      </c>
      <c r="F136">
        <v>9</v>
      </c>
      <c r="G136">
        <v>10370</v>
      </c>
      <c r="H136">
        <v>5885</v>
      </c>
      <c r="I136">
        <v>15</v>
      </c>
      <c r="J136">
        <v>11792</v>
      </c>
      <c r="K136">
        <v>209</v>
      </c>
      <c r="L136">
        <v>153997</v>
      </c>
      <c r="M136">
        <v>109728</v>
      </c>
      <c r="N136">
        <v>1403445</v>
      </c>
    </row>
    <row r="137" spans="1:14" x14ac:dyDescent="0.25">
      <c r="A137">
        <v>135</v>
      </c>
      <c r="B137" s="28" t="s">
        <v>146</v>
      </c>
      <c r="C137">
        <v>16017</v>
      </c>
      <c r="E137">
        <v>221</v>
      </c>
      <c r="G137">
        <v>2242</v>
      </c>
      <c r="H137">
        <v>13554</v>
      </c>
      <c r="I137">
        <v>33</v>
      </c>
      <c r="J137">
        <v>40024</v>
      </c>
      <c r="K137">
        <v>552</v>
      </c>
      <c r="L137">
        <v>195404</v>
      </c>
      <c r="M137">
        <v>488285</v>
      </c>
      <c r="N137">
        <v>400184</v>
      </c>
    </row>
    <row r="138" spans="1:14" x14ac:dyDescent="0.25">
      <c r="A138">
        <v>136</v>
      </c>
      <c r="B138" s="28" t="s">
        <v>147</v>
      </c>
      <c r="C138">
        <v>15271</v>
      </c>
      <c r="E138">
        <v>341</v>
      </c>
      <c r="G138">
        <v>12967</v>
      </c>
      <c r="H138">
        <v>1963</v>
      </c>
      <c r="I138">
        <v>14</v>
      </c>
      <c r="J138">
        <v>19334</v>
      </c>
      <c r="K138">
        <v>432</v>
      </c>
      <c r="L138">
        <v>137081</v>
      </c>
      <c r="M138">
        <v>173550</v>
      </c>
      <c r="N138">
        <v>789864</v>
      </c>
    </row>
    <row r="139" spans="1:14" x14ac:dyDescent="0.25">
      <c r="A139">
        <v>137</v>
      </c>
      <c r="B139" s="28" t="s">
        <v>149</v>
      </c>
      <c r="C139">
        <v>14486</v>
      </c>
      <c r="E139">
        <v>753</v>
      </c>
      <c r="G139">
        <v>6325</v>
      </c>
      <c r="H139">
        <v>7408</v>
      </c>
      <c r="J139">
        <v>890</v>
      </c>
      <c r="K139">
        <v>46</v>
      </c>
      <c r="L139">
        <v>120132</v>
      </c>
      <c r="M139">
        <v>7380</v>
      </c>
      <c r="N139">
        <v>16277182</v>
      </c>
    </row>
    <row r="140" spans="1:14" x14ac:dyDescent="0.25">
      <c r="A140">
        <v>138</v>
      </c>
      <c r="B140" s="28" t="s">
        <v>150</v>
      </c>
      <c r="C140">
        <v>14194</v>
      </c>
      <c r="D140">
        <v>4</v>
      </c>
      <c r="E140">
        <v>511</v>
      </c>
      <c r="G140">
        <v>9290</v>
      </c>
      <c r="H140">
        <v>4393</v>
      </c>
      <c r="J140">
        <v>684</v>
      </c>
      <c r="K140">
        <v>25</v>
      </c>
      <c r="L140">
        <v>284837</v>
      </c>
      <c r="M140">
        <v>13723</v>
      </c>
      <c r="N140">
        <v>20755750</v>
      </c>
    </row>
    <row r="141" spans="1:14" x14ac:dyDescent="0.25">
      <c r="A141">
        <v>139</v>
      </c>
      <c r="B141" s="28" t="s">
        <v>155</v>
      </c>
      <c r="C141">
        <v>13707</v>
      </c>
      <c r="E141">
        <v>136</v>
      </c>
      <c r="G141">
        <v>11034</v>
      </c>
      <c r="H141">
        <v>2537</v>
      </c>
      <c r="J141">
        <v>1507</v>
      </c>
      <c r="K141">
        <v>15</v>
      </c>
      <c r="L141">
        <v>110286</v>
      </c>
      <c r="M141">
        <v>12127</v>
      </c>
      <c r="N141">
        <v>9094256</v>
      </c>
    </row>
    <row r="142" spans="1:14" x14ac:dyDescent="0.25">
      <c r="A142">
        <v>140</v>
      </c>
      <c r="B142" s="28" t="s">
        <v>151</v>
      </c>
      <c r="C142">
        <v>13555</v>
      </c>
      <c r="D142">
        <v>45</v>
      </c>
      <c r="E142">
        <v>127</v>
      </c>
      <c r="G142">
        <v>13211</v>
      </c>
      <c r="H142">
        <v>217</v>
      </c>
      <c r="I142">
        <v>12</v>
      </c>
      <c r="J142">
        <v>175190</v>
      </c>
      <c r="K142">
        <v>1641</v>
      </c>
      <c r="L142">
        <v>193595</v>
      </c>
      <c r="M142">
        <v>2502100</v>
      </c>
      <c r="N142">
        <v>77373</v>
      </c>
    </row>
    <row r="143" spans="1:14" x14ac:dyDescent="0.25">
      <c r="A143">
        <v>141</v>
      </c>
      <c r="B143" s="28" t="s">
        <v>152</v>
      </c>
      <c r="C143">
        <v>13397</v>
      </c>
      <c r="E143">
        <v>164</v>
      </c>
      <c r="G143">
        <v>13199</v>
      </c>
      <c r="H143">
        <v>34</v>
      </c>
      <c r="J143">
        <v>626</v>
      </c>
      <c r="K143">
        <v>8</v>
      </c>
      <c r="L143">
        <v>184102</v>
      </c>
      <c r="M143">
        <v>8603</v>
      </c>
      <c r="N143">
        <v>21399698</v>
      </c>
    </row>
    <row r="144" spans="1:14" x14ac:dyDescent="0.25">
      <c r="A144">
        <v>142</v>
      </c>
      <c r="B144" s="28" t="s">
        <v>154</v>
      </c>
      <c r="C144">
        <v>13353</v>
      </c>
      <c r="E144">
        <v>271</v>
      </c>
      <c r="G144">
        <v>12414</v>
      </c>
      <c r="H144">
        <v>668</v>
      </c>
      <c r="J144">
        <v>1159</v>
      </c>
      <c r="K144">
        <v>24</v>
      </c>
      <c r="L144">
        <v>60085</v>
      </c>
      <c r="M144">
        <v>5214</v>
      </c>
      <c r="N144">
        <v>11523564</v>
      </c>
    </row>
    <row r="145" spans="1:14" x14ac:dyDescent="0.25">
      <c r="A145">
        <v>143</v>
      </c>
      <c r="B145" s="28" t="s">
        <v>153</v>
      </c>
      <c r="C145">
        <v>13308</v>
      </c>
      <c r="E145">
        <v>90</v>
      </c>
      <c r="G145">
        <v>13218</v>
      </c>
      <c r="H145">
        <v>0</v>
      </c>
      <c r="J145">
        <v>1369</v>
      </c>
      <c r="K145">
        <v>9</v>
      </c>
      <c r="N145">
        <v>9723512</v>
      </c>
    </row>
    <row r="146" spans="1:14" x14ac:dyDescent="0.25">
      <c r="A146">
        <v>144</v>
      </c>
      <c r="B146" s="28" t="s">
        <v>156</v>
      </c>
      <c r="C146">
        <v>13275</v>
      </c>
      <c r="E146">
        <v>125</v>
      </c>
      <c r="G146">
        <v>11897</v>
      </c>
      <c r="H146">
        <v>1253</v>
      </c>
      <c r="J146">
        <v>1572</v>
      </c>
      <c r="K146">
        <v>15</v>
      </c>
      <c r="L146">
        <v>323274</v>
      </c>
      <c r="M146">
        <v>38271</v>
      </c>
      <c r="N146">
        <v>8447012</v>
      </c>
    </row>
    <row r="147" spans="1:14" x14ac:dyDescent="0.25">
      <c r="A147">
        <v>145</v>
      </c>
      <c r="B147" s="28" t="s">
        <v>157</v>
      </c>
      <c r="C147">
        <v>12714</v>
      </c>
      <c r="E147">
        <v>323</v>
      </c>
      <c r="G147">
        <v>12337</v>
      </c>
      <c r="H147">
        <v>54</v>
      </c>
      <c r="I147">
        <v>1</v>
      </c>
      <c r="J147">
        <v>31478</v>
      </c>
      <c r="K147">
        <v>800</v>
      </c>
      <c r="L147">
        <v>124603</v>
      </c>
      <c r="M147">
        <v>308499</v>
      </c>
      <c r="N147">
        <v>403901</v>
      </c>
    </row>
    <row r="148" spans="1:14" x14ac:dyDescent="0.25">
      <c r="A148">
        <v>146</v>
      </c>
      <c r="B148" s="28" t="s">
        <v>158</v>
      </c>
      <c r="C148">
        <v>12254</v>
      </c>
      <c r="E148">
        <v>120</v>
      </c>
      <c r="G148">
        <v>12069</v>
      </c>
      <c r="H148">
        <v>65</v>
      </c>
      <c r="I148">
        <v>18</v>
      </c>
      <c r="J148">
        <v>74411</v>
      </c>
      <c r="K148">
        <v>729</v>
      </c>
      <c r="L148">
        <v>103551</v>
      </c>
      <c r="M148">
        <v>628805</v>
      </c>
      <c r="N148">
        <v>164679</v>
      </c>
    </row>
    <row r="149" spans="1:14" x14ac:dyDescent="0.25">
      <c r="A149">
        <v>147</v>
      </c>
      <c r="B149" s="28" t="s">
        <v>161</v>
      </c>
      <c r="C149">
        <v>11950</v>
      </c>
      <c r="E149">
        <v>228</v>
      </c>
      <c r="G149">
        <v>10237</v>
      </c>
      <c r="H149">
        <v>1485</v>
      </c>
      <c r="I149">
        <v>30</v>
      </c>
      <c r="J149">
        <v>20213</v>
      </c>
      <c r="K149">
        <v>386</v>
      </c>
      <c r="L149">
        <v>55763</v>
      </c>
      <c r="M149">
        <v>94319</v>
      </c>
      <c r="N149">
        <v>591214</v>
      </c>
    </row>
    <row r="150" spans="1:14" x14ac:dyDescent="0.25">
      <c r="A150">
        <v>148</v>
      </c>
      <c r="B150" s="28" t="s">
        <v>159</v>
      </c>
      <c r="C150">
        <v>11826</v>
      </c>
      <c r="D150">
        <v>1</v>
      </c>
      <c r="E150">
        <v>210</v>
      </c>
      <c r="G150">
        <v>11531</v>
      </c>
      <c r="H150">
        <v>85</v>
      </c>
      <c r="I150">
        <v>2</v>
      </c>
      <c r="J150">
        <v>1566</v>
      </c>
      <c r="K150">
        <v>28</v>
      </c>
      <c r="L150">
        <v>14841321</v>
      </c>
      <c r="M150">
        <v>1965735</v>
      </c>
      <c r="N150">
        <v>7550012</v>
      </c>
    </row>
    <row r="151" spans="1:14" x14ac:dyDescent="0.25">
      <c r="A151">
        <v>149</v>
      </c>
      <c r="B151" s="28" t="s">
        <v>160</v>
      </c>
      <c r="C151">
        <v>11736</v>
      </c>
      <c r="E151">
        <v>90</v>
      </c>
      <c r="G151">
        <v>98</v>
      </c>
      <c r="H151">
        <v>11548</v>
      </c>
      <c r="I151">
        <v>24</v>
      </c>
      <c r="J151">
        <v>31295</v>
      </c>
      <c r="K151">
        <v>240</v>
      </c>
      <c r="L151">
        <v>170302</v>
      </c>
      <c r="M151">
        <v>454125</v>
      </c>
      <c r="N151">
        <v>375011</v>
      </c>
    </row>
    <row r="152" spans="1:14" x14ac:dyDescent="0.25">
      <c r="A152">
        <v>150</v>
      </c>
      <c r="B152" s="28" t="s">
        <v>162</v>
      </c>
      <c r="C152">
        <v>11434</v>
      </c>
      <c r="E152">
        <v>151</v>
      </c>
      <c r="G152">
        <v>11266</v>
      </c>
      <c r="H152">
        <v>17</v>
      </c>
      <c r="J152">
        <v>11428</v>
      </c>
      <c r="K152">
        <v>151</v>
      </c>
      <c r="L152">
        <v>154011</v>
      </c>
      <c r="M152">
        <v>153934</v>
      </c>
      <c r="N152">
        <v>1000501</v>
      </c>
    </row>
    <row r="153" spans="1:14" x14ac:dyDescent="0.25">
      <c r="A153">
        <v>151</v>
      </c>
      <c r="B153" s="28" t="s">
        <v>163</v>
      </c>
      <c r="C153">
        <v>11343</v>
      </c>
      <c r="E153">
        <v>148</v>
      </c>
      <c r="G153">
        <v>8208</v>
      </c>
      <c r="H153">
        <v>2987</v>
      </c>
      <c r="J153">
        <v>2013</v>
      </c>
      <c r="K153">
        <v>26</v>
      </c>
      <c r="L153">
        <v>141948</v>
      </c>
      <c r="M153">
        <v>25187</v>
      </c>
      <c r="N153">
        <v>5635839</v>
      </c>
    </row>
    <row r="154" spans="1:14" x14ac:dyDescent="0.25">
      <c r="A154">
        <v>152</v>
      </c>
      <c r="B154" s="28" t="s">
        <v>164</v>
      </c>
      <c r="C154">
        <v>11024</v>
      </c>
      <c r="E154">
        <v>216</v>
      </c>
      <c r="G154">
        <v>9967</v>
      </c>
      <c r="H154">
        <v>841</v>
      </c>
      <c r="I154">
        <v>5</v>
      </c>
      <c r="J154">
        <v>27802</v>
      </c>
      <c r="K154">
        <v>545</v>
      </c>
      <c r="L154">
        <v>91550</v>
      </c>
      <c r="M154">
        <v>230884</v>
      </c>
      <c r="N154">
        <v>396519</v>
      </c>
    </row>
    <row r="155" spans="1:14" x14ac:dyDescent="0.25">
      <c r="A155">
        <v>153</v>
      </c>
      <c r="B155" s="28" t="s">
        <v>165</v>
      </c>
      <c r="C155">
        <v>10854</v>
      </c>
      <c r="E155">
        <v>104</v>
      </c>
      <c r="G155">
        <v>10662</v>
      </c>
      <c r="H155">
        <v>88</v>
      </c>
      <c r="I155">
        <v>14</v>
      </c>
      <c r="J155">
        <v>101286</v>
      </c>
      <c r="K155">
        <v>970</v>
      </c>
      <c r="L155">
        <v>157746</v>
      </c>
      <c r="M155">
        <v>1472033</v>
      </c>
      <c r="N155">
        <v>107162</v>
      </c>
    </row>
    <row r="156" spans="1:14" x14ac:dyDescent="0.25">
      <c r="A156">
        <v>154</v>
      </c>
      <c r="B156" s="28" t="s">
        <v>166</v>
      </c>
      <c r="C156">
        <v>10790</v>
      </c>
      <c r="E156">
        <v>320</v>
      </c>
      <c r="G156">
        <v>6427</v>
      </c>
      <c r="H156">
        <v>4043</v>
      </c>
      <c r="J156">
        <v>5002</v>
      </c>
      <c r="K156">
        <v>148</v>
      </c>
      <c r="L156">
        <v>87981</v>
      </c>
      <c r="M156">
        <v>40788</v>
      </c>
      <c r="N156">
        <v>2157056</v>
      </c>
    </row>
    <row r="157" spans="1:14" x14ac:dyDescent="0.25">
      <c r="A157">
        <v>155</v>
      </c>
      <c r="B157" s="28" t="s">
        <v>167</v>
      </c>
      <c r="C157">
        <v>10652</v>
      </c>
      <c r="E157">
        <v>115</v>
      </c>
      <c r="G157">
        <v>10462</v>
      </c>
      <c r="H157">
        <v>75</v>
      </c>
      <c r="J157">
        <v>942</v>
      </c>
      <c r="K157">
        <v>10</v>
      </c>
      <c r="L157">
        <v>159088</v>
      </c>
      <c r="M157">
        <v>14069</v>
      </c>
      <c r="N157">
        <v>11308016</v>
      </c>
    </row>
    <row r="158" spans="1:14" x14ac:dyDescent="0.25">
      <c r="A158">
        <v>156</v>
      </c>
      <c r="B158" s="28" t="s">
        <v>168</v>
      </c>
      <c r="C158">
        <v>9764</v>
      </c>
      <c r="D158">
        <v>580</v>
      </c>
      <c r="E158">
        <v>35</v>
      </c>
      <c r="F158">
        <v>3</v>
      </c>
      <c r="G158">
        <v>7826</v>
      </c>
      <c r="H158">
        <v>1903</v>
      </c>
      <c r="J158">
        <v>98748</v>
      </c>
      <c r="K158">
        <v>354</v>
      </c>
      <c r="L158">
        <v>21504</v>
      </c>
      <c r="M158">
        <v>217480</v>
      </c>
      <c r="N158">
        <v>98878</v>
      </c>
    </row>
    <row r="159" spans="1:14" x14ac:dyDescent="0.25">
      <c r="A159">
        <v>157</v>
      </c>
      <c r="B159" s="28" t="s">
        <v>169</v>
      </c>
      <c r="C159">
        <v>7995</v>
      </c>
      <c r="E159">
        <v>101</v>
      </c>
      <c r="G159">
        <v>7652</v>
      </c>
      <c r="H159">
        <v>242</v>
      </c>
      <c r="I159">
        <v>35</v>
      </c>
      <c r="J159">
        <v>645</v>
      </c>
      <c r="K159">
        <v>8</v>
      </c>
      <c r="L159">
        <v>595112</v>
      </c>
      <c r="M159">
        <v>47999</v>
      </c>
      <c r="N159">
        <v>12398337</v>
      </c>
    </row>
    <row r="160" spans="1:14" x14ac:dyDescent="0.25">
      <c r="A160">
        <v>158</v>
      </c>
      <c r="B160" s="28" t="s">
        <v>170</v>
      </c>
      <c r="C160">
        <v>7694</v>
      </c>
      <c r="E160">
        <v>112</v>
      </c>
      <c r="G160">
        <v>7279</v>
      </c>
      <c r="H160">
        <v>303</v>
      </c>
      <c r="I160">
        <v>7</v>
      </c>
      <c r="J160">
        <v>5333</v>
      </c>
      <c r="K160">
        <v>78</v>
      </c>
      <c r="L160">
        <v>123169</v>
      </c>
      <c r="M160">
        <v>85366</v>
      </c>
      <c r="N160">
        <v>1442826</v>
      </c>
    </row>
    <row r="161" spans="1:14" x14ac:dyDescent="0.25">
      <c r="A161">
        <v>159</v>
      </c>
      <c r="B161" s="28" t="s">
        <v>171</v>
      </c>
      <c r="C161">
        <v>7086</v>
      </c>
      <c r="E161">
        <v>184</v>
      </c>
      <c r="G161">
        <v>4225</v>
      </c>
      <c r="H161">
        <v>2677</v>
      </c>
      <c r="J161">
        <v>1059</v>
      </c>
      <c r="K161">
        <v>27</v>
      </c>
      <c r="N161">
        <v>6693189</v>
      </c>
    </row>
    <row r="162" spans="1:14" x14ac:dyDescent="0.25">
      <c r="A162">
        <v>160</v>
      </c>
      <c r="B162" s="28" t="s">
        <v>172</v>
      </c>
      <c r="C162">
        <v>6866</v>
      </c>
      <c r="E162">
        <v>95</v>
      </c>
      <c r="G162">
        <v>5112</v>
      </c>
      <c r="H162">
        <v>1659</v>
      </c>
      <c r="I162">
        <v>2</v>
      </c>
      <c r="J162">
        <v>1400</v>
      </c>
      <c r="K162">
        <v>19</v>
      </c>
      <c r="L162">
        <v>40907</v>
      </c>
      <c r="M162">
        <v>8344</v>
      </c>
      <c r="N162">
        <v>4902756</v>
      </c>
    </row>
    <row r="163" spans="1:14" x14ac:dyDescent="0.25">
      <c r="A163">
        <v>161</v>
      </c>
      <c r="B163" s="28" t="s">
        <v>174</v>
      </c>
      <c r="C163">
        <v>6568</v>
      </c>
      <c r="D163">
        <v>25</v>
      </c>
      <c r="E163">
        <v>1294</v>
      </c>
      <c r="F163">
        <v>5</v>
      </c>
      <c r="G163">
        <v>3042</v>
      </c>
      <c r="H163">
        <v>2232</v>
      </c>
      <c r="I163">
        <v>23</v>
      </c>
      <c r="J163">
        <v>216</v>
      </c>
      <c r="K163">
        <v>43</v>
      </c>
      <c r="L163">
        <v>38810</v>
      </c>
      <c r="M163">
        <v>1277</v>
      </c>
      <c r="N163">
        <v>30395998</v>
      </c>
    </row>
    <row r="164" spans="1:14" x14ac:dyDescent="0.25">
      <c r="A164">
        <v>162</v>
      </c>
      <c r="B164" s="28" t="s">
        <v>173</v>
      </c>
      <c r="C164">
        <v>6548</v>
      </c>
      <c r="D164">
        <v>11</v>
      </c>
      <c r="E164">
        <v>29</v>
      </c>
      <c r="G164">
        <v>6456</v>
      </c>
      <c r="H164">
        <v>63</v>
      </c>
      <c r="I164">
        <v>4</v>
      </c>
      <c r="J164">
        <v>19081</v>
      </c>
      <c r="K164">
        <v>85</v>
      </c>
      <c r="L164">
        <v>631957</v>
      </c>
      <c r="M164">
        <v>1841501</v>
      </c>
      <c r="N164">
        <v>343175</v>
      </c>
    </row>
    <row r="165" spans="1:14" x14ac:dyDescent="0.25">
      <c r="A165">
        <v>163</v>
      </c>
      <c r="B165" s="28" t="s">
        <v>175</v>
      </c>
      <c r="C165">
        <v>5940</v>
      </c>
      <c r="E165">
        <v>175</v>
      </c>
      <c r="G165">
        <v>5674</v>
      </c>
      <c r="H165">
        <v>91</v>
      </c>
      <c r="I165">
        <v>3</v>
      </c>
      <c r="J165">
        <v>2400</v>
      </c>
      <c r="K165">
        <v>71</v>
      </c>
      <c r="L165">
        <v>76379</v>
      </c>
      <c r="M165">
        <v>30855</v>
      </c>
      <c r="N165">
        <v>2475455</v>
      </c>
    </row>
    <row r="166" spans="1:14" x14ac:dyDescent="0.25">
      <c r="A166">
        <v>164</v>
      </c>
      <c r="B166" s="28" t="s">
        <v>176</v>
      </c>
      <c r="C166">
        <v>5333</v>
      </c>
      <c r="E166">
        <v>192</v>
      </c>
      <c r="G166">
        <v>4953</v>
      </c>
      <c r="H166">
        <v>188</v>
      </c>
      <c r="I166">
        <v>2</v>
      </c>
      <c r="J166">
        <v>214</v>
      </c>
      <c r="K166">
        <v>8</v>
      </c>
      <c r="L166">
        <v>102334</v>
      </c>
      <c r="M166">
        <v>4099</v>
      </c>
      <c r="N166">
        <v>24963103</v>
      </c>
    </row>
    <row r="167" spans="1:14" x14ac:dyDescent="0.25">
      <c r="A167">
        <v>165</v>
      </c>
      <c r="B167" s="28" t="s">
        <v>177</v>
      </c>
      <c r="C167">
        <v>5083</v>
      </c>
      <c r="E167">
        <v>90</v>
      </c>
      <c r="G167">
        <v>4968</v>
      </c>
      <c r="H167">
        <v>25</v>
      </c>
      <c r="I167">
        <v>4</v>
      </c>
      <c r="J167">
        <v>149531</v>
      </c>
      <c r="K167">
        <v>2648</v>
      </c>
      <c r="L167">
        <v>63241</v>
      </c>
      <c r="M167">
        <v>1860412</v>
      </c>
      <c r="N167">
        <v>33993</v>
      </c>
    </row>
    <row r="168" spans="1:14" x14ac:dyDescent="0.25">
      <c r="A168">
        <v>166</v>
      </c>
      <c r="B168" s="28" t="s">
        <v>178</v>
      </c>
      <c r="C168">
        <v>4904</v>
      </c>
      <c r="E168">
        <v>173</v>
      </c>
      <c r="G168">
        <v>4688</v>
      </c>
      <c r="H168">
        <v>43</v>
      </c>
      <c r="J168">
        <v>291</v>
      </c>
      <c r="K168">
        <v>10</v>
      </c>
      <c r="L168">
        <v>116839</v>
      </c>
      <c r="M168">
        <v>6941</v>
      </c>
      <c r="N168">
        <v>16833892</v>
      </c>
    </row>
    <row r="169" spans="1:14" x14ac:dyDescent="0.25">
      <c r="A169">
        <v>167</v>
      </c>
      <c r="B169" s="28" t="s">
        <v>179</v>
      </c>
      <c r="C169">
        <v>4818</v>
      </c>
      <c r="E169">
        <v>75</v>
      </c>
      <c r="G169">
        <v>4516</v>
      </c>
      <c r="H169">
        <v>227</v>
      </c>
      <c r="I169">
        <v>2</v>
      </c>
      <c r="J169">
        <v>26134</v>
      </c>
      <c r="K169">
        <v>407</v>
      </c>
      <c r="L169">
        <v>43118</v>
      </c>
      <c r="M169">
        <v>233879</v>
      </c>
      <c r="N169">
        <v>184360</v>
      </c>
    </row>
    <row r="170" spans="1:14" x14ac:dyDescent="0.25">
      <c r="A170">
        <v>168</v>
      </c>
      <c r="B170" s="28" t="s">
        <v>185</v>
      </c>
      <c r="C170">
        <v>4589</v>
      </c>
      <c r="D170">
        <v>131</v>
      </c>
      <c r="E170">
        <v>10</v>
      </c>
      <c r="G170">
        <v>2406</v>
      </c>
      <c r="H170">
        <v>2173</v>
      </c>
      <c r="J170">
        <v>3424</v>
      </c>
      <c r="K170">
        <v>7</v>
      </c>
      <c r="L170">
        <v>85223</v>
      </c>
      <c r="M170">
        <v>63587</v>
      </c>
      <c r="N170">
        <v>1340259</v>
      </c>
    </row>
    <row r="171" spans="1:14" x14ac:dyDescent="0.25">
      <c r="A171">
        <v>169</v>
      </c>
      <c r="B171" s="28" t="s">
        <v>189</v>
      </c>
      <c r="C171">
        <v>4359</v>
      </c>
      <c r="D171">
        <v>184</v>
      </c>
      <c r="E171">
        <v>37</v>
      </c>
      <c r="F171">
        <v>1</v>
      </c>
      <c r="G171">
        <v>2668</v>
      </c>
      <c r="H171">
        <v>1654</v>
      </c>
      <c r="J171">
        <v>44</v>
      </c>
      <c r="K171">
        <v>0.4</v>
      </c>
      <c r="L171">
        <v>3091540</v>
      </c>
      <c r="M171">
        <v>31514</v>
      </c>
      <c r="N171">
        <v>98101977</v>
      </c>
    </row>
    <row r="172" spans="1:14" x14ac:dyDescent="0.25">
      <c r="A172">
        <v>170</v>
      </c>
      <c r="B172" s="28" t="s">
        <v>181</v>
      </c>
      <c r="C172">
        <v>4347</v>
      </c>
      <c r="D172">
        <v>18</v>
      </c>
      <c r="E172">
        <v>6</v>
      </c>
      <c r="G172">
        <v>773</v>
      </c>
      <c r="H172">
        <v>3568</v>
      </c>
      <c r="J172">
        <v>356</v>
      </c>
      <c r="K172">
        <v>0.5</v>
      </c>
      <c r="L172">
        <v>279132</v>
      </c>
      <c r="M172">
        <v>22885</v>
      </c>
      <c r="N172">
        <v>12197235</v>
      </c>
    </row>
    <row r="173" spans="1:14" x14ac:dyDescent="0.25">
      <c r="A173">
        <v>171</v>
      </c>
      <c r="B173" s="28" t="s">
        <v>180</v>
      </c>
      <c r="C173">
        <v>4286</v>
      </c>
      <c r="E173">
        <v>94</v>
      </c>
      <c r="G173">
        <v>4192</v>
      </c>
      <c r="H173">
        <v>0</v>
      </c>
      <c r="J173">
        <v>127249</v>
      </c>
      <c r="K173">
        <v>2791</v>
      </c>
      <c r="L173">
        <v>244039</v>
      </c>
      <c r="M173">
        <v>7245383</v>
      </c>
      <c r="N173">
        <v>33682</v>
      </c>
    </row>
    <row r="174" spans="1:14" x14ac:dyDescent="0.25">
      <c r="A174">
        <v>172</v>
      </c>
      <c r="B174" s="28" t="s">
        <v>182</v>
      </c>
      <c r="C174">
        <v>4107</v>
      </c>
      <c r="E174">
        <v>79</v>
      </c>
      <c r="G174">
        <v>3104</v>
      </c>
      <c r="H174">
        <v>924</v>
      </c>
      <c r="J174">
        <v>506</v>
      </c>
      <c r="K174">
        <v>10</v>
      </c>
      <c r="L174">
        <v>153257</v>
      </c>
      <c r="M174">
        <v>18879</v>
      </c>
      <c r="N174">
        <v>8117836</v>
      </c>
    </row>
    <row r="175" spans="1:14" x14ac:dyDescent="0.25">
      <c r="A175">
        <v>173</v>
      </c>
      <c r="B175" s="28" t="s">
        <v>183</v>
      </c>
      <c r="C175">
        <v>4057</v>
      </c>
      <c r="E175">
        <v>86</v>
      </c>
      <c r="G175">
        <v>3956</v>
      </c>
      <c r="H175">
        <v>15</v>
      </c>
      <c r="J175">
        <v>23148</v>
      </c>
      <c r="K175">
        <v>491</v>
      </c>
      <c r="L175">
        <v>454413</v>
      </c>
      <c r="M175">
        <v>2592794</v>
      </c>
      <c r="N175">
        <v>175260</v>
      </c>
    </row>
    <row r="176" spans="1:14" x14ac:dyDescent="0.25">
      <c r="A176">
        <v>174</v>
      </c>
      <c r="B176" s="28" t="s">
        <v>184</v>
      </c>
      <c r="C176">
        <v>3967</v>
      </c>
      <c r="E176">
        <v>46</v>
      </c>
      <c r="G176">
        <v>3922</v>
      </c>
      <c r="H176">
        <v>-1</v>
      </c>
      <c r="J176">
        <v>13790</v>
      </c>
      <c r="K176">
        <v>160</v>
      </c>
      <c r="L176">
        <v>162817</v>
      </c>
      <c r="M176">
        <v>565962</v>
      </c>
      <c r="N176">
        <v>287682</v>
      </c>
    </row>
    <row r="177" spans="1:14" x14ac:dyDescent="0.25">
      <c r="A177">
        <v>175</v>
      </c>
      <c r="B177" s="28" t="s">
        <v>187</v>
      </c>
      <c r="C177">
        <v>3868</v>
      </c>
      <c r="D177">
        <v>24</v>
      </c>
      <c r="E177">
        <v>14</v>
      </c>
      <c r="F177">
        <v>2</v>
      </c>
      <c r="G177">
        <v>3676</v>
      </c>
      <c r="H177">
        <v>178</v>
      </c>
      <c r="J177">
        <v>1078</v>
      </c>
      <c r="K177">
        <v>4</v>
      </c>
      <c r="L177">
        <v>23693</v>
      </c>
      <c r="M177">
        <v>6601</v>
      </c>
      <c r="N177">
        <v>3589136</v>
      </c>
    </row>
    <row r="178" spans="1:14" x14ac:dyDescent="0.25">
      <c r="A178">
        <v>176</v>
      </c>
      <c r="B178" s="28" t="s">
        <v>186</v>
      </c>
      <c r="C178">
        <v>3863</v>
      </c>
      <c r="E178">
        <v>146</v>
      </c>
      <c r="G178">
        <v>3699</v>
      </c>
      <c r="H178">
        <v>18</v>
      </c>
      <c r="J178">
        <v>4362</v>
      </c>
      <c r="K178">
        <v>165</v>
      </c>
      <c r="N178">
        <v>885680</v>
      </c>
    </row>
    <row r="179" spans="1:14" x14ac:dyDescent="0.25">
      <c r="A179">
        <v>177</v>
      </c>
      <c r="B179" s="28" t="s">
        <v>188</v>
      </c>
      <c r="C179">
        <v>3746</v>
      </c>
      <c r="E179">
        <v>67</v>
      </c>
      <c r="G179">
        <v>3438</v>
      </c>
      <c r="H179">
        <v>241</v>
      </c>
      <c r="I179">
        <v>9</v>
      </c>
      <c r="J179">
        <v>1865</v>
      </c>
      <c r="K179">
        <v>33</v>
      </c>
      <c r="L179">
        <v>65627</v>
      </c>
      <c r="M179">
        <v>32677</v>
      </c>
      <c r="N179">
        <v>2008341</v>
      </c>
    </row>
    <row r="180" spans="1:14" x14ac:dyDescent="0.25">
      <c r="A180">
        <v>178</v>
      </c>
      <c r="B180" s="28" t="s">
        <v>190</v>
      </c>
      <c r="C180">
        <v>2990</v>
      </c>
      <c r="D180">
        <v>5</v>
      </c>
      <c r="E180">
        <v>58</v>
      </c>
      <c r="G180">
        <v>2887</v>
      </c>
      <c r="H180">
        <v>45</v>
      </c>
      <c r="I180">
        <v>3</v>
      </c>
      <c r="J180">
        <v>78223</v>
      </c>
      <c r="K180">
        <v>1517</v>
      </c>
      <c r="L180">
        <v>39109</v>
      </c>
      <c r="M180">
        <v>1023153</v>
      </c>
      <c r="N180">
        <v>38224</v>
      </c>
    </row>
    <row r="181" spans="1:14" x14ac:dyDescent="0.25">
      <c r="A181">
        <v>179</v>
      </c>
      <c r="B181" s="28" t="s">
        <v>191</v>
      </c>
      <c r="C181">
        <v>2651</v>
      </c>
      <c r="D181">
        <v>5</v>
      </c>
      <c r="E181">
        <v>26</v>
      </c>
      <c r="G181">
        <v>2607</v>
      </c>
      <c r="H181">
        <v>18</v>
      </c>
      <c r="J181">
        <v>530</v>
      </c>
      <c r="K181">
        <v>5</v>
      </c>
      <c r="L181">
        <v>2082570</v>
      </c>
      <c r="M181">
        <v>416339</v>
      </c>
      <c r="N181">
        <v>5002100</v>
      </c>
    </row>
    <row r="182" spans="1:14" x14ac:dyDescent="0.25">
      <c r="A182">
        <v>180</v>
      </c>
      <c r="B182" s="28" t="s">
        <v>192</v>
      </c>
      <c r="C182">
        <v>2494</v>
      </c>
      <c r="D182">
        <v>1</v>
      </c>
      <c r="E182">
        <v>32</v>
      </c>
      <c r="G182">
        <v>2446</v>
      </c>
      <c r="H182">
        <v>16</v>
      </c>
      <c r="I182">
        <v>1</v>
      </c>
      <c r="J182">
        <v>63163</v>
      </c>
      <c r="K182">
        <v>810</v>
      </c>
      <c r="L182">
        <v>51953</v>
      </c>
      <c r="M182">
        <v>1315765</v>
      </c>
      <c r="N182">
        <v>39485</v>
      </c>
    </row>
    <row r="183" spans="1:14" x14ac:dyDescent="0.25">
      <c r="A183">
        <v>181</v>
      </c>
      <c r="B183" s="28" t="s">
        <v>193</v>
      </c>
      <c r="C183">
        <v>2466</v>
      </c>
      <c r="E183">
        <v>32</v>
      </c>
      <c r="G183">
        <v>2250</v>
      </c>
      <c r="H183">
        <v>184</v>
      </c>
      <c r="I183">
        <v>7</v>
      </c>
      <c r="J183">
        <v>39725</v>
      </c>
      <c r="K183">
        <v>515</v>
      </c>
      <c r="L183">
        <v>253555</v>
      </c>
      <c r="M183">
        <v>4084524</v>
      </c>
      <c r="N183">
        <v>62077</v>
      </c>
    </row>
    <row r="184" spans="1:14" x14ac:dyDescent="0.25">
      <c r="A184">
        <v>182</v>
      </c>
      <c r="B184" s="28" t="s">
        <v>194</v>
      </c>
      <c r="C184">
        <v>2404</v>
      </c>
      <c r="E184">
        <v>17</v>
      </c>
      <c r="G184">
        <v>2365</v>
      </c>
      <c r="H184">
        <v>22</v>
      </c>
      <c r="I184">
        <v>2</v>
      </c>
      <c r="J184">
        <v>61369</v>
      </c>
      <c r="K184">
        <v>434</v>
      </c>
      <c r="L184">
        <v>65926</v>
      </c>
      <c r="M184">
        <v>1682945</v>
      </c>
      <c r="N184">
        <v>39173</v>
      </c>
    </row>
    <row r="185" spans="1:14" x14ac:dyDescent="0.25">
      <c r="A185">
        <v>183</v>
      </c>
      <c r="B185" s="28" t="s">
        <v>195</v>
      </c>
      <c r="C185">
        <v>2330</v>
      </c>
      <c r="D185">
        <v>3</v>
      </c>
      <c r="E185">
        <v>35</v>
      </c>
      <c r="G185">
        <v>2275</v>
      </c>
      <c r="H185">
        <v>20</v>
      </c>
      <c r="J185">
        <v>10463</v>
      </c>
      <c r="K185">
        <v>157</v>
      </c>
      <c r="L185">
        <v>13418</v>
      </c>
      <c r="M185">
        <v>60253</v>
      </c>
      <c r="N185">
        <v>222695</v>
      </c>
    </row>
    <row r="186" spans="1:14" x14ac:dyDescent="0.25">
      <c r="A186">
        <v>184</v>
      </c>
      <c r="B186" s="28" t="s">
        <v>196</v>
      </c>
      <c r="C186">
        <v>2282</v>
      </c>
      <c r="E186">
        <v>27</v>
      </c>
      <c r="G186">
        <v>2223</v>
      </c>
      <c r="H186">
        <v>32</v>
      </c>
      <c r="I186">
        <v>2</v>
      </c>
      <c r="J186">
        <v>52702</v>
      </c>
      <c r="K186">
        <v>624</v>
      </c>
      <c r="L186">
        <v>26880</v>
      </c>
      <c r="M186">
        <v>620785</v>
      </c>
      <c r="N186">
        <v>43300</v>
      </c>
    </row>
    <row r="187" spans="1:14" x14ac:dyDescent="0.25">
      <c r="A187">
        <v>185</v>
      </c>
      <c r="B187" s="28" t="s">
        <v>197</v>
      </c>
      <c r="C187">
        <v>2114</v>
      </c>
      <c r="E187">
        <v>85</v>
      </c>
      <c r="G187">
        <v>1962</v>
      </c>
      <c r="H187">
        <v>67</v>
      </c>
      <c r="I187">
        <v>2</v>
      </c>
      <c r="J187">
        <v>410</v>
      </c>
      <c r="K187">
        <v>16</v>
      </c>
      <c r="L187">
        <v>97875</v>
      </c>
      <c r="M187">
        <v>18965</v>
      </c>
      <c r="N187">
        <v>5160782</v>
      </c>
    </row>
    <row r="188" spans="1:14" x14ac:dyDescent="0.25">
      <c r="A188">
        <v>186</v>
      </c>
      <c r="B188" s="28" t="s">
        <v>205</v>
      </c>
      <c r="C188">
        <v>2017</v>
      </c>
      <c r="D188">
        <v>335</v>
      </c>
      <c r="E188">
        <v>12</v>
      </c>
      <c r="G188">
        <v>1123</v>
      </c>
      <c r="H188">
        <v>882</v>
      </c>
      <c r="J188">
        <v>85</v>
      </c>
      <c r="K188">
        <v>0.5</v>
      </c>
      <c r="L188">
        <v>571259</v>
      </c>
      <c r="M188">
        <v>23948</v>
      </c>
      <c r="N188">
        <v>23854430</v>
      </c>
    </row>
    <row r="189" spans="1:14" x14ac:dyDescent="0.25">
      <c r="A189">
        <v>187</v>
      </c>
      <c r="B189" s="28" t="s">
        <v>256</v>
      </c>
      <c r="C189">
        <v>1937</v>
      </c>
      <c r="E189">
        <v>12</v>
      </c>
      <c r="G189">
        <v>1772</v>
      </c>
      <c r="H189">
        <v>153</v>
      </c>
      <c r="I189">
        <v>2</v>
      </c>
      <c r="J189">
        <v>17412</v>
      </c>
      <c r="K189">
        <v>108</v>
      </c>
      <c r="L189">
        <v>47148</v>
      </c>
      <c r="M189">
        <v>423810</v>
      </c>
      <c r="N189">
        <v>111248</v>
      </c>
    </row>
    <row r="190" spans="1:14" x14ac:dyDescent="0.25">
      <c r="A190">
        <v>188</v>
      </c>
      <c r="B190" s="28" t="s">
        <v>199</v>
      </c>
      <c r="C190">
        <v>1773</v>
      </c>
      <c r="E190">
        <v>12</v>
      </c>
      <c r="G190">
        <v>1399</v>
      </c>
      <c r="H190">
        <v>362</v>
      </c>
      <c r="I190">
        <v>7</v>
      </c>
      <c r="J190">
        <v>45185</v>
      </c>
      <c r="K190">
        <v>306</v>
      </c>
      <c r="L190">
        <v>27588</v>
      </c>
      <c r="M190">
        <v>703076</v>
      </c>
      <c r="N190">
        <v>39239</v>
      </c>
    </row>
    <row r="191" spans="1:14" x14ac:dyDescent="0.25">
      <c r="A191">
        <v>189</v>
      </c>
      <c r="B191" s="28" t="s">
        <v>202</v>
      </c>
      <c r="C191">
        <v>1638</v>
      </c>
      <c r="D191">
        <v>47</v>
      </c>
      <c r="E191">
        <v>2</v>
      </c>
      <c r="G191">
        <v>582</v>
      </c>
      <c r="H191">
        <v>1054</v>
      </c>
      <c r="J191">
        <v>222</v>
      </c>
      <c r="K191">
        <v>0.3</v>
      </c>
      <c r="L191">
        <v>223820</v>
      </c>
      <c r="M191">
        <v>30380</v>
      </c>
      <c r="N191">
        <v>7367417</v>
      </c>
    </row>
    <row r="192" spans="1:14" x14ac:dyDescent="0.25">
      <c r="A192">
        <v>190</v>
      </c>
      <c r="B192" s="28" t="s">
        <v>201</v>
      </c>
      <c r="C192">
        <v>1597</v>
      </c>
      <c r="E192">
        <v>17</v>
      </c>
      <c r="G192">
        <v>1563</v>
      </c>
      <c r="H192">
        <v>17</v>
      </c>
      <c r="J192">
        <v>60412</v>
      </c>
      <c r="K192">
        <v>643</v>
      </c>
      <c r="L192">
        <v>10072</v>
      </c>
      <c r="M192">
        <v>381010</v>
      </c>
      <c r="N192">
        <v>26435</v>
      </c>
    </row>
    <row r="193" spans="1:14" x14ac:dyDescent="0.25">
      <c r="A193">
        <v>191</v>
      </c>
      <c r="B193" s="28" t="s">
        <v>200</v>
      </c>
      <c r="C193">
        <v>1590</v>
      </c>
      <c r="E193">
        <v>29</v>
      </c>
      <c r="G193">
        <v>1558</v>
      </c>
      <c r="H193">
        <v>3</v>
      </c>
      <c r="I193">
        <v>1</v>
      </c>
      <c r="J193">
        <v>18613</v>
      </c>
      <c r="K193">
        <v>339</v>
      </c>
      <c r="L193">
        <v>44761</v>
      </c>
      <c r="M193">
        <v>523974</v>
      </c>
      <c r="N193">
        <v>85426</v>
      </c>
    </row>
    <row r="194" spans="1:14" x14ac:dyDescent="0.25">
      <c r="A194">
        <v>192</v>
      </c>
      <c r="B194" s="28" t="s">
        <v>204</v>
      </c>
      <c r="C194">
        <v>1296</v>
      </c>
      <c r="D194">
        <v>10</v>
      </c>
      <c r="E194">
        <v>1</v>
      </c>
      <c r="G194">
        <v>1177</v>
      </c>
      <c r="H194">
        <v>118</v>
      </c>
      <c r="J194">
        <v>1664</v>
      </c>
      <c r="K194">
        <v>1</v>
      </c>
      <c r="L194">
        <v>746914</v>
      </c>
      <c r="M194">
        <v>958800</v>
      </c>
      <c r="N194">
        <v>779009</v>
      </c>
    </row>
    <row r="195" spans="1:14" x14ac:dyDescent="0.25">
      <c r="A195">
        <v>193</v>
      </c>
      <c r="B195" s="28" t="s">
        <v>203</v>
      </c>
      <c r="C195">
        <v>1287</v>
      </c>
      <c r="D195">
        <v>5</v>
      </c>
      <c r="E195">
        <v>17</v>
      </c>
      <c r="G195">
        <v>1145</v>
      </c>
      <c r="H195">
        <v>125</v>
      </c>
      <c r="J195">
        <v>1011</v>
      </c>
      <c r="K195">
        <v>13</v>
      </c>
      <c r="L195">
        <v>358675</v>
      </c>
      <c r="M195">
        <v>281620</v>
      </c>
      <c r="N195">
        <v>1273612</v>
      </c>
    </row>
    <row r="196" spans="1:14" x14ac:dyDescent="0.25">
      <c r="A196">
        <v>194</v>
      </c>
      <c r="B196" s="28" t="s">
        <v>206</v>
      </c>
      <c r="C196">
        <v>1241</v>
      </c>
      <c r="E196">
        <v>33</v>
      </c>
      <c r="G196">
        <v>1179</v>
      </c>
      <c r="H196">
        <v>29</v>
      </c>
      <c r="I196">
        <v>4</v>
      </c>
      <c r="J196">
        <v>12582</v>
      </c>
      <c r="K196">
        <v>335</v>
      </c>
      <c r="L196">
        <v>16700</v>
      </c>
      <c r="M196">
        <v>169309</v>
      </c>
      <c r="N196">
        <v>98636</v>
      </c>
    </row>
    <row r="197" spans="1:14" x14ac:dyDescent="0.25">
      <c r="A197">
        <v>195</v>
      </c>
      <c r="B197" s="28" t="s">
        <v>207</v>
      </c>
      <c r="C197">
        <v>974</v>
      </c>
      <c r="E197">
        <v>1</v>
      </c>
      <c r="G197">
        <v>462</v>
      </c>
      <c r="H197">
        <v>511</v>
      </c>
      <c r="J197">
        <v>98354</v>
      </c>
      <c r="K197">
        <v>101</v>
      </c>
      <c r="L197">
        <v>26385</v>
      </c>
      <c r="M197">
        <v>2664344</v>
      </c>
      <c r="N197">
        <v>9903</v>
      </c>
    </row>
    <row r="198" spans="1:14" x14ac:dyDescent="0.25">
      <c r="A198">
        <v>196</v>
      </c>
      <c r="B198" s="28" t="s">
        <v>208</v>
      </c>
      <c r="C198">
        <v>712</v>
      </c>
      <c r="E198">
        <v>13</v>
      </c>
      <c r="G198">
        <v>699</v>
      </c>
      <c r="H198">
        <v>0</v>
      </c>
    </row>
    <row r="199" spans="1:14" x14ac:dyDescent="0.25">
      <c r="A199">
        <v>197</v>
      </c>
      <c r="B199" s="28" t="s">
        <v>209</v>
      </c>
      <c r="C199">
        <v>670</v>
      </c>
      <c r="E199">
        <v>1</v>
      </c>
      <c r="G199">
        <v>667</v>
      </c>
      <c r="H199">
        <v>2</v>
      </c>
      <c r="J199">
        <v>13666</v>
      </c>
      <c r="K199">
        <v>20</v>
      </c>
      <c r="L199">
        <v>259990</v>
      </c>
      <c r="M199">
        <v>5303213</v>
      </c>
      <c r="N199">
        <v>49025</v>
      </c>
    </row>
    <row r="200" spans="1:14" x14ac:dyDescent="0.25">
      <c r="A200">
        <v>198</v>
      </c>
      <c r="B200" s="28" t="s">
        <v>210</v>
      </c>
      <c r="C200">
        <v>565</v>
      </c>
      <c r="E200">
        <v>2</v>
      </c>
      <c r="G200">
        <v>547</v>
      </c>
      <c r="H200">
        <v>16</v>
      </c>
      <c r="J200">
        <v>8510</v>
      </c>
      <c r="K200">
        <v>30</v>
      </c>
      <c r="L200">
        <v>93583</v>
      </c>
      <c r="M200">
        <v>1409510</v>
      </c>
      <c r="N200">
        <v>66394</v>
      </c>
    </row>
    <row r="201" spans="1:14" x14ac:dyDescent="0.25">
      <c r="A201">
        <v>199</v>
      </c>
      <c r="B201" s="28" t="s">
        <v>211</v>
      </c>
      <c r="C201">
        <v>509</v>
      </c>
      <c r="E201">
        <v>21</v>
      </c>
      <c r="G201">
        <v>183</v>
      </c>
      <c r="H201">
        <v>305</v>
      </c>
      <c r="I201">
        <v>7</v>
      </c>
      <c r="J201">
        <v>8</v>
      </c>
      <c r="K201">
        <v>0.3</v>
      </c>
      <c r="N201">
        <v>61207228</v>
      </c>
    </row>
    <row r="202" spans="1:14" x14ac:dyDescent="0.25">
      <c r="A202">
        <v>200</v>
      </c>
      <c r="B202" s="28" t="s">
        <v>212</v>
      </c>
      <c r="C202">
        <v>445</v>
      </c>
      <c r="E202">
        <v>7</v>
      </c>
      <c r="G202">
        <v>436</v>
      </c>
      <c r="H202">
        <v>2</v>
      </c>
      <c r="I202">
        <v>1</v>
      </c>
      <c r="J202">
        <v>40213</v>
      </c>
      <c r="K202">
        <v>633</v>
      </c>
      <c r="L202">
        <v>17264</v>
      </c>
      <c r="M202">
        <v>1560094</v>
      </c>
      <c r="N202">
        <v>11066</v>
      </c>
    </row>
    <row r="203" spans="1:14" x14ac:dyDescent="0.25">
      <c r="A203">
        <v>201</v>
      </c>
      <c r="B203" s="28" t="s">
        <v>214</v>
      </c>
      <c r="C203">
        <v>248</v>
      </c>
      <c r="E203">
        <v>1</v>
      </c>
      <c r="G203">
        <v>209</v>
      </c>
      <c r="H203">
        <v>38</v>
      </c>
      <c r="J203">
        <v>8156</v>
      </c>
      <c r="K203">
        <v>33</v>
      </c>
      <c r="L203">
        <v>39777</v>
      </c>
      <c r="M203">
        <v>1308153</v>
      </c>
      <c r="N203">
        <v>30407</v>
      </c>
    </row>
    <row r="204" spans="1:14" x14ac:dyDescent="0.25">
      <c r="A204">
        <v>202</v>
      </c>
      <c r="B204" s="28" t="s">
        <v>213</v>
      </c>
      <c r="C204">
        <v>232</v>
      </c>
      <c r="E204">
        <v>3</v>
      </c>
      <c r="G204">
        <v>220</v>
      </c>
      <c r="H204">
        <v>9</v>
      </c>
      <c r="J204">
        <v>526</v>
      </c>
      <c r="K204">
        <v>7</v>
      </c>
      <c r="L204">
        <v>123068</v>
      </c>
      <c r="M204">
        <v>278984</v>
      </c>
      <c r="N204">
        <v>441130</v>
      </c>
    </row>
    <row r="205" spans="1:14" x14ac:dyDescent="0.25">
      <c r="A205">
        <v>203</v>
      </c>
      <c r="B205" s="28" t="s">
        <v>215</v>
      </c>
      <c r="C205">
        <v>178</v>
      </c>
      <c r="G205">
        <v>176</v>
      </c>
      <c r="H205">
        <v>2</v>
      </c>
      <c r="J205">
        <v>2467</v>
      </c>
      <c r="L205">
        <v>15844</v>
      </c>
      <c r="M205">
        <v>219622</v>
      </c>
      <c r="N205">
        <v>72142</v>
      </c>
    </row>
    <row r="206" spans="1:14" x14ac:dyDescent="0.25">
      <c r="A206">
        <v>204</v>
      </c>
      <c r="B206" s="28" t="s">
        <v>216</v>
      </c>
      <c r="C206">
        <v>174</v>
      </c>
      <c r="D206">
        <v>2</v>
      </c>
      <c r="E206">
        <v>4</v>
      </c>
      <c r="G206">
        <v>119</v>
      </c>
      <c r="H206">
        <v>51</v>
      </c>
      <c r="J206">
        <v>193</v>
      </c>
      <c r="K206">
        <v>4</v>
      </c>
      <c r="L206">
        <v>70792</v>
      </c>
      <c r="M206">
        <v>78474</v>
      </c>
      <c r="N206">
        <v>902110</v>
      </c>
    </row>
    <row r="207" spans="1:14" x14ac:dyDescent="0.25">
      <c r="A207">
        <v>205</v>
      </c>
      <c r="B207" s="28" t="s">
        <v>217</v>
      </c>
      <c r="C207">
        <v>161</v>
      </c>
      <c r="E207">
        <v>1</v>
      </c>
      <c r="G207">
        <v>160</v>
      </c>
      <c r="H207">
        <v>0</v>
      </c>
      <c r="J207">
        <v>1425</v>
      </c>
      <c r="K207">
        <v>9</v>
      </c>
      <c r="L207">
        <v>28684</v>
      </c>
      <c r="M207">
        <v>253890</v>
      </c>
      <c r="N207">
        <v>112978</v>
      </c>
    </row>
    <row r="208" spans="1:14" x14ac:dyDescent="0.25">
      <c r="A208">
        <v>206</v>
      </c>
      <c r="B208" s="28" t="s">
        <v>218</v>
      </c>
      <c r="C208">
        <v>124</v>
      </c>
      <c r="G208">
        <v>58</v>
      </c>
      <c r="H208">
        <v>66</v>
      </c>
      <c r="J208">
        <v>431</v>
      </c>
      <c r="L208">
        <v>32150</v>
      </c>
      <c r="M208">
        <v>111675</v>
      </c>
      <c r="N208">
        <v>287890</v>
      </c>
    </row>
    <row r="209" spans="1:14" x14ac:dyDescent="0.25">
      <c r="A209">
        <v>207</v>
      </c>
      <c r="B209" s="28" t="s">
        <v>219</v>
      </c>
      <c r="C209">
        <v>109</v>
      </c>
      <c r="G209">
        <v>95</v>
      </c>
      <c r="H209">
        <v>14</v>
      </c>
      <c r="J209">
        <v>7209</v>
      </c>
      <c r="L209">
        <v>21728</v>
      </c>
      <c r="M209">
        <v>1437037</v>
      </c>
      <c r="N209">
        <v>15120</v>
      </c>
    </row>
    <row r="210" spans="1:14" x14ac:dyDescent="0.25">
      <c r="A210">
        <v>208</v>
      </c>
      <c r="B210" s="28" t="s">
        <v>220</v>
      </c>
      <c r="C210">
        <v>63</v>
      </c>
      <c r="G210">
        <v>63</v>
      </c>
      <c r="H210">
        <v>0</v>
      </c>
      <c r="J210">
        <v>17657</v>
      </c>
      <c r="L210">
        <v>7258</v>
      </c>
      <c r="M210">
        <v>2034193</v>
      </c>
      <c r="N210">
        <v>3568</v>
      </c>
    </row>
    <row r="211" spans="1:14" x14ac:dyDescent="0.25">
      <c r="A211">
        <v>209</v>
      </c>
      <c r="B211" s="28" t="s">
        <v>221</v>
      </c>
      <c r="C211">
        <v>50</v>
      </c>
      <c r="D211">
        <v>1</v>
      </c>
      <c r="G211">
        <v>49</v>
      </c>
      <c r="H211">
        <v>1</v>
      </c>
      <c r="J211">
        <v>76</v>
      </c>
      <c r="L211">
        <v>4483</v>
      </c>
      <c r="M211">
        <v>6823</v>
      </c>
      <c r="N211">
        <v>657039</v>
      </c>
    </row>
    <row r="212" spans="1:14" x14ac:dyDescent="0.25">
      <c r="A212">
        <v>210</v>
      </c>
      <c r="B212" s="28" t="s">
        <v>222</v>
      </c>
      <c r="C212">
        <v>45</v>
      </c>
      <c r="G212">
        <v>45</v>
      </c>
      <c r="H212">
        <v>0</v>
      </c>
      <c r="J212">
        <v>841</v>
      </c>
      <c r="L212">
        <v>14008</v>
      </c>
      <c r="M212">
        <v>261700</v>
      </c>
      <c r="N212">
        <v>53527</v>
      </c>
    </row>
    <row r="213" spans="1:14" x14ac:dyDescent="0.25">
      <c r="A213">
        <v>211</v>
      </c>
      <c r="B213" s="28" t="s">
        <v>223</v>
      </c>
      <c r="C213">
        <v>31</v>
      </c>
      <c r="G213">
        <v>31</v>
      </c>
      <c r="H213">
        <v>0</v>
      </c>
      <c r="J213">
        <v>545</v>
      </c>
      <c r="L213">
        <v>20669</v>
      </c>
      <c r="M213">
        <v>363532</v>
      </c>
      <c r="N213">
        <v>56856</v>
      </c>
    </row>
    <row r="214" spans="1:14" x14ac:dyDescent="0.25">
      <c r="A214">
        <v>212</v>
      </c>
      <c r="B214" s="28" t="s">
        <v>224</v>
      </c>
      <c r="C214">
        <v>27</v>
      </c>
      <c r="G214">
        <v>15</v>
      </c>
      <c r="H214">
        <v>12</v>
      </c>
      <c r="J214">
        <v>33624</v>
      </c>
      <c r="N214">
        <v>803</v>
      </c>
    </row>
    <row r="215" spans="1:14" x14ac:dyDescent="0.25">
      <c r="A215">
        <v>213</v>
      </c>
      <c r="B215" s="28" t="s">
        <v>225</v>
      </c>
      <c r="C215">
        <v>25</v>
      </c>
      <c r="G215">
        <v>25</v>
      </c>
      <c r="H215">
        <v>0</v>
      </c>
      <c r="J215">
        <v>4334</v>
      </c>
      <c r="L215">
        <v>5318</v>
      </c>
      <c r="M215">
        <v>921824</v>
      </c>
      <c r="N215">
        <v>5769</v>
      </c>
    </row>
    <row r="216" spans="1:14" x14ac:dyDescent="0.25">
      <c r="A216">
        <v>214</v>
      </c>
      <c r="B216" s="28" t="s">
        <v>226</v>
      </c>
      <c r="C216">
        <v>20</v>
      </c>
      <c r="E216">
        <v>1</v>
      </c>
      <c r="G216">
        <v>19</v>
      </c>
      <c r="H216">
        <v>0</v>
      </c>
      <c r="J216">
        <v>4004</v>
      </c>
      <c r="K216">
        <v>200</v>
      </c>
      <c r="L216">
        <v>1408</v>
      </c>
      <c r="M216">
        <v>281882</v>
      </c>
      <c r="N216">
        <v>4995</v>
      </c>
    </row>
    <row r="217" spans="1:14" x14ac:dyDescent="0.25">
      <c r="A217">
        <v>215</v>
      </c>
      <c r="B217" s="28" t="s">
        <v>227</v>
      </c>
      <c r="C217">
        <v>20</v>
      </c>
      <c r="G217">
        <v>20</v>
      </c>
      <c r="H217">
        <v>0</v>
      </c>
      <c r="J217">
        <v>29</v>
      </c>
      <c r="L217">
        <v>4500</v>
      </c>
      <c r="M217">
        <v>6415</v>
      </c>
      <c r="N217">
        <v>701488</v>
      </c>
    </row>
    <row r="218" spans="1:14" x14ac:dyDescent="0.25">
      <c r="A218">
        <v>216</v>
      </c>
      <c r="B218" s="28" t="s">
        <v>228</v>
      </c>
      <c r="C218">
        <v>10</v>
      </c>
      <c r="E218">
        <v>1</v>
      </c>
      <c r="G218">
        <v>8</v>
      </c>
      <c r="H218">
        <v>1</v>
      </c>
      <c r="J218">
        <v>16</v>
      </c>
      <c r="K218">
        <v>2</v>
      </c>
      <c r="N218">
        <v>610072</v>
      </c>
    </row>
    <row r="219" spans="1:14" x14ac:dyDescent="0.25">
      <c r="A219">
        <v>217</v>
      </c>
      <c r="B219" s="28" t="s">
        <v>229</v>
      </c>
      <c r="C219">
        <v>9</v>
      </c>
      <c r="E219">
        <v>2</v>
      </c>
      <c r="G219">
        <v>7</v>
      </c>
      <c r="H219">
        <v>0</v>
      </c>
    </row>
    <row r="220" spans="1:14" x14ac:dyDescent="0.25">
      <c r="A220">
        <v>218</v>
      </c>
      <c r="B220" s="28" t="s">
        <v>230</v>
      </c>
      <c r="C220">
        <v>4</v>
      </c>
      <c r="E220">
        <v>1</v>
      </c>
      <c r="G220">
        <v>3</v>
      </c>
      <c r="H220">
        <v>0</v>
      </c>
      <c r="J220">
        <v>13</v>
      </c>
      <c r="K220">
        <v>3</v>
      </c>
      <c r="L220">
        <v>23000</v>
      </c>
      <c r="M220">
        <v>73396</v>
      </c>
      <c r="N220">
        <v>313370</v>
      </c>
    </row>
    <row r="221" spans="1:14" x14ac:dyDescent="0.25">
      <c r="A221">
        <v>219</v>
      </c>
      <c r="B221" s="28" t="s">
        <v>231</v>
      </c>
      <c r="C221">
        <v>4</v>
      </c>
      <c r="G221">
        <v>4</v>
      </c>
      <c r="H221">
        <v>0</v>
      </c>
      <c r="J221">
        <v>67</v>
      </c>
      <c r="N221">
        <v>59538</v>
      </c>
    </row>
    <row r="222" spans="1:14" x14ac:dyDescent="0.25">
      <c r="A222">
        <v>220</v>
      </c>
      <c r="B222" s="28" t="s">
        <v>232</v>
      </c>
      <c r="C222">
        <v>3</v>
      </c>
      <c r="G222">
        <v>2</v>
      </c>
      <c r="H222">
        <v>1</v>
      </c>
      <c r="J222">
        <v>15</v>
      </c>
      <c r="N222">
        <v>199564</v>
      </c>
    </row>
    <row r="223" spans="1:14" x14ac:dyDescent="0.25">
      <c r="A223">
        <v>221</v>
      </c>
      <c r="B223" s="28" t="s">
        <v>233</v>
      </c>
      <c r="C223">
        <v>2</v>
      </c>
      <c r="G223">
        <v>2</v>
      </c>
      <c r="H223">
        <v>0</v>
      </c>
      <c r="J223">
        <v>328</v>
      </c>
      <c r="N223">
        <v>6093</v>
      </c>
    </row>
    <row r="224" spans="1:14" x14ac:dyDescent="0.25">
      <c r="A224">
        <v>222</v>
      </c>
      <c r="B224" s="28" t="s">
        <v>234</v>
      </c>
      <c r="C224">
        <v>1</v>
      </c>
      <c r="G224">
        <v>1</v>
      </c>
      <c r="H224">
        <v>0</v>
      </c>
      <c r="J224">
        <v>9</v>
      </c>
      <c r="N224">
        <v>116073</v>
      </c>
    </row>
    <row r="226" spans="2:11" x14ac:dyDescent="0.25">
      <c r="B226" s="28" t="s">
        <v>243</v>
      </c>
      <c r="C226">
        <v>164249194</v>
      </c>
      <c r="D226">
        <v>519206</v>
      </c>
      <c r="E226">
        <v>3403545</v>
      </c>
      <c r="F226">
        <v>10149</v>
      </c>
      <c r="G226">
        <v>144161593</v>
      </c>
      <c r="H226">
        <v>16684056</v>
      </c>
      <c r="I226">
        <v>101801</v>
      </c>
      <c r="J226">
        <v>21072</v>
      </c>
      <c r="K226">
        <v>436.6</v>
      </c>
    </row>
    <row r="227" spans="2:11" x14ac:dyDescent="0.25">
      <c r="B227" s="28" t="s">
        <v>245</v>
      </c>
      <c r="C227">
        <v>47188008</v>
      </c>
      <c r="D227">
        <v>351130</v>
      </c>
      <c r="E227">
        <v>614049</v>
      </c>
      <c r="F227">
        <v>5808</v>
      </c>
      <c r="G227">
        <v>41721391</v>
      </c>
      <c r="H227">
        <v>4852568</v>
      </c>
      <c r="I227">
        <v>32632</v>
      </c>
    </row>
    <row r="228" spans="2:11" x14ac:dyDescent="0.25">
      <c r="B228" s="28" t="s">
        <v>244</v>
      </c>
      <c r="C228">
        <v>46140473</v>
      </c>
      <c r="D228">
        <v>46333</v>
      </c>
      <c r="E228">
        <v>1050896</v>
      </c>
      <c r="F228">
        <v>1397</v>
      </c>
      <c r="G228">
        <v>42010718</v>
      </c>
      <c r="H228">
        <v>3078859</v>
      </c>
      <c r="I228">
        <v>21985</v>
      </c>
    </row>
    <row r="229" spans="2:11" x14ac:dyDescent="0.25">
      <c r="B229" s="28" t="s">
        <v>246</v>
      </c>
      <c r="C229">
        <v>39246070</v>
      </c>
      <c r="D229">
        <v>32631</v>
      </c>
      <c r="E229">
        <v>879248</v>
      </c>
      <c r="F229">
        <v>501</v>
      </c>
      <c r="G229">
        <v>31764046</v>
      </c>
      <c r="H229">
        <v>6602776</v>
      </c>
      <c r="I229">
        <v>15727</v>
      </c>
    </row>
    <row r="230" spans="2:11" x14ac:dyDescent="0.25">
      <c r="B230" s="28" t="s">
        <v>247</v>
      </c>
      <c r="C230">
        <v>26873549</v>
      </c>
      <c r="D230">
        <v>85029</v>
      </c>
      <c r="E230">
        <v>731345</v>
      </c>
      <c r="F230">
        <v>2328</v>
      </c>
      <c r="G230">
        <v>24334534</v>
      </c>
      <c r="H230">
        <v>1807670</v>
      </c>
      <c r="I230">
        <v>28504</v>
      </c>
    </row>
    <row r="231" spans="2:11" x14ac:dyDescent="0.25">
      <c r="B231" s="28" t="s">
        <v>248</v>
      </c>
      <c r="C231">
        <v>4734447</v>
      </c>
      <c r="D231">
        <v>4073</v>
      </c>
      <c r="E231">
        <v>126767</v>
      </c>
      <c r="F231">
        <v>115</v>
      </c>
      <c r="G231">
        <v>4268364</v>
      </c>
      <c r="H231">
        <v>339316</v>
      </c>
      <c r="I231">
        <v>2950</v>
      </c>
    </row>
    <row r="232" spans="2:11" x14ac:dyDescent="0.25">
      <c r="B232" s="28" t="s">
        <v>249</v>
      </c>
      <c r="C232">
        <v>65926</v>
      </c>
      <c r="D232">
        <v>10</v>
      </c>
      <c r="E232">
        <v>1225</v>
      </c>
      <c r="G232">
        <v>61834</v>
      </c>
      <c r="H232">
        <v>2867</v>
      </c>
      <c r="I232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724FF-0C28-4620-AAE4-23175F6F7AC7}">
  <sheetPr codeName="Sheet4"/>
  <dimension ref="A1:N24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28515625" bestFit="1" customWidth="1"/>
    <col min="2" max="2" width="20.5703125" bestFit="1" customWidth="1"/>
    <col min="3" max="3" width="12.5703125" bestFit="1" customWidth="1"/>
    <col min="4" max="4" width="12.140625" bestFit="1" customWidth="1"/>
    <col min="5" max="5" width="13.7109375" bestFit="1" customWidth="1"/>
    <col min="6" max="6" width="13.28515625" bestFit="1" customWidth="1"/>
    <col min="7" max="7" width="16.85546875" bestFit="1" customWidth="1"/>
    <col min="8" max="8" width="13.5703125" bestFit="1" customWidth="1"/>
    <col min="9" max="9" width="16.140625" bestFit="1" customWidth="1"/>
    <col min="10" max="10" width="19.140625" bestFit="1" customWidth="1"/>
    <col min="11" max="11" width="17" bestFit="1" customWidth="1"/>
    <col min="12" max="12" width="12.140625" bestFit="1" customWidth="1"/>
    <col min="13" max="13" width="16.42578125" bestFit="1" customWidth="1"/>
    <col min="14" max="14" width="12.42578125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t="s">
        <v>14</v>
      </c>
      <c r="C2">
        <v>33663279</v>
      </c>
      <c r="D2">
        <v>36999</v>
      </c>
      <c r="E2">
        <v>599299</v>
      </c>
      <c r="F2">
        <v>718</v>
      </c>
      <c r="G2">
        <v>26710184</v>
      </c>
      <c r="H2">
        <v>6353796</v>
      </c>
      <c r="I2">
        <v>8379</v>
      </c>
      <c r="J2">
        <v>101186</v>
      </c>
      <c r="K2">
        <v>1801</v>
      </c>
      <c r="L2">
        <v>464001904</v>
      </c>
      <c r="M2">
        <v>1394716</v>
      </c>
      <c r="N2">
        <v>332685557</v>
      </c>
    </row>
    <row r="3" spans="1:14" x14ac:dyDescent="0.25">
      <c r="A3">
        <v>2</v>
      </c>
      <c r="B3" t="s">
        <v>15</v>
      </c>
      <c r="C3">
        <v>24372243</v>
      </c>
      <c r="D3">
        <v>326123</v>
      </c>
      <c r="E3">
        <v>266229</v>
      </c>
      <c r="F3">
        <v>3879</v>
      </c>
      <c r="G3">
        <v>20426323</v>
      </c>
      <c r="H3">
        <v>3679691</v>
      </c>
      <c r="I3">
        <v>8944</v>
      </c>
      <c r="J3">
        <v>17512</v>
      </c>
      <c r="K3">
        <v>191</v>
      </c>
      <c r="L3">
        <v>311324100</v>
      </c>
      <c r="M3">
        <v>223692</v>
      </c>
      <c r="N3">
        <v>1391753322</v>
      </c>
    </row>
    <row r="4" spans="1:14" x14ac:dyDescent="0.25">
      <c r="A4">
        <v>3</v>
      </c>
      <c r="B4" t="s">
        <v>16</v>
      </c>
      <c r="C4">
        <v>15521313</v>
      </c>
      <c r="D4">
        <v>84486</v>
      </c>
      <c r="E4">
        <v>432785</v>
      </c>
      <c r="F4">
        <v>2189</v>
      </c>
      <c r="G4">
        <v>14028355</v>
      </c>
      <c r="H4">
        <v>1060173</v>
      </c>
      <c r="I4">
        <v>8318</v>
      </c>
      <c r="J4">
        <v>72574</v>
      </c>
      <c r="K4">
        <v>2024</v>
      </c>
      <c r="L4">
        <v>46970130</v>
      </c>
      <c r="M4">
        <v>219621</v>
      </c>
      <c r="N4">
        <v>213868974</v>
      </c>
    </row>
    <row r="5" spans="1:14" x14ac:dyDescent="0.25">
      <c r="A5">
        <v>4</v>
      </c>
      <c r="B5" t="s">
        <v>17</v>
      </c>
      <c r="C5">
        <v>5848154</v>
      </c>
      <c r="D5">
        <v>7025</v>
      </c>
      <c r="E5">
        <v>107423</v>
      </c>
      <c r="F5">
        <v>173</v>
      </c>
      <c r="G5">
        <v>5042584</v>
      </c>
      <c r="H5">
        <v>698147</v>
      </c>
      <c r="I5">
        <v>4352</v>
      </c>
      <c r="J5">
        <v>89423</v>
      </c>
      <c r="K5">
        <v>1643</v>
      </c>
      <c r="L5">
        <v>80698552</v>
      </c>
      <c r="M5">
        <v>1233944</v>
      </c>
      <c r="N5">
        <v>65398877</v>
      </c>
    </row>
    <row r="6" spans="1:14" x14ac:dyDescent="0.25">
      <c r="A6">
        <v>5</v>
      </c>
      <c r="B6" t="s">
        <v>18</v>
      </c>
      <c r="C6">
        <v>5095390</v>
      </c>
      <c r="D6">
        <v>11394</v>
      </c>
      <c r="E6">
        <v>44301</v>
      </c>
      <c r="F6">
        <v>242</v>
      </c>
      <c r="G6">
        <v>4894024</v>
      </c>
      <c r="H6">
        <v>157065</v>
      </c>
      <c r="I6">
        <v>2670</v>
      </c>
      <c r="J6">
        <v>59858</v>
      </c>
      <c r="K6">
        <v>520</v>
      </c>
      <c r="L6">
        <v>50463016</v>
      </c>
      <c r="M6">
        <v>592813</v>
      </c>
      <c r="N6">
        <v>85124706</v>
      </c>
    </row>
    <row r="7" spans="1:14" x14ac:dyDescent="0.25">
      <c r="A7">
        <v>6</v>
      </c>
      <c r="B7" t="s">
        <v>19</v>
      </c>
      <c r="C7">
        <v>4922901</v>
      </c>
      <c r="D7">
        <v>9462</v>
      </c>
      <c r="E7">
        <v>115116</v>
      </c>
      <c r="F7">
        <v>393</v>
      </c>
      <c r="G7">
        <v>4537634</v>
      </c>
      <c r="H7">
        <v>270151</v>
      </c>
      <c r="I7">
        <v>2300</v>
      </c>
      <c r="J7">
        <v>33721</v>
      </c>
      <c r="K7">
        <v>789</v>
      </c>
      <c r="L7">
        <v>132700000</v>
      </c>
      <c r="M7">
        <v>908974</v>
      </c>
      <c r="N7">
        <v>145988804</v>
      </c>
    </row>
    <row r="8" spans="1:14" x14ac:dyDescent="0.25">
      <c r="A8">
        <v>7</v>
      </c>
      <c r="B8" t="s">
        <v>20</v>
      </c>
      <c r="C8">
        <v>4446824</v>
      </c>
      <c r="D8">
        <v>2193</v>
      </c>
      <c r="E8">
        <v>127668</v>
      </c>
      <c r="F8">
        <v>17</v>
      </c>
      <c r="G8">
        <v>4273441</v>
      </c>
      <c r="H8">
        <v>45715</v>
      </c>
      <c r="I8">
        <v>129</v>
      </c>
      <c r="J8">
        <v>65207</v>
      </c>
      <c r="K8">
        <v>1872</v>
      </c>
      <c r="L8">
        <v>169007195</v>
      </c>
      <c r="M8">
        <v>2478284</v>
      </c>
      <c r="N8">
        <v>68195259</v>
      </c>
    </row>
    <row r="9" spans="1:14" x14ac:dyDescent="0.25">
      <c r="A9">
        <v>8</v>
      </c>
      <c r="B9" t="s">
        <v>21</v>
      </c>
      <c r="C9">
        <v>4146722</v>
      </c>
      <c r="D9">
        <v>7567</v>
      </c>
      <c r="E9">
        <v>123927</v>
      </c>
      <c r="F9">
        <v>182</v>
      </c>
      <c r="G9">
        <v>3683189</v>
      </c>
      <c r="H9">
        <v>339606</v>
      </c>
      <c r="I9">
        <v>1860</v>
      </c>
      <c r="J9">
        <v>68672</v>
      </c>
      <c r="K9">
        <v>2052</v>
      </c>
      <c r="L9">
        <v>62405408</v>
      </c>
      <c r="M9">
        <v>1033466</v>
      </c>
      <c r="N9">
        <v>60384578</v>
      </c>
    </row>
    <row r="10" spans="1:14" x14ac:dyDescent="0.25">
      <c r="A10">
        <v>9</v>
      </c>
      <c r="B10" t="s">
        <v>22</v>
      </c>
      <c r="C10">
        <v>3604799</v>
      </c>
      <c r="D10">
        <v>6347</v>
      </c>
      <c r="E10">
        <v>79339</v>
      </c>
      <c r="F10">
        <v>58</v>
      </c>
      <c r="G10">
        <v>3297340</v>
      </c>
      <c r="H10">
        <v>228120</v>
      </c>
      <c r="I10">
        <v>1899</v>
      </c>
      <c r="J10">
        <v>77074</v>
      </c>
      <c r="K10">
        <v>1696</v>
      </c>
      <c r="L10">
        <v>47213067</v>
      </c>
      <c r="M10">
        <v>1009462</v>
      </c>
      <c r="N10">
        <v>46770505</v>
      </c>
    </row>
    <row r="11" spans="1:14" x14ac:dyDescent="0.25">
      <c r="A11">
        <v>10</v>
      </c>
      <c r="B11" t="s">
        <v>23</v>
      </c>
      <c r="C11">
        <v>3585891</v>
      </c>
      <c r="D11">
        <v>10247</v>
      </c>
      <c r="E11">
        <v>86481</v>
      </c>
      <c r="F11">
        <v>205</v>
      </c>
      <c r="G11">
        <v>3259000</v>
      </c>
      <c r="H11">
        <v>240410</v>
      </c>
      <c r="I11">
        <v>4376</v>
      </c>
      <c r="J11">
        <v>42681</v>
      </c>
      <c r="K11">
        <v>1029</v>
      </c>
      <c r="L11">
        <v>58093759</v>
      </c>
      <c r="M11">
        <v>691457</v>
      </c>
      <c r="N11">
        <v>84016407</v>
      </c>
    </row>
    <row r="12" spans="1:14" x14ac:dyDescent="0.25">
      <c r="A12">
        <v>11</v>
      </c>
      <c r="B12" t="s">
        <v>24</v>
      </c>
      <c r="C12">
        <v>3269466</v>
      </c>
      <c r="D12">
        <v>27363</v>
      </c>
      <c r="E12">
        <v>69853</v>
      </c>
      <c r="F12">
        <v>599</v>
      </c>
      <c r="G12">
        <v>2913144</v>
      </c>
      <c r="H12">
        <v>286469</v>
      </c>
      <c r="I12">
        <v>5457</v>
      </c>
      <c r="J12">
        <v>71770</v>
      </c>
      <c r="K12">
        <v>1533</v>
      </c>
      <c r="L12">
        <v>12224943</v>
      </c>
      <c r="M12">
        <v>268356</v>
      </c>
      <c r="N12">
        <v>45554984</v>
      </c>
    </row>
    <row r="13" spans="1:14" x14ac:dyDescent="0.25">
      <c r="A13">
        <v>12</v>
      </c>
      <c r="B13" t="s">
        <v>25</v>
      </c>
      <c r="C13">
        <v>3084460</v>
      </c>
      <c r="D13">
        <v>16581</v>
      </c>
      <c r="E13">
        <v>80250</v>
      </c>
      <c r="F13">
        <v>490</v>
      </c>
      <c r="G13">
        <v>2888990</v>
      </c>
      <c r="H13">
        <v>115220</v>
      </c>
      <c r="I13">
        <v>6582</v>
      </c>
      <c r="J13">
        <v>60065</v>
      </c>
      <c r="K13">
        <v>1563</v>
      </c>
      <c r="L13">
        <v>15783446</v>
      </c>
      <c r="M13">
        <v>307356</v>
      </c>
      <c r="N13">
        <v>51352407</v>
      </c>
    </row>
    <row r="14" spans="1:14" x14ac:dyDescent="0.25">
      <c r="A14">
        <v>13</v>
      </c>
      <c r="B14" t="s">
        <v>26</v>
      </c>
      <c r="C14">
        <v>2849014</v>
      </c>
      <c r="D14">
        <v>3288</v>
      </c>
      <c r="E14">
        <v>71311</v>
      </c>
      <c r="F14">
        <v>289</v>
      </c>
      <c r="G14">
        <v>2589277</v>
      </c>
      <c r="H14">
        <v>188426</v>
      </c>
      <c r="I14">
        <v>1690</v>
      </c>
      <c r="J14">
        <v>75350</v>
      </c>
      <c r="K14">
        <v>1886</v>
      </c>
      <c r="L14">
        <v>15078062</v>
      </c>
      <c r="M14">
        <v>398779</v>
      </c>
      <c r="N14">
        <v>37810599</v>
      </c>
    </row>
    <row r="15" spans="1:14" x14ac:dyDescent="0.25">
      <c r="A15">
        <v>14</v>
      </c>
      <c r="B15" t="s">
        <v>27</v>
      </c>
      <c r="C15">
        <v>2732152</v>
      </c>
      <c r="D15">
        <v>10145</v>
      </c>
      <c r="E15">
        <v>76433</v>
      </c>
      <c r="F15">
        <v>202</v>
      </c>
      <c r="G15">
        <v>2196197</v>
      </c>
      <c r="H15">
        <v>459522</v>
      </c>
      <c r="I15">
        <v>5468</v>
      </c>
      <c r="J15">
        <v>32172</v>
      </c>
      <c r="K15">
        <v>900</v>
      </c>
      <c r="L15">
        <v>17750149</v>
      </c>
      <c r="M15">
        <v>209015</v>
      </c>
      <c r="N15">
        <v>84922994</v>
      </c>
    </row>
    <row r="16" spans="1:14" x14ac:dyDescent="0.25">
      <c r="A16">
        <v>15</v>
      </c>
      <c r="B16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18255</v>
      </c>
      <c r="K16">
        <v>1690</v>
      </c>
      <c r="L16">
        <v>6811363</v>
      </c>
      <c r="M16">
        <v>52353</v>
      </c>
      <c r="N16">
        <v>130105532</v>
      </c>
    </row>
    <row r="17" spans="1:14" x14ac:dyDescent="0.25">
      <c r="A17">
        <v>16</v>
      </c>
      <c r="B17" t="s">
        <v>29</v>
      </c>
      <c r="C17">
        <v>2143448</v>
      </c>
      <c r="D17">
        <v>7562</v>
      </c>
      <c r="E17">
        <v>47620</v>
      </c>
      <c r="F17">
        <v>287</v>
      </c>
      <c r="G17">
        <v>1832601</v>
      </c>
      <c r="H17">
        <v>263227</v>
      </c>
      <c r="I17">
        <v>177</v>
      </c>
      <c r="J17">
        <v>49269</v>
      </c>
      <c r="K17">
        <v>1095</v>
      </c>
      <c r="L17">
        <v>9790291</v>
      </c>
      <c r="M17">
        <v>225037</v>
      </c>
      <c r="N17">
        <v>43505197</v>
      </c>
    </row>
    <row r="18" spans="1:14" x14ac:dyDescent="0.25">
      <c r="A18">
        <v>17</v>
      </c>
      <c r="B18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56139</v>
      </c>
      <c r="K18">
        <v>1957</v>
      </c>
      <c r="L18">
        <v>11901521</v>
      </c>
      <c r="M18">
        <v>356664</v>
      </c>
      <c r="N18">
        <v>33369044</v>
      </c>
    </row>
    <row r="19" spans="1:14" x14ac:dyDescent="0.25">
      <c r="A19">
        <v>18</v>
      </c>
      <c r="B19" t="s">
        <v>31</v>
      </c>
      <c r="C19">
        <v>1734285</v>
      </c>
      <c r="D19">
        <v>2633</v>
      </c>
      <c r="E19">
        <v>47823</v>
      </c>
      <c r="F19">
        <v>107</v>
      </c>
      <c r="G19">
        <v>1592886</v>
      </c>
      <c r="H19">
        <v>93576</v>
      </c>
      <c r="J19">
        <v>6283</v>
      </c>
      <c r="K19">
        <v>173</v>
      </c>
      <c r="L19">
        <v>15410887</v>
      </c>
      <c r="M19">
        <v>55831</v>
      </c>
      <c r="N19">
        <v>276027635</v>
      </c>
    </row>
    <row r="20" spans="1:14" x14ac:dyDescent="0.25">
      <c r="A20">
        <v>19</v>
      </c>
      <c r="B20" t="s">
        <v>32</v>
      </c>
      <c r="C20">
        <v>1651178</v>
      </c>
      <c r="D20">
        <v>1218</v>
      </c>
      <c r="E20">
        <v>29857</v>
      </c>
      <c r="F20">
        <v>11</v>
      </c>
      <c r="G20">
        <v>1588346</v>
      </c>
      <c r="H20">
        <v>32975</v>
      </c>
      <c r="I20">
        <v>319</v>
      </c>
      <c r="J20">
        <v>153938</v>
      </c>
      <c r="K20">
        <v>2784</v>
      </c>
      <c r="L20">
        <v>21004062</v>
      </c>
      <c r="M20">
        <v>1958197</v>
      </c>
      <c r="N20">
        <v>10726227</v>
      </c>
    </row>
    <row r="21" spans="1:14" x14ac:dyDescent="0.25">
      <c r="A21">
        <v>20</v>
      </c>
      <c r="B21" t="s">
        <v>33</v>
      </c>
      <c r="C21">
        <v>1608393</v>
      </c>
      <c r="D21">
        <v>3141</v>
      </c>
      <c r="E21">
        <v>55124</v>
      </c>
      <c r="F21">
        <v>112</v>
      </c>
      <c r="G21">
        <v>1522165</v>
      </c>
      <c r="H21">
        <v>31104</v>
      </c>
      <c r="I21">
        <v>546</v>
      </c>
      <c r="J21">
        <v>26826</v>
      </c>
      <c r="K21">
        <v>919</v>
      </c>
      <c r="L21">
        <v>11052993</v>
      </c>
      <c r="M21">
        <v>184353</v>
      </c>
      <c r="N21">
        <v>59955627</v>
      </c>
    </row>
    <row r="22" spans="1:14" x14ac:dyDescent="0.25">
      <c r="A22">
        <v>21</v>
      </c>
      <c r="B22" t="s">
        <v>34</v>
      </c>
      <c r="C22">
        <v>1589282</v>
      </c>
      <c r="D22">
        <v>5515</v>
      </c>
      <c r="E22">
        <v>17423</v>
      </c>
      <c r="F22">
        <v>10</v>
      </c>
      <c r="G22">
        <v>1351998</v>
      </c>
      <c r="H22">
        <v>219861</v>
      </c>
      <c r="I22">
        <v>722</v>
      </c>
      <c r="J22">
        <v>92574</v>
      </c>
      <c r="K22">
        <v>1015</v>
      </c>
      <c r="L22">
        <v>13171698</v>
      </c>
      <c r="M22">
        <v>767234</v>
      </c>
      <c r="N22">
        <v>17167780</v>
      </c>
    </row>
    <row r="23" spans="1:14" x14ac:dyDescent="0.25">
      <c r="A23">
        <v>22</v>
      </c>
      <c r="B23" t="s">
        <v>35</v>
      </c>
      <c r="C23">
        <v>1318405</v>
      </c>
      <c r="D23">
        <v>5991</v>
      </c>
      <c r="E23">
        <v>24869</v>
      </c>
      <c r="F23">
        <v>44</v>
      </c>
      <c r="G23">
        <v>1220110</v>
      </c>
      <c r="H23">
        <v>73426</v>
      </c>
      <c r="I23">
        <v>1327</v>
      </c>
      <c r="J23">
        <v>34669</v>
      </c>
      <c r="K23">
        <v>654</v>
      </c>
      <c r="L23">
        <v>33260624</v>
      </c>
      <c r="M23">
        <v>874616</v>
      </c>
      <c r="N23">
        <v>38028810</v>
      </c>
    </row>
    <row r="24" spans="1:14" x14ac:dyDescent="0.25">
      <c r="A24">
        <v>23</v>
      </c>
      <c r="B24" t="s">
        <v>36</v>
      </c>
      <c r="C24">
        <v>1273516</v>
      </c>
      <c r="D24">
        <v>6915</v>
      </c>
      <c r="E24">
        <v>27647</v>
      </c>
      <c r="F24">
        <v>127</v>
      </c>
      <c r="G24">
        <v>1208396</v>
      </c>
      <c r="H24">
        <v>37473</v>
      </c>
      <c r="I24">
        <v>2976</v>
      </c>
      <c r="J24">
        <v>66128</v>
      </c>
      <c r="K24">
        <v>1436</v>
      </c>
      <c r="L24">
        <v>13816198</v>
      </c>
      <c r="M24">
        <v>717413</v>
      </c>
      <c r="N24">
        <v>19258354</v>
      </c>
    </row>
    <row r="25" spans="1:14" x14ac:dyDescent="0.25">
      <c r="A25">
        <v>24</v>
      </c>
      <c r="B25" t="s">
        <v>37</v>
      </c>
      <c r="C25">
        <v>1134859</v>
      </c>
      <c r="D25">
        <v>2767</v>
      </c>
      <c r="E25">
        <v>15910</v>
      </c>
      <c r="F25">
        <v>27</v>
      </c>
      <c r="G25">
        <v>1034396</v>
      </c>
      <c r="H25">
        <v>84553</v>
      </c>
      <c r="I25">
        <v>457</v>
      </c>
      <c r="J25">
        <v>27679</v>
      </c>
      <c r="K25">
        <v>388</v>
      </c>
      <c r="L25">
        <v>9840649</v>
      </c>
      <c r="M25">
        <v>240012</v>
      </c>
      <c r="N25">
        <v>41000676</v>
      </c>
    </row>
    <row r="26" spans="1:14" x14ac:dyDescent="0.25">
      <c r="A26">
        <v>25</v>
      </c>
      <c r="B26" t="s">
        <v>38</v>
      </c>
      <c r="C26">
        <v>1131467</v>
      </c>
      <c r="D26">
        <v>6784</v>
      </c>
      <c r="E26">
        <v>18958</v>
      </c>
      <c r="F26">
        <v>137</v>
      </c>
      <c r="G26">
        <v>1053523</v>
      </c>
      <c r="H26">
        <v>58986</v>
      </c>
      <c r="I26">
        <v>1819</v>
      </c>
      <c r="J26">
        <v>10208</v>
      </c>
      <c r="K26">
        <v>171</v>
      </c>
      <c r="L26">
        <v>12529921</v>
      </c>
      <c r="M26">
        <v>113042</v>
      </c>
      <c r="N26">
        <v>110842608</v>
      </c>
    </row>
    <row r="27" spans="1:14" x14ac:dyDescent="0.25">
      <c r="A27">
        <v>26</v>
      </c>
      <c r="B27" t="s">
        <v>39</v>
      </c>
      <c r="C27">
        <v>1070605</v>
      </c>
      <c r="D27">
        <v>835</v>
      </c>
      <c r="E27">
        <v>29413</v>
      </c>
      <c r="F27">
        <v>105</v>
      </c>
      <c r="G27">
        <v>1022029</v>
      </c>
      <c r="H27">
        <v>19163</v>
      </c>
      <c r="I27">
        <v>809</v>
      </c>
      <c r="J27">
        <v>55976</v>
      </c>
      <c r="K27">
        <v>1538</v>
      </c>
      <c r="L27">
        <v>8626765</v>
      </c>
      <c r="M27">
        <v>451048</v>
      </c>
      <c r="N27">
        <v>19126034</v>
      </c>
    </row>
    <row r="28" spans="1:14" x14ac:dyDescent="0.25">
      <c r="A28">
        <v>27</v>
      </c>
      <c r="B28" t="s">
        <v>40</v>
      </c>
      <c r="C28">
        <v>1037126</v>
      </c>
      <c r="E28">
        <v>14275</v>
      </c>
      <c r="F28">
        <v>36</v>
      </c>
      <c r="G28">
        <v>878189</v>
      </c>
      <c r="H28">
        <v>144662</v>
      </c>
      <c r="I28">
        <v>341</v>
      </c>
      <c r="J28">
        <v>102141</v>
      </c>
      <c r="K28">
        <v>1406</v>
      </c>
      <c r="L28">
        <v>8798383</v>
      </c>
      <c r="M28">
        <v>866506</v>
      </c>
      <c r="N28">
        <v>10153859</v>
      </c>
    </row>
    <row r="29" spans="1:14" x14ac:dyDescent="0.25">
      <c r="A29">
        <v>28</v>
      </c>
      <c r="B29" t="s">
        <v>41</v>
      </c>
      <c r="C29">
        <v>1026473</v>
      </c>
      <c r="D29">
        <v>2890</v>
      </c>
      <c r="E29">
        <v>24645</v>
      </c>
      <c r="F29">
        <v>15</v>
      </c>
      <c r="G29">
        <v>905973</v>
      </c>
      <c r="H29">
        <v>95855</v>
      </c>
      <c r="I29">
        <v>657</v>
      </c>
      <c r="J29">
        <v>88235</v>
      </c>
      <c r="K29">
        <v>2118</v>
      </c>
      <c r="L29">
        <v>13182705</v>
      </c>
      <c r="M29">
        <v>1133180</v>
      </c>
      <c r="N29">
        <v>11633375</v>
      </c>
    </row>
    <row r="30" spans="1:14" x14ac:dyDescent="0.25">
      <c r="A30">
        <v>29</v>
      </c>
      <c r="B30" t="s">
        <v>42</v>
      </c>
      <c r="C30">
        <v>873220</v>
      </c>
      <c r="D30">
        <v>2517</v>
      </c>
      <c r="E30">
        <v>19384</v>
      </c>
      <c r="F30">
        <v>48</v>
      </c>
      <c r="G30">
        <v>780438</v>
      </c>
      <c r="H30">
        <v>73398</v>
      </c>
      <c r="I30">
        <v>4330</v>
      </c>
      <c r="J30">
        <v>3888</v>
      </c>
      <c r="K30">
        <v>86</v>
      </c>
      <c r="L30">
        <v>12380676</v>
      </c>
      <c r="M30">
        <v>55125</v>
      </c>
      <c r="N30">
        <v>224594312</v>
      </c>
    </row>
    <row r="31" spans="1:14" x14ac:dyDescent="0.25">
      <c r="A31">
        <v>30</v>
      </c>
      <c r="B31" t="s">
        <v>43</v>
      </c>
      <c r="C31">
        <v>841379</v>
      </c>
      <c r="D31">
        <v>450</v>
      </c>
      <c r="E31">
        <v>16999</v>
      </c>
      <c r="G31">
        <v>802285</v>
      </c>
      <c r="H31">
        <v>22095</v>
      </c>
      <c r="I31">
        <v>72</v>
      </c>
      <c r="J31">
        <v>82724</v>
      </c>
      <c r="K31">
        <v>1671</v>
      </c>
      <c r="L31">
        <v>11091313</v>
      </c>
      <c r="M31">
        <v>1090498</v>
      </c>
      <c r="N31">
        <v>10170866</v>
      </c>
    </row>
    <row r="32" spans="1:14" x14ac:dyDescent="0.25">
      <c r="A32">
        <v>31</v>
      </c>
      <c r="B32" t="s">
        <v>44</v>
      </c>
      <c r="C32">
        <v>839079</v>
      </c>
      <c r="D32">
        <v>20</v>
      </c>
      <c r="E32">
        <v>6380</v>
      </c>
      <c r="F32">
        <v>1</v>
      </c>
      <c r="G32">
        <v>831950</v>
      </c>
      <c r="H32">
        <v>749</v>
      </c>
      <c r="I32">
        <v>73</v>
      </c>
      <c r="J32">
        <v>91228</v>
      </c>
      <c r="K32">
        <v>694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t="s">
        <v>45</v>
      </c>
      <c r="C33">
        <v>796390</v>
      </c>
      <c r="D33">
        <v>1190</v>
      </c>
      <c r="E33">
        <v>29041</v>
      </c>
      <c r="F33">
        <v>71</v>
      </c>
      <c r="G33">
        <v>608891</v>
      </c>
      <c r="H33">
        <v>158458</v>
      </c>
      <c r="I33">
        <v>338</v>
      </c>
      <c r="J33">
        <v>82621</v>
      </c>
      <c r="K33">
        <v>3013</v>
      </c>
      <c r="L33">
        <v>5607336</v>
      </c>
      <c r="M33">
        <v>581732</v>
      </c>
      <c r="N33">
        <v>9639032</v>
      </c>
    </row>
    <row r="34" spans="1:14" x14ac:dyDescent="0.25">
      <c r="A34">
        <v>33</v>
      </c>
      <c r="B34" t="s">
        <v>46</v>
      </c>
      <c r="C34">
        <v>779535</v>
      </c>
      <c r="D34">
        <v>848</v>
      </c>
      <c r="E34">
        <v>12102</v>
      </c>
      <c r="F34">
        <v>26</v>
      </c>
      <c r="G34">
        <v>720471</v>
      </c>
      <c r="H34">
        <v>46962</v>
      </c>
      <c r="I34">
        <v>1149</v>
      </c>
      <c r="J34">
        <v>4693</v>
      </c>
      <c r="K34">
        <v>73</v>
      </c>
      <c r="L34">
        <v>5698528</v>
      </c>
      <c r="M34">
        <v>34306</v>
      </c>
      <c r="N34">
        <v>166110142</v>
      </c>
    </row>
    <row r="35" spans="1:14" x14ac:dyDescent="0.25">
      <c r="A35">
        <v>34</v>
      </c>
      <c r="B35" t="s">
        <v>47</v>
      </c>
      <c r="C35">
        <v>723069</v>
      </c>
      <c r="D35">
        <v>315</v>
      </c>
      <c r="E35">
        <v>9224</v>
      </c>
      <c r="F35">
        <v>21</v>
      </c>
      <c r="G35">
        <v>710445</v>
      </c>
      <c r="H35">
        <v>3400</v>
      </c>
      <c r="I35">
        <v>729</v>
      </c>
      <c r="J35">
        <v>70263</v>
      </c>
      <c r="K35">
        <v>896</v>
      </c>
      <c r="L35">
        <v>6912958</v>
      </c>
      <c r="M35">
        <v>671758</v>
      </c>
      <c r="N35">
        <v>10290844</v>
      </c>
    </row>
    <row r="36" spans="1:14" x14ac:dyDescent="0.25">
      <c r="A36">
        <v>35</v>
      </c>
      <c r="B36" t="s">
        <v>48</v>
      </c>
      <c r="C36">
        <v>705185</v>
      </c>
      <c r="D36">
        <v>787</v>
      </c>
      <c r="E36">
        <v>6646</v>
      </c>
      <c r="F36">
        <v>17</v>
      </c>
      <c r="G36">
        <v>673038</v>
      </c>
      <c r="H36">
        <v>25501</v>
      </c>
      <c r="I36">
        <v>101</v>
      </c>
      <c r="J36">
        <v>80993</v>
      </c>
      <c r="K36">
        <v>763</v>
      </c>
      <c r="L36">
        <v>3989567</v>
      </c>
      <c r="M36">
        <v>458214</v>
      </c>
      <c r="N36">
        <v>8706771</v>
      </c>
    </row>
    <row r="37" spans="1:14" x14ac:dyDescent="0.25">
      <c r="A37">
        <v>36</v>
      </c>
      <c r="B37" t="s">
        <v>49</v>
      </c>
      <c r="C37">
        <v>679510</v>
      </c>
      <c r="D37">
        <v>2300</v>
      </c>
      <c r="E37">
        <v>10730</v>
      </c>
      <c r="F37">
        <v>2</v>
      </c>
      <c r="G37">
        <v>617283</v>
      </c>
      <c r="H37">
        <v>51497</v>
      </c>
      <c r="I37">
        <v>179</v>
      </c>
      <c r="J37">
        <v>78020</v>
      </c>
      <c r="K37">
        <v>1232</v>
      </c>
      <c r="L37">
        <v>7273942</v>
      </c>
      <c r="M37">
        <v>835176</v>
      </c>
      <c r="N37">
        <v>8709474</v>
      </c>
    </row>
    <row r="38" spans="1:14" x14ac:dyDescent="0.25">
      <c r="A38">
        <v>37</v>
      </c>
      <c r="B38" t="s">
        <v>50</v>
      </c>
      <c r="C38">
        <v>665547</v>
      </c>
      <c r="D38">
        <v>6874</v>
      </c>
      <c r="E38">
        <v>11255</v>
      </c>
      <c r="F38">
        <v>90</v>
      </c>
      <c r="G38">
        <v>579446</v>
      </c>
      <c r="H38">
        <v>74846</v>
      </c>
      <c r="I38">
        <v>1209</v>
      </c>
      <c r="J38">
        <v>5276</v>
      </c>
      <c r="K38">
        <v>89</v>
      </c>
      <c r="L38">
        <v>12913954</v>
      </c>
      <c r="M38">
        <v>102378</v>
      </c>
      <c r="N38">
        <v>126139908</v>
      </c>
    </row>
    <row r="39" spans="1:14" x14ac:dyDescent="0.25">
      <c r="A39">
        <v>38</v>
      </c>
      <c r="B39" t="s">
        <v>51</v>
      </c>
      <c r="C39">
        <v>635780</v>
      </c>
      <c r="D39">
        <v>887</v>
      </c>
      <c r="E39">
        <v>10455</v>
      </c>
      <c r="F39">
        <v>11</v>
      </c>
      <c r="G39">
        <v>612523</v>
      </c>
      <c r="H39">
        <v>12802</v>
      </c>
      <c r="I39">
        <v>322</v>
      </c>
      <c r="J39">
        <v>70245</v>
      </c>
      <c r="K39">
        <v>1155</v>
      </c>
      <c r="L39">
        <v>35939913</v>
      </c>
      <c r="M39">
        <v>3970842</v>
      </c>
      <c r="N39">
        <v>9050956</v>
      </c>
    </row>
    <row r="40" spans="1:14" x14ac:dyDescent="0.25">
      <c r="A40">
        <v>39</v>
      </c>
      <c r="B40" t="s">
        <v>52</v>
      </c>
      <c r="C40">
        <v>543610</v>
      </c>
      <c r="D40">
        <v>1452</v>
      </c>
      <c r="E40">
        <v>1626</v>
      </c>
      <c r="F40">
        <v>3</v>
      </c>
      <c r="G40">
        <v>523778</v>
      </c>
      <c r="H40">
        <v>18206</v>
      </c>
      <c r="J40">
        <v>54395</v>
      </c>
      <c r="K40">
        <v>163</v>
      </c>
      <c r="L40">
        <v>46799807</v>
      </c>
      <c r="M40">
        <v>4682882</v>
      </c>
      <c r="N40">
        <v>9993805</v>
      </c>
    </row>
    <row r="41" spans="1:14" x14ac:dyDescent="0.25">
      <c r="A41">
        <v>40</v>
      </c>
      <c r="B4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78685</v>
      </c>
      <c r="K41">
        <v>1113</v>
      </c>
      <c r="L41">
        <v>4163257</v>
      </c>
      <c r="M41">
        <v>612346</v>
      </c>
      <c r="N41">
        <v>6798866</v>
      </c>
    </row>
    <row r="42" spans="1:14" x14ac:dyDescent="0.25">
      <c r="A42">
        <v>41</v>
      </c>
      <c r="B42" t="s">
        <v>54</v>
      </c>
      <c r="C42">
        <v>514705</v>
      </c>
      <c r="D42">
        <v>35</v>
      </c>
      <c r="E42">
        <v>9092</v>
      </c>
      <c r="F42">
        <v>1</v>
      </c>
      <c r="G42">
        <v>502604</v>
      </c>
      <c r="H42">
        <v>3009</v>
      </c>
      <c r="I42">
        <v>94</v>
      </c>
      <c r="J42">
        <v>13803</v>
      </c>
      <c r="K42">
        <v>244</v>
      </c>
      <c r="L42">
        <v>6370615</v>
      </c>
      <c r="M42">
        <v>170844</v>
      </c>
      <c r="N42">
        <v>37289158</v>
      </c>
    </row>
    <row r="43" spans="1:14" x14ac:dyDescent="0.25">
      <c r="A43">
        <v>42</v>
      </c>
      <c r="B43" t="s">
        <v>55</v>
      </c>
      <c r="C43">
        <v>462190</v>
      </c>
      <c r="D43">
        <v>4113</v>
      </c>
      <c r="E43">
        <v>1822</v>
      </c>
      <c r="F43">
        <v>34</v>
      </c>
      <c r="G43">
        <v>418897</v>
      </c>
      <c r="H43">
        <v>41471</v>
      </c>
      <c r="I43">
        <v>482</v>
      </c>
      <c r="J43">
        <v>14124</v>
      </c>
      <c r="K43">
        <v>56</v>
      </c>
      <c r="L43">
        <v>10397529</v>
      </c>
      <c r="M43">
        <v>317727</v>
      </c>
      <c r="N43">
        <v>32724742</v>
      </c>
    </row>
    <row r="44" spans="1:14" x14ac:dyDescent="0.25">
      <c r="A44">
        <v>43</v>
      </c>
      <c r="B44" t="s">
        <v>56</v>
      </c>
      <c r="C44">
        <v>439658</v>
      </c>
      <c r="D44">
        <v>8467</v>
      </c>
      <c r="E44">
        <v>4669</v>
      </c>
      <c r="F44">
        <v>203</v>
      </c>
      <c r="G44">
        <v>327653</v>
      </c>
      <c r="H44">
        <v>107336</v>
      </c>
      <c r="J44">
        <v>14859</v>
      </c>
      <c r="K44">
        <v>158</v>
      </c>
      <c r="L44">
        <v>2733510</v>
      </c>
      <c r="M44">
        <v>92382</v>
      </c>
      <c r="N44">
        <v>29589353</v>
      </c>
    </row>
    <row r="45" spans="1:14" x14ac:dyDescent="0.25">
      <c r="A45">
        <v>44</v>
      </c>
      <c r="B45" t="s">
        <v>57</v>
      </c>
      <c r="C45">
        <v>431432</v>
      </c>
      <c r="D45">
        <v>927</v>
      </c>
      <c r="E45">
        <v>7134</v>
      </c>
      <c r="F45">
        <v>12</v>
      </c>
      <c r="G45">
        <v>415747</v>
      </c>
      <c r="H45">
        <v>8551</v>
      </c>
      <c r="I45">
        <v>1323</v>
      </c>
      <c r="J45">
        <v>12228</v>
      </c>
      <c r="K45">
        <v>202</v>
      </c>
      <c r="L45">
        <v>17868871</v>
      </c>
      <c r="M45">
        <v>506452</v>
      </c>
      <c r="N45">
        <v>35282461</v>
      </c>
    </row>
    <row r="46" spans="1:14" x14ac:dyDescent="0.25">
      <c r="A46">
        <v>45</v>
      </c>
      <c r="B46" t="s">
        <v>58</v>
      </c>
      <c r="C46">
        <v>413838</v>
      </c>
      <c r="D46">
        <v>518</v>
      </c>
      <c r="E46">
        <v>17243</v>
      </c>
      <c r="F46">
        <v>49</v>
      </c>
      <c r="G46">
        <v>361993</v>
      </c>
      <c r="H46">
        <v>34602</v>
      </c>
      <c r="I46">
        <v>504</v>
      </c>
      <c r="J46">
        <v>59951</v>
      </c>
      <c r="K46">
        <v>2498</v>
      </c>
      <c r="L46">
        <v>2656622</v>
      </c>
      <c r="M46">
        <v>384855</v>
      </c>
      <c r="N46">
        <v>6902925</v>
      </c>
    </row>
    <row r="47" spans="1:14" x14ac:dyDescent="0.25">
      <c r="A47">
        <v>46</v>
      </c>
      <c r="B47" t="s">
        <v>59</v>
      </c>
      <c r="C47">
        <v>407002</v>
      </c>
      <c r="D47">
        <v>1219</v>
      </c>
      <c r="E47">
        <v>19514</v>
      </c>
      <c r="F47">
        <v>72</v>
      </c>
      <c r="G47">
        <v>342878</v>
      </c>
      <c r="H47">
        <v>44610</v>
      </c>
      <c r="I47">
        <v>572</v>
      </c>
      <c r="J47">
        <v>22770</v>
      </c>
      <c r="K47">
        <v>1092</v>
      </c>
      <c r="L47">
        <v>1359491</v>
      </c>
      <c r="M47">
        <v>76057</v>
      </c>
      <c r="N47">
        <v>17874632</v>
      </c>
    </row>
    <row r="48" spans="1:14" x14ac:dyDescent="0.25">
      <c r="A48">
        <v>47</v>
      </c>
      <c r="B48" t="s">
        <v>60</v>
      </c>
      <c r="C48">
        <v>387162</v>
      </c>
      <c r="D48">
        <v>294</v>
      </c>
      <c r="E48">
        <v>12168</v>
      </c>
      <c r="F48">
        <v>33</v>
      </c>
      <c r="G48">
        <v>370076</v>
      </c>
      <c r="H48">
        <v>4918</v>
      </c>
      <c r="I48">
        <v>214</v>
      </c>
      <c r="J48">
        <v>70884</v>
      </c>
      <c r="K48">
        <v>2228</v>
      </c>
      <c r="L48">
        <v>2752948</v>
      </c>
      <c r="M48">
        <v>504024</v>
      </c>
      <c r="N48">
        <v>5461938</v>
      </c>
    </row>
    <row r="49" spans="1:14" x14ac:dyDescent="0.25">
      <c r="A49">
        <v>48</v>
      </c>
      <c r="B49" t="s">
        <v>62</v>
      </c>
      <c r="C49">
        <v>373881</v>
      </c>
      <c r="D49">
        <v>2169</v>
      </c>
      <c r="E49">
        <v>11322</v>
      </c>
      <c r="F49">
        <v>56</v>
      </c>
      <c r="G49">
        <v>335156</v>
      </c>
      <c r="H49">
        <v>27403</v>
      </c>
      <c r="I49">
        <v>677</v>
      </c>
      <c r="J49">
        <v>36024</v>
      </c>
      <c r="K49">
        <v>1091</v>
      </c>
      <c r="L49">
        <v>8772810</v>
      </c>
      <c r="M49">
        <v>845264</v>
      </c>
      <c r="N49">
        <v>10378778</v>
      </c>
    </row>
    <row r="50" spans="1:14" x14ac:dyDescent="0.25">
      <c r="A50">
        <v>49</v>
      </c>
      <c r="B50" t="s">
        <v>61</v>
      </c>
      <c r="C50">
        <v>373351</v>
      </c>
      <c r="D50">
        <v>1109</v>
      </c>
      <c r="E50">
        <v>2681</v>
      </c>
      <c r="F50">
        <v>10</v>
      </c>
      <c r="G50">
        <v>363873</v>
      </c>
      <c r="H50">
        <v>6797</v>
      </c>
      <c r="J50">
        <v>39522</v>
      </c>
      <c r="K50">
        <v>284</v>
      </c>
      <c r="L50">
        <v>6050830</v>
      </c>
      <c r="M50">
        <v>640528</v>
      </c>
      <c r="N50">
        <v>9446623</v>
      </c>
    </row>
    <row r="51" spans="1:14" x14ac:dyDescent="0.25">
      <c r="A51">
        <v>50</v>
      </c>
      <c r="B51" t="s">
        <v>63</v>
      </c>
      <c r="C51">
        <v>370043</v>
      </c>
      <c r="D51">
        <v>588</v>
      </c>
      <c r="E51">
        <v>6292</v>
      </c>
      <c r="F51">
        <v>4</v>
      </c>
      <c r="G51">
        <v>358670</v>
      </c>
      <c r="H51">
        <v>5081</v>
      </c>
      <c r="I51">
        <v>105</v>
      </c>
      <c r="J51">
        <v>84611</v>
      </c>
      <c r="K51">
        <v>1439</v>
      </c>
      <c r="L51">
        <v>2507280</v>
      </c>
      <c r="M51">
        <v>573293</v>
      </c>
      <c r="N51">
        <v>4373467</v>
      </c>
    </row>
    <row r="52" spans="1:14" x14ac:dyDescent="0.25">
      <c r="A52">
        <v>51</v>
      </c>
      <c r="B52" t="s">
        <v>64</v>
      </c>
      <c r="C52">
        <v>353140</v>
      </c>
      <c r="D52">
        <v>2549</v>
      </c>
      <c r="E52">
        <v>4017</v>
      </c>
      <c r="F52">
        <v>33</v>
      </c>
      <c r="G52">
        <v>310168</v>
      </c>
      <c r="H52">
        <v>38955</v>
      </c>
      <c r="I52">
        <v>221</v>
      </c>
      <c r="J52">
        <v>18615</v>
      </c>
      <c r="K52">
        <v>212</v>
      </c>
      <c r="L52">
        <v>10691113</v>
      </c>
      <c r="M52">
        <v>563549</v>
      </c>
      <c r="N52">
        <v>18971060</v>
      </c>
    </row>
    <row r="53" spans="1:14" x14ac:dyDescent="0.25">
      <c r="A53">
        <v>52</v>
      </c>
      <c r="B53" t="s">
        <v>65</v>
      </c>
      <c r="C53">
        <v>349084</v>
      </c>
      <c r="D53">
        <v>926</v>
      </c>
      <c r="E53">
        <v>7664</v>
      </c>
      <c r="F53">
        <v>41</v>
      </c>
      <c r="G53">
        <v>334206</v>
      </c>
      <c r="H53">
        <v>7214</v>
      </c>
      <c r="I53">
        <v>207</v>
      </c>
      <c r="J53">
        <v>85492</v>
      </c>
      <c r="K53">
        <v>1877</v>
      </c>
      <c r="L53">
        <v>1912994</v>
      </c>
      <c r="M53">
        <v>468499</v>
      </c>
      <c r="N53">
        <v>4083243</v>
      </c>
    </row>
    <row r="54" spans="1:14" x14ac:dyDescent="0.25">
      <c r="A54">
        <v>53</v>
      </c>
      <c r="B54" t="s">
        <v>66</v>
      </c>
      <c r="C54">
        <v>328994</v>
      </c>
      <c r="D54">
        <v>326</v>
      </c>
      <c r="E54">
        <v>4754</v>
      </c>
      <c r="F54">
        <v>12</v>
      </c>
      <c r="G54">
        <v>312460</v>
      </c>
      <c r="H54">
        <v>11780</v>
      </c>
      <c r="J54">
        <v>32196</v>
      </c>
      <c r="K54">
        <v>465</v>
      </c>
      <c r="L54">
        <v>3368394</v>
      </c>
      <c r="M54">
        <v>329642</v>
      </c>
      <c r="N54">
        <v>10218336</v>
      </c>
    </row>
    <row r="55" spans="1:14" x14ac:dyDescent="0.25">
      <c r="A55">
        <v>54</v>
      </c>
      <c r="B55" t="s">
        <v>67</v>
      </c>
      <c r="C55">
        <v>327831</v>
      </c>
      <c r="D55">
        <v>1390</v>
      </c>
      <c r="E55">
        <v>4397</v>
      </c>
      <c r="F55">
        <v>18</v>
      </c>
      <c r="G55">
        <v>307334</v>
      </c>
      <c r="H55">
        <v>16100</v>
      </c>
      <c r="J55">
        <v>82318</v>
      </c>
      <c r="K55">
        <v>1104</v>
      </c>
      <c r="L55">
        <v>4511631</v>
      </c>
      <c r="M55">
        <v>1132860</v>
      </c>
      <c r="N55">
        <v>3982513</v>
      </c>
    </row>
    <row r="56" spans="1:14" x14ac:dyDescent="0.25">
      <c r="A56">
        <v>55</v>
      </c>
      <c r="B56" t="s">
        <v>68</v>
      </c>
      <c r="C56">
        <v>327224</v>
      </c>
      <c r="D56">
        <v>2356</v>
      </c>
      <c r="E56">
        <v>13409</v>
      </c>
      <c r="F56">
        <v>64</v>
      </c>
      <c r="G56">
        <v>267973</v>
      </c>
      <c r="H56">
        <v>45842</v>
      </c>
      <c r="I56">
        <v>158</v>
      </c>
      <c r="J56">
        <v>27706</v>
      </c>
      <c r="K56">
        <v>1135</v>
      </c>
      <c r="L56">
        <v>1287762</v>
      </c>
      <c r="M56">
        <v>109033</v>
      </c>
      <c r="N56">
        <v>11810731</v>
      </c>
    </row>
    <row r="57" spans="1:14" x14ac:dyDescent="0.25">
      <c r="A57">
        <v>56</v>
      </c>
      <c r="B57" t="s">
        <v>69</v>
      </c>
      <c r="C57">
        <v>325280</v>
      </c>
      <c r="D57">
        <v>457</v>
      </c>
      <c r="E57">
        <v>11727</v>
      </c>
      <c r="F57">
        <v>34</v>
      </c>
      <c r="G57">
        <v>286230</v>
      </c>
      <c r="H57">
        <v>27323</v>
      </c>
      <c r="I57">
        <v>445</v>
      </c>
      <c r="J57">
        <v>27276</v>
      </c>
      <c r="K57">
        <v>983</v>
      </c>
      <c r="L57">
        <v>1380132</v>
      </c>
      <c r="M57">
        <v>115728</v>
      </c>
      <c r="N57">
        <v>11925686</v>
      </c>
    </row>
    <row r="58" spans="1:14" x14ac:dyDescent="0.25">
      <c r="A58">
        <v>57</v>
      </c>
      <c r="B58" t="s">
        <v>70</v>
      </c>
      <c r="C58">
        <v>309638</v>
      </c>
      <c r="D58">
        <v>2181</v>
      </c>
      <c r="E58">
        <v>7482</v>
      </c>
      <c r="F58">
        <v>55</v>
      </c>
      <c r="G58">
        <v>256345</v>
      </c>
      <c r="H58">
        <v>45811</v>
      </c>
      <c r="I58">
        <v>590</v>
      </c>
      <c r="J58">
        <v>42955</v>
      </c>
      <c r="K58">
        <v>1038</v>
      </c>
      <c r="L58">
        <v>1182111</v>
      </c>
      <c r="M58">
        <v>163992</v>
      </c>
      <c r="N58">
        <v>7208345</v>
      </c>
    </row>
    <row r="59" spans="1:14" x14ac:dyDescent="0.25">
      <c r="A59">
        <v>58</v>
      </c>
      <c r="B59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58281</v>
      </c>
      <c r="K59">
        <v>654</v>
      </c>
      <c r="L59">
        <v>1784690</v>
      </c>
      <c r="M59">
        <v>342970</v>
      </c>
      <c r="N59">
        <v>5203627</v>
      </c>
    </row>
    <row r="60" spans="1:14" x14ac:dyDescent="0.25">
      <c r="A60">
        <v>59</v>
      </c>
      <c r="B60" t="s">
        <v>72</v>
      </c>
      <c r="C60">
        <v>290006</v>
      </c>
      <c r="D60">
        <v>763</v>
      </c>
      <c r="E60">
        <v>1681</v>
      </c>
      <c r="F60">
        <v>7</v>
      </c>
      <c r="G60">
        <v>275745</v>
      </c>
      <c r="H60">
        <v>12580</v>
      </c>
      <c r="I60">
        <v>190</v>
      </c>
      <c r="J60">
        <v>67051</v>
      </c>
      <c r="K60">
        <v>389</v>
      </c>
      <c r="L60">
        <v>2446116</v>
      </c>
      <c r="M60">
        <v>565554</v>
      </c>
      <c r="N60">
        <v>4325171</v>
      </c>
    </row>
    <row r="61" spans="1:14" x14ac:dyDescent="0.25">
      <c r="A61">
        <v>60</v>
      </c>
      <c r="B61" t="s">
        <v>73</v>
      </c>
      <c r="C61">
        <v>282741</v>
      </c>
      <c r="D61">
        <v>2815</v>
      </c>
      <c r="E61">
        <v>3547</v>
      </c>
      <c r="F61">
        <v>33</v>
      </c>
      <c r="G61">
        <v>221903</v>
      </c>
      <c r="H61">
        <v>57291</v>
      </c>
      <c r="I61">
        <v>489</v>
      </c>
      <c r="J61">
        <v>55068</v>
      </c>
      <c r="K61">
        <v>691</v>
      </c>
      <c r="L61">
        <v>1083035</v>
      </c>
      <c r="M61">
        <v>210937</v>
      </c>
      <c r="N61">
        <v>5134409</v>
      </c>
    </row>
    <row r="62" spans="1:14" x14ac:dyDescent="0.25">
      <c r="A62">
        <v>61</v>
      </c>
      <c r="B62" t="s">
        <v>74</v>
      </c>
      <c r="C62">
        <v>275378</v>
      </c>
      <c r="D62">
        <v>1059</v>
      </c>
      <c r="E62">
        <v>3565</v>
      </c>
      <c r="F62">
        <v>5</v>
      </c>
      <c r="G62">
        <v>232925</v>
      </c>
      <c r="H62">
        <v>38888</v>
      </c>
      <c r="I62">
        <v>275</v>
      </c>
      <c r="J62">
        <v>25167</v>
      </c>
      <c r="K62">
        <v>326</v>
      </c>
      <c r="L62">
        <v>1468228</v>
      </c>
      <c r="M62">
        <v>134181</v>
      </c>
      <c r="N62">
        <v>10942105</v>
      </c>
    </row>
    <row r="63" spans="1:14" x14ac:dyDescent="0.25">
      <c r="A63">
        <v>62</v>
      </c>
      <c r="B63" t="s">
        <v>75</v>
      </c>
      <c r="C63">
        <v>265413</v>
      </c>
      <c r="D63">
        <v>453</v>
      </c>
      <c r="E63">
        <v>3964</v>
      </c>
      <c r="F63">
        <v>13</v>
      </c>
      <c r="G63">
        <v>217370</v>
      </c>
      <c r="H63">
        <v>44079</v>
      </c>
      <c r="I63">
        <v>620</v>
      </c>
      <c r="J63">
        <v>2260</v>
      </c>
      <c r="K63">
        <v>34</v>
      </c>
      <c r="L63">
        <v>2644565</v>
      </c>
      <c r="M63">
        <v>22523</v>
      </c>
      <c r="N63">
        <v>117416656</v>
      </c>
    </row>
    <row r="64" spans="1:14" x14ac:dyDescent="0.25">
      <c r="A64">
        <v>63</v>
      </c>
      <c r="B64" t="s">
        <v>76</v>
      </c>
      <c r="C64">
        <v>264465</v>
      </c>
      <c r="D64">
        <v>951</v>
      </c>
      <c r="E64">
        <v>2499</v>
      </c>
      <c r="G64">
        <v>249487</v>
      </c>
      <c r="H64">
        <v>12479</v>
      </c>
      <c r="I64">
        <v>33</v>
      </c>
      <c r="J64">
        <v>45520</v>
      </c>
      <c r="K64">
        <v>430</v>
      </c>
      <c r="L64">
        <v>45701715</v>
      </c>
      <c r="M64">
        <v>7866179</v>
      </c>
      <c r="N64">
        <v>5809900</v>
      </c>
    </row>
    <row r="65" spans="1:14" x14ac:dyDescent="0.25">
      <c r="A65">
        <v>64</v>
      </c>
      <c r="B65" t="s">
        <v>77</v>
      </c>
      <c r="C65">
        <v>263475</v>
      </c>
      <c r="D65">
        <v>1125</v>
      </c>
      <c r="E65">
        <v>4084</v>
      </c>
      <c r="F65">
        <v>12</v>
      </c>
      <c r="G65">
        <v>237431</v>
      </c>
      <c r="H65">
        <v>21960</v>
      </c>
      <c r="I65">
        <v>158</v>
      </c>
      <c r="J65">
        <v>97976</v>
      </c>
      <c r="K65">
        <v>1519</v>
      </c>
      <c r="L65">
        <v>3074012</v>
      </c>
      <c r="M65">
        <v>1143104</v>
      </c>
      <c r="N65">
        <v>2689180</v>
      </c>
    </row>
    <row r="66" spans="1:14" x14ac:dyDescent="0.25">
      <c r="A66">
        <v>65</v>
      </c>
      <c r="B66" t="s">
        <v>78</v>
      </c>
      <c r="C66">
        <v>254870</v>
      </c>
      <c r="D66">
        <v>420</v>
      </c>
      <c r="E66">
        <v>4941</v>
      </c>
      <c r="F66">
        <v>4</v>
      </c>
      <c r="G66">
        <v>237168</v>
      </c>
      <c r="H66">
        <v>12761</v>
      </c>
      <c r="I66">
        <v>39</v>
      </c>
      <c r="J66">
        <v>51122</v>
      </c>
      <c r="K66">
        <v>991</v>
      </c>
      <c r="L66">
        <v>4729538</v>
      </c>
      <c r="M66">
        <v>948653</v>
      </c>
      <c r="N66">
        <v>4985528</v>
      </c>
    </row>
    <row r="67" spans="1:14" x14ac:dyDescent="0.25">
      <c r="A67">
        <v>66</v>
      </c>
      <c r="B67" t="s">
        <v>79</v>
      </c>
      <c r="C67">
        <v>253567</v>
      </c>
      <c r="D67">
        <v>181</v>
      </c>
      <c r="E67">
        <v>6006</v>
      </c>
      <c r="F67">
        <v>11</v>
      </c>
      <c r="G67">
        <v>244487</v>
      </c>
      <c r="H67">
        <v>3074</v>
      </c>
      <c r="I67">
        <v>160</v>
      </c>
      <c r="J67">
        <v>62985</v>
      </c>
      <c r="K67">
        <v>1492</v>
      </c>
      <c r="L67">
        <v>1040432</v>
      </c>
      <c r="M67">
        <v>258440</v>
      </c>
      <c r="N67">
        <v>4025815</v>
      </c>
    </row>
    <row r="68" spans="1:14" x14ac:dyDescent="0.25">
      <c r="A68">
        <v>67</v>
      </c>
      <c r="B68" t="s">
        <v>80</v>
      </c>
      <c r="C68">
        <v>248520</v>
      </c>
      <c r="D68">
        <v>471</v>
      </c>
      <c r="E68">
        <v>4314</v>
      </c>
      <c r="F68">
        <v>6</v>
      </c>
      <c r="G68">
        <v>236049</v>
      </c>
      <c r="H68">
        <v>8157</v>
      </c>
      <c r="I68">
        <v>125</v>
      </c>
      <c r="J68">
        <v>119528</v>
      </c>
      <c r="K68">
        <v>2075</v>
      </c>
      <c r="L68">
        <v>1224095</v>
      </c>
      <c r="M68">
        <v>588738</v>
      </c>
      <c r="N68">
        <v>2079186</v>
      </c>
    </row>
    <row r="69" spans="1:14" x14ac:dyDescent="0.25">
      <c r="A69">
        <v>68</v>
      </c>
      <c r="B69" t="s">
        <v>81</v>
      </c>
      <c r="C69">
        <v>243317</v>
      </c>
      <c r="D69">
        <v>1197</v>
      </c>
      <c r="E69">
        <v>14206</v>
      </c>
      <c r="F69">
        <v>56</v>
      </c>
      <c r="G69">
        <v>179817</v>
      </c>
      <c r="H69">
        <v>49294</v>
      </c>
      <c r="I69">
        <v>90</v>
      </c>
      <c r="J69">
        <v>2340</v>
      </c>
      <c r="K69">
        <v>137</v>
      </c>
      <c r="L69">
        <v>2715258</v>
      </c>
      <c r="M69">
        <v>26108</v>
      </c>
      <c r="N69">
        <v>104000632</v>
      </c>
    </row>
    <row r="70" spans="1:14" x14ac:dyDescent="0.25">
      <c r="A70">
        <v>69</v>
      </c>
      <c r="B70" t="s">
        <v>82</v>
      </c>
      <c r="C70">
        <v>240170</v>
      </c>
      <c r="D70">
        <v>1383</v>
      </c>
      <c r="E70">
        <v>7845</v>
      </c>
      <c r="F70">
        <v>13</v>
      </c>
      <c r="G70">
        <v>219456</v>
      </c>
      <c r="H70">
        <v>12869</v>
      </c>
      <c r="I70">
        <v>5</v>
      </c>
      <c r="J70">
        <v>13195</v>
      </c>
      <c r="K70">
        <v>431</v>
      </c>
      <c r="L70">
        <v>1336353</v>
      </c>
      <c r="M70">
        <v>73419</v>
      </c>
      <c r="N70">
        <v>18201700</v>
      </c>
    </row>
    <row r="71" spans="1:14" x14ac:dyDescent="0.25">
      <c r="A71">
        <v>70</v>
      </c>
      <c r="B71" t="s">
        <v>83</v>
      </c>
      <c r="C71">
        <v>235206</v>
      </c>
      <c r="D71">
        <v>3305</v>
      </c>
      <c r="E71">
        <v>3369</v>
      </c>
      <c r="F71">
        <v>51</v>
      </c>
      <c r="G71">
        <v>204051</v>
      </c>
      <c r="H71">
        <v>27786</v>
      </c>
      <c r="I71">
        <v>515</v>
      </c>
      <c r="J71">
        <v>67507</v>
      </c>
      <c r="K71">
        <v>967</v>
      </c>
      <c r="L71">
        <v>1980797</v>
      </c>
      <c r="M71">
        <v>568512</v>
      </c>
      <c r="N71">
        <v>3484175</v>
      </c>
    </row>
    <row r="72" spans="1:14" x14ac:dyDescent="0.25">
      <c r="A72">
        <v>71</v>
      </c>
      <c r="B72" t="s">
        <v>84</v>
      </c>
      <c r="C72">
        <v>223922</v>
      </c>
      <c r="D72">
        <v>930</v>
      </c>
      <c r="E72">
        <v>5898</v>
      </c>
      <c r="F72">
        <v>45</v>
      </c>
      <c r="G72">
        <v>82187</v>
      </c>
      <c r="H72">
        <v>135837</v>
      </c>
      <c r="I72">
        <v>510</v>
      </c>
      <c r="J72">
        <v>22301</v>
      </c>
      <c r="K72">
        <v>587</v>
      </c>
      <c r="L72">
        <v>668892</v>
      </c>
      <c r="M72">
        <v>66618</v>
      </c>
      <c r="N72">
        <v>10040740</v>
      </c>
    </row>
    <row r="73" spans="1:14" x14ac:dyDescent="0.25">
      <c r="A73">
        <v>72</v>
      </c>
      <c r="B73" t="s">
        <v>85</v>
      </c>
      <c r="C73">
        <v>220447</v>
      </c>
      <c r="D73">
        <v>230</v>
      </c>
      <c r="E73">
        <v>4301</v>
      </c>
      <c r="F73">
        <v>10</v>
      </c>
      <c r="G73">
        <v>207464</v>
      </c>
      <c r="H73">
        <v>8682</v>
      </c>
      <c r="J73">
        <v>74273</v>
      </c>
      <c r="K73">
        <v>1449</v>
      </c>
      <c r="L73">
        <v>1030335</v>
      </c>
      <c r="M73">
        <v>347142</v>
      </c>
      <c r="N73">
        <v>2968051</v>
      </c>
    </row>
    <row r="74" spans="1:14" x14ac:dyDescent="0.25">
      <c r="A74">
        <v>73</v>
      </c>
      <c r="B74" t="s">
        <v>86</v>
      </c>
      <c r="C74">
        <v>212667</v>
      </c>
      <c r="D74">
        <v>244</v>
      </c>
      <c r="E74">
        <v>524</v>
      </c>
      <c r="F74">
        <v>2</v>
      </c>
      <c r="G74">
        <v>205750</v>
      </c>
      <c r="H74">
        <v>6393</v>
      </c>
      <c r="I74">
        <v>215</v>
      </c>
      <c r="J74">
        <v>75741</v>
      </c>
      <c r="K74">
        <v>187</v>
      </c>
      <c r="L74">
        <v>1964598</v>
      </c>
      <c r="M74">
        <v>699692</v>
      </c>
      <c r="N74">
        <v>2807805</v>
      </c>
    </row>
    <row r="75" spans="1:14" x14ac:dyDescent="0.25">
      <c r="A75">
        <v>74</v>
      </c>
      <c r="B75" t="s">
        <v>87</v>
      </c>
      <c r="C75">
        <v>211838</v>
      </c>
      <c r="E75">
        <v>2352</v>
      </c>
      <c r="G75">
        <v>195380</v>
      </c>
      <c r="H75">
        <v>14106</v>
      </c>
      <c r="I75">
        <v>316</v>
      </c>
      <c r="J75">
        <v>7468</v>
      </c>
      <c r="K75">
        <v>83</v>
      </c>
      <c r="L75">
        <v>3359014</v>
      </c>
      <c r="M75">
        <v>118417</v>
      </c>
      <c r="N75">
        <v>28365910</v>
      </c>
    </row>
    <row r="76" spans="1:14" x14ac:dyDescent="0.25">
      <c r="A76">
        <v>75</v>
      </c>
      <c r="B76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38845</v>
      </c>
      <c r="K76">
        <v>412</v>
      </c>
      <c r="L76">
        <v>1550000</v>
      </c>
      <c r="M76">
        <v>297022</v>
      </c>
      <c r="N76">
        <v>5218477</v>
      </c>
    </row>
    <row r="77" spans="1:14" x14ac:dyDescent="0.25">
      <c r="A77">
        <v>76</v>
      </c>
      <c r="B77" t="s">
        <v>89</v>
      </c>
      <c r="C77">
        <v>202143</v>
      </c>
      <c r="D77">
        <v>140</v>
      </c>
      <c r="E77">
        <v>8981</v>
      </c>
      <c r="F77">
        <v>23</v>
      </c>
      <c r="G77">
        <v>168549</v>
      </c>
      <c r="H77">
        <v>24613</v>
      </c>
      <c r="J77">
        <v>61949</v>
      </c>
      <c r="K77">
        <v>2752</v>
      </c>
      <c r="L77">
        <v>937964</v>
      </c>
      <c r="M77">
        <v>287449</v>
      </c>
      <c r="N77">
        <v>3263066</v>
      </c>
    </row>
    <row r="78" spans="1:14" x14ac:dyDescent="0.25">
      <c r="A78">
        <v>77</v>
      </c>
      <c r="B78" t="s">
        <v>90</v>
      </c>
      <c r="C78">
        <v>197474</v>
      </c>
      <c r="D78">
        <v>1369</v>
      </c>
      <c r="E78">
        <v>732</v>
      </c>
      <c r="F78">
        <v>17</v>
      </c>
      <c r="G78">
        <v>181237</v>
      </c>
      <c r="H78">
        <v>15505</v>
      </c>
      <c r="I78">
        <v>163</v>
      </c>
      <c r="J78">
        <v>112692</v>
      </c>
      <c r="K78">
        <v>418</v>
      </c>
      <c r="L78">
        <v>4322199</v>
      </c>
      <c r="M78">
        <v>2466533</v>
      </c>
      <c r="N78">
        <v>1752338</v>
      </c>
    </row>
    <row r="79" spans="1:14" x14ac:dyDescent="0.25">
      <c r="A79">
        <v>78</v>
      </c>
      <c r="B79" t="s">
        <v>91</v>
      </c>
      <c r="C79">
        <v>181179</v>
      </c>
      <c r="E79">
        <v>3085</v>
      </c>
      <c r="G79">
        <v>167629</v>
      </c>
      <c r="H79">
        <v>10465</v>
      </c>
      <c r="J79">
        <v>26061</v>
      </c>
      <c r="K79">
        <v>444</v>
      </c>
      <c r="L79">
        <v>981532</v>
      </c>
      <c r="M79">
        <v>141185</v>
      </c>
      <c r="N79">
        <v>6952103</v>
      </c>
    </row>
    <row r="80" spans="1:14" x14ac:dyDescent="0.25">
      <c r="A80">
        <v>79</v>
      </c>
      <c r="B80" t="s">
        <v>92</v>
      </c>
      <c r="C80">
        <v>165661</v>
      </c>
      <c r="D80">
        <v>49</v>
      </c>
      <c r="E80">
        <v>2066</v>
      </c>
      <c r="G80">
        <v>156399</v>
      </c>
      <c r="H80">
        <v>7196</v>
      </c>
      <c r="I80">
        <v>11</v>
      </c>
      <c r="J80">
        <v>787</v>
      </c>
      <c r="K80">
        <v>10</v>
      </c>
      <c r="L80">
        <v>1977479</v>
      </c>
      <c r="M80">
        <v>9392</v>
      </c>
      <c r="N80">
        <v>210540789</v>
      </c>
    </row>
    <row r="81" spans="1:14" x14ac:dyDescent="0.25">
      <c r="A81">
        <v>80</v>
      </c>
      <c r="B81" t="s">
        <v>93</v>
      </c>
      <c r="C81">
        <v>165112</v>
      </c>
      <c r="D81">
        <v>392</v>
      </c>
      <c r="E81">
        <v>2976</v>
      </c>
      <c r="F81">
        <v>8</v>
      </c>
      <c r="G81">
        <v>113432</v>
      </c>
      <c r="H81">
        <v>48704</v>
      </c>
      <c r="I81">
        <v>118</v>
      </c>
      <c r="J81">
        <v>3013</v>
      </c>
      <c r="K81">
        <v>54</v>
      </c>
      <c r="L81">
        <v>1737168</v>
      </c>
      <c r="M81">
        <v>31704</v>
      </c>
      <c r="N81">
        <v>54792624</v>
      </c>
    </row>
    <row r="82" spans="1:14" x14ac:dyDescent="0.25">
      <c r="A82">
        <v>81</v>
      </c>
      <c r="B82" t="s">
        <v>94</v>
      </c>
      <c r="C82">
        <v>154524</v>
      </c>
      <c r="D82">
        <v>30</v>
      </c>
      <c r="E82">
        <v>5184</v>
      </c>
      <c r="F82">
        <v>16</v>
      </c>
      <c r="G82">
        <v>143427</v>
      </c>
      <c r="H82">
        <v>5913</v>
      </c>
      <c r="I82">
        <v>124</v>
      </c>
      <c r="J82">
        <v>74173</v>
      </c>
      <c r="K82">
        <v>2488</v>
      </c>
      <c r="L82">
        <v>749727</v>
      </c>
      <c r="M82">
        <v>359875</v>
      </c>
      <c r="N82">
        <v>2083300</v>
      </c>
    </row>
    <row r="83" spans="1:14" x14ac:dyDescent="0.25">
      <c r="A83">
        <v>82</v>
      </c>
      <c r="B83" t="s">
        <v>95</v>
      </c>
      <c r="C83">
        <v>143035</v>
      </c>
      <c r="D83">
        <v>31</v>
      </c>
      <c r="E83">
        <v>3212</v>
      </c>
      <c r="G83">
        <v>132072</v>
      </c>
      <c r="H83">
        <v>7751</v>
      </c>
      <c r="J83">
        <v>2614</v>
      </c>
      <c r="K83">
        <v>59</v>
      </c>
      <c r="L83">
        <v>2599597</v>
      </c>
      <c r="M83">
        <v>47502</v>
      </c>
      <c r="N83">
        <v>54725973</v>
      </c>
    </row>
    <row r="84" spans="1:14" x14ac:dyDescent="0.25">
      <c r="A84">
        <v>83</v>
      </c>
      <c r="B84" t="s">
        <v>96</v>
      </c>
      <c r="C84">
        <v>138085</v>
      </c>
      <c r="D84">
        <v>2289</v>
      </c>
      <c r="E84">
        <v>923</v>
      </c>
      <c r="F84">
        <v>31</v>
      </c>
      <c r="G84">
        <v>110108</v>
      </c>
      <c r="H84">
        <v>27054</v>
      </c>
      <c r="J84">
        <v>6425</v>
      </c>
      <c r="K84">
        <v>43</v>
      </c>
      <c r="L84">
        <v>3075321</v>
      </c>
      <c r="M84">
        <v>143097</v>
      </c>
      <c r="N84">
        <v>21491133</v>
      </c>
    </row>
    <row r="85" spans="1:14" x14ac:dyDescent="0.25">
      <c r="A85">
        <v>84</v>
      </c>
      <c r="B85" t="s">
        <v>97</v>
      </c>
      <c r="C85">
        <v>131939</v>
      </c>
      <c r="D85">
        <v>49</v>
      </c>
      <c r="E85">
        <v>2427</v>
      </c>
      <c r="F85">
        <v>1</v>
      </c>
      <c r="G85">
        <v>122105</v>
      </c>
      <c r="H85">
        <v>7407</v>
      </c>
      <c r="I85">
        <v>18</v>
      </c>
      <c r="J85">
        <v>45891</v>
      </c>
      <c r="K85">
        <v>844</v>
      </c>
      <c r="L85">
        <v>669140</v>
      </c>
      <c r="M85">
        <v>232739</v>
      </c>
      <c r="N85">
        <v>2875067</v>
      </c>
    </row>
    <row r="86" spans="1:14" x14ac:dyDescent="0.25">
      <c r="A86">
        <v>85</v>
      </c>
      <c r="B86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180895</v>
      </c>
      <c r="N86">
        <v>51307497</v>
      </c>
    </row>
    <row r="87" spans="1:14" x14ac:dyDescent="0.25">
      <c r="A87">
        <v>86</v>
      </c>
      <c r="B87" t="s">
        <v>98</v>
      </c>
      <c r="C87">
        <v>127053</v>
      </c>
      <c r="D87">
        <v>666</v>
      </c>
      <c r="E87">
        <v>2248</v>
      </c>
      <c r="F87">
        <v>8</v>
      </c>
      <c r="G87">
        <v>115670</v>
      </c>
      <c r="H87">
        <v>9135</v>
      </c>
      <c r="I87">
        <v>81</v>
      </c>
      <c r="J87">
        <v>68014</v>
      </c>
      <c r="K87">
        <v>1203</v>
      </c>
      <c r="L87">
        <v>2470356</v>
      </c>
      <c r="M87">
        <v>1322436</v>
      </c>
      <c r="N87">
        <v>1868034</v>
      </c>
    </row>
    <row r="88" spans="1:14" x14ac:dyDescent="0.25">
      <c r="A88">
        <v>87</v>
      </c>
      <c r="B88" t="s">
        <v>99</v>
      </c>
      <c r="C88">
        <v>126642</v>
      </c>
      <c r="D88">
        <v>279</v>
      </c>
      <c r="E88">
        <v>1217</v>
      </c>
      <c r="F88">
        <v>5</v>
      </c>
      <c r="G88">
        <v>118008</v>
      </c>
      <c r="H88">
        <v>7417</v>
      </c>
      <c r="I88">
        <v>36</v>
      </c>
      <c r="J88">
        <v>95413</v>
      </c>
      <c r="K88">
        <v>917</v>
      </c>
      <c r="L88">
        <v>1351340</v>
      </c>
      <c r="M88">
        <v>1018104</v>
      </c>
      <c r="N88">
        <v>1327310</v>
      </c>
    </row>
    <row r="89" spans="1:14" x14ac:dyDescent="0.25">
      <c r="A89">
        <v>88</v>
      </c>
      <c r="B89" t="s">
        <v>100</v>
      </c>
      <c r="C89">
        <v>125059</v>
      </c>
      <c r="D89">
        <v>170</v>
      </c>
      <c r="E89">
        <v>3360</v>
      </c>
      <c r="F89">
        <v>5</v>
      </c>
      <c r="G89">
        <v>87137</v>
      </c>
      <c r="H89">
        <v>34562</v>
      </c>
      <c r="I89">
        <v>28</v>
      </c>
      <c r="J89">
        <v>2808</v>
      </c>
      <c r="K89">
        <v>75</v>
      </c>
      <c r="L89">
        <v>230861</v>
      </c>
      <c r="M89">
        <v>5184</v>
      </c>
      <c r="N89">
        <v>44534813</v>
      </c>
    </row>
    <row r="90" spans="1:14" x14ac:dyDescent="0.25">
      <c r="A90">
        <v>89</v>
      </c>
      <c r="B90" t="s">
        <v>101</v>
      </c>
      <c r="C90">
        <v>121838</v>
      </c>
      <c r="D90">
        <v>1277</v>
      </c>
      <c r="E90">
        <v>785</v>
      </c>
      <c r="F90">
        <v>7</v>
      </c>
      <c r="G90">
        <v>114544</v>
      </c>
      <c r="H90">
        <v>6509</v>
      </c>
      <c r="I90">
        <v>138</v>
      </c>
      <c r="J90">
        <v>10762</v>
      </c>
      <c r="K90">
        <v>69</v>
      </c>
      <c r="L90">
        <v>3946550</v>
      </c>
      <c r="M90">
        <v>348616</v>
      </c>
      <c r="N90">
        <v>11320611</v>
      </c>
    </row>
    <row r="91" spans="1:14" x14ac:dyDescent="0.25">
      <c r="A91">
        <v>90</v>
      </c>
      <c r="B91" t="s">
        <v>102</v>
      </c>
      <c r="C91">
        <v>118740</v>
      </c>
      <c r="D91">
        <v>425</v>
      </c>
      <c r="E91">
        <v>774</v>
      </c>
      <c r="G91">
        <v>88952</v>
      </c>
      <c r="H91">
        <v>29014</v>
      </c>
      <c r="I91">
        <v>24</v>
      </c>
      <c r="J91">
        <v>21755</v>
      </c>
      <c r="K91">
        <v>142</v>
      </c>
      <c r="L91">
        <v>5423294</v>
      </c>
      <c r="M91">
        <v>993646</v>
      </c>
      <c r="N91">
        <v>5457973</v>
      </c>
    </row>
    <row r="92" spans="1:14" x14ac:dyDescent="0.25">
      <c r="A92">
        <v>91</v>
      </c>
      <c r="B92" t="s">
        <v>103</v>
      </c>
      <c r="C92">
        <v>99845</v>
      </c>
      <c r="D92">
        <v>200</v>
      </c>
      <c r="E92">
        <v>1687</v>
      </c>
      <c r="F92">
        <v>6</v>
      </c>
      <c r="G92">
        <v>92953</v>
      </c>
      <c r="H92">
        <v>5205</v>
      </c>
      <c r="I92">
        <v>85</v>
      </c>
      <c r="J92">
        <v>15089</v>
      </c>
      <c r="K92">
        <v>255</v>
      </c>
      <c r="L92">
        <v>1046855</v>
      </c>
      <c r="M92">
        <v>158202</v>
      </c>
      <c r="N92">
        <v>6617195</v>
      </c>
    </row>
    <row r="93" spans="1:14" x14ac:dyDescent="0.25">
      <c r="A93">
        <v>92</v>
      </c>
      <c r="B93" t="s">
        <v>104</v>
      </c>
      <c r="C93">
        <v>98703</v>
      </c>
      <c r="D93">
        <v>84</v>
      </c>
      <c r="E93">
        <v>1556</v>
      </c>
      <c r="F93">
        <v>5</v>
      </c>
      <c r="G93">
        <v>95676</v>
      </c>
      <c r="H93">
        <v>1471</v>
      </c>
      <c r="I93">
        <v>64</v>
      </c>
      <c r="J93">
        <v>157137</v>
      </c>
      <c r="K93">
        <v>2477</v>
      </c>
      <c r="L93">
        <v>392125</v>
      </c>
      <c r="M93">
        <v>624269</v>
      </c>
      <c r="N93">
        <v>628135</v>
      </c>
    </row>
    <row r="94" spans="1:14" x14ac:dyDescent="0.25">
      <c r="A94">
        <v>93</v>
      </c>
      <c r="B94" t="s">
        <v>105</v>
      </c>
      <c r="C94">
        <v>96117</v>
      </c>
      <c r="D94">
        <v>291</v>
      </c>
      <c r="E94">
        <v>667</v>
      </c>
      <c r="G94">
        <v>91507</v>
      </c>
      <c r="H94">
        <v>3943</v>
      </c>
      <c r="I94">
        <v>23</v>
      </c>
      <c r="J94">
        <v>2836</v>
      </c>
      <c r="K94">
        <v>20</v>
      </c>
      <c r="L94">
        <v>1377915</v>
      </c>
      <c r="M94">
        <v>40660</v>
      </c>
      <c r="N94">
        <v>33888586</v>
      </c>
    </row>
    <row r="95" spans="1:14" x14ac:dyDescent="0.25">
      <c r="A95">
        <v>94</v>
      </c>
      <c r="B95" t="s">
        <v>106</v>
      </c>
      <c r="C95">
        <v>96050</v>
      </c>
      <c r="D95">
        <v>2256</v>
      </c>
      <c r="E95">
        <v>548</v>
      </c>
      <c r="F95">
        <v>30</v>
      </c>
      <c r="G95">
        <v>62316</v>
      </c>
      <c r="H95">
        <v>33186</v>
      </c>
      <c r="I95">
        <v>1207</v>
      </c>
      <c r="J95">
        <v>1373</v>
      </c>
      <c r="K95">
        <v>8</v>
      </c>
      <c r="L95">
        <v>8124896</v>
      </c>
      <c r="M95">
        <v>116150</v>
      </c>
      <c r="N95">
        <v>69951988</v>
      </c>
    </row>
    <row r="96" spans="1:14" x14ac:dyDescent="0.25">
      <c r="A96">
        <v>95</v>
      </c>
      <c r="B96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35203</v>
      </c>
      <c r="N96">
        <v>31632469</v>
      </c>
    </row>
    <row r="97" spans="1:14" x14ac:dyDescent="0.25">
      <c r="A97">
        <v>96</v>
      </c>
      <c r="B97" t="s">
        <v>108</v>
      </c>
      <c r="C97">
        <v>92356</v>
      </c>
      <c r="D97">
        <v>94</v>
      </c>
      <c r="E97">
        <v>1260</v>
      </c>
      <c r="G97">
        <v>90699</v>
      </c>
      <c r="H97">
        <v>397</v>
      </c>
      <c r="I97">
        <v>36</v>
      </c>
      <c r="J97">
        <v>4906</v>
      </c>
      <c r="K97">
        <v>67</v>
      </c>
      <c r="L97">
        <v>1462217</v>
      </c>
      <c r="M97">
        <v>77666</v>
      </c>
      <c r="N97">
        <v>18826944</v>
      </c>
    </row>
    <row r="98" spans="1:14" x14ac:dyDescent="0.25">
      <c r="A98">
        <v>97</v>
      </c>
      <c r="B98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t="s">
        <v>110</v>
      </c>
      <c r="C99">
        <v>89686</v>
      </c>
      <c r="D99">
        <v>154</v>
      </c>
      <c r="E99">
        <v>931</v>
      </c>
      <c r="F99">
        <v>1</v>
      </c>
      <c r="G99">
        <v>46000</v>
      </c>
      <c r="H99">
        <v>42755</v>
      </c>
      <c r="I99">
        <v>28</v>
      </c>
      <c r="J99">
        <v>16165</v>
      </c>
      <c r="K99">
        <v>168</v>
      </c>
      <c r="L99">
        <v>4720329</v>
      </c>
      <c r="M99">
        <v>850787</v>
      </c>
      <c r="N99">
        <v>5548192</v>
      </c>
    </row>
    <row r="100" spans="1:14" x14ac:dyDescent="0.25">
      <c r="A100">
        <v>99</v>
      </c>
      <c r="B100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55999</v>
      </c>
      <c r="N100">
        <v>27115061</v>
      </c>
    </row>
    <row r="101" spans="1:14" x14ac:dyDescent="0.25">
      <c r="A101">
        <v>100</v>
      </c>
      <c r="B101" t="s">
        <v>112</v>
      </c>
      <c r="C101">
        <v>70915</v>
      </c>
      <c r="E101">
        <v>2178</v>
      </c>
      <c r="F101">
        <v>5</v>
      </c>
      <c r="G101">
        <v>66418</v>
      </c>
      <c r="H101">
        <v>2319</v>
      </c>
      <c r="I101">
        <v>28</v>
      </c>
      <c r="J101">
        <v>10886</v>
      </c>
      <c r="K101">
        <v>334</v>
      </c>
      <c r="L101">
        <v>946627</v>
      </c>
      <c r="M101">
        <v>145309</v>
      </c>
      <c r="N101">
        <v>6514588</v>
      </c>
    </row>
    <row r="102" spans="1:14" x14ac:dyDescent="0.25">
      <c r="A102">
        <v>101</v>
      </c>
      <c r="B102" t="s">
        <v>113</v>
      </c>
      <c r="C102">
        <v>70742</v>
      </c>
      <c r="D102">
        <v>171</v>
      </c>
      <c r="E102">
        <v>346</v>
      </c>
      <c r="F102">
        <v>4</v>
      </c>
      <c r="G102">
        <v>39061</v>
      </c>
      <c r="H102">
        <v>31335</v>
      </c>
      <c r="I102">
        <v>51</v>
      </c>
      <c r="J102">
        <v>58225</v>
      </c>
      <c r="K102">
        <v>285</v>
      </c>
      <c r="L102">
        <v>5733920</v>
      </c>
      <c r="M102">
        <v>4719369</v>
      </c>
      <c r="N102">
        <v>1214976</v>
      </c>
    </row>
    <row r="103" spans="1:14" x14ac:dyDescent="0.25">
      <c r="A103">
        <v>102</v>
      </c>
      <c r="B103" t="s">
        <v>114</v>
      </c>
      <c r="C103">
        <v>70361</v>
      </c>
      <c r="D103">
        <v>46</v>
      </c>
      <c r="E103">
        <v>826</v>
      </c>
      <c r="G103">
        <v>68487</v>
      </c>
      <c r="H103">
        <v>1048</v>
      </c>
      <c r="I103">
        <v>24</v>
      </c>
      <c r="J103">
        <v>2198</v>
      </c>
      <c r="K103">
        <v>26</v>
      </c>
      <c r="L103">
        <v>534044</v>
      </c>
      <c r="M103">
        <v>16684</v>
      </c>
      <c r="N103">
        <v>32008868</v>
      </c>
    </row>
    <row r="104" spans="1:14" x14ac:dyDescent="0.25">
      <c r="A104">
        <v>103</v>
      </c>
      <c r="B104" t="s">
        <v>115</v>
      </c>
      <c r="C104">
        <v>68922</v>
      </c>
      <c r="D104">
        <v>23</v>
      </c>
      <c r="E104">
        <v>806</v>
      </c>
      <c r="G104">
        <v>66183</v>
      </c>
      <c r="H104">
        <v>1933</v>
      </c>
      <c r="I104">
        <v>30</v>
      </c>
      <c r="J104">
        <v>108577</v>
      </c>
      <c r="K104">
        <v>1270</v>
      </c>
      <c r="L104">
        <v>2760597</v>
      </c>
      <c r="M104">
        <v>4348917</v>
      </c>
      <c r="N104">
        <v>634778</v>
      </c>
    </row>
    <row r="105" spans="1:14" x14ac:dyDescent="0.25">
      <c r="A105">
        <v>104</v>
      </c>
      <c r="B105" t="s">
        <v>116</v>
      </c>
      <c r="C105">
        <v>63412</v>
      </c>
      <c r="D105">
        <v>63</v>
      </c>
      <c r="E105">
        <v>2733</v>
      </c>
      <c r="F105">
        <v>3</v>
      </c>
      <c r="G105">
        <v>54634</v>
      </c>
      <c r="H105">
        <v>6045</v>
      </c>
      <c r="I105">
        <v>1124</v>
      </c>
      <c r="J105">
        <v>1598</v>
      </c>
      <c r="K105">
        <v>69</v>
      </c>
      <c r="L105">
        <v>428935</v>
      </c>
      <c r="M105">
        <v>10809</v>
      </c>
      <c r="N105">
        <v>39684190</v>
      </c>
    </row>
    <row r="106" spans="1:14" x14ac:dyDescent="0.25">
      <c r="A106">
        <v>105</v>
      </c>
      <c r="B106" t="s">
        <v>117</v>
      </c>
      <c r="C106">
        <v>61505</v>
      </c>
      <c r="D106">
        <v>52</v>
      </c>
      <c r="E106">
        <v>31</v>
      </c>
      <c r="G106">
        <v>61047</v>
      </c>
      <c r="H106">
        <v>427</v>
      </c>
      <c r="I106">
        <v>3</v>
      </c>
      <c r="J106">
        <v>10442</v>
      </c>
      <c r="K106">
        <v>5</v>
      </c>
      <c r="L106">
        <v>10441802</v>
      </c>
      <c r="M106">
        <v>1772738</v>
      </c>
      <c r="N106">
        <v>5890210</v>
      </c>
    </row>
    <row r="107" spans="1:14" x14ac:dyDescent="0.25">
      <c r="A107">
        <v>106</v>
      </c>
      <c r="B107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19659</v>
      </c>
      <c r="K107">
        <v>273</v>
      </c>
      <c r="L107">
        <v>406093</v>
      </c>
      <c r="M107">
        <v>157361</v>
      </c>
      <c r="N107">
        <v>2580640</v>
      </c>
    </row>
    <row r="108" spans="1:14" x14ac:dyDescent="0.25">
      <c r="A108">
        <v>107</v>
      </c>
      <c r="B108" t="s">
        <v>119</v>
      </c>
      <c r="C108">
        <v>49656</v>
      </c>
      <c r="D108">
        <v>615</v>
      </c>
      <c r="E108">
        <v>761</v>
      </c>
      <c r="F108">
        <v>10</v>
      </c>
      <c r="G108">
        <v>46640</v>
      </c>
      <c r="H108">
        <v>2255</v>
      </c>
      <c r="I108">
        <v>1</v>
      </c>
      <c r="J108">
        <v>20754</v>
      </c>
      <c r="K108">
        <v>318</v>
      </c>
      <c r="L108">
        <v>1089391</v>
      </c>
      <c r="M108">
        <v>455317</v>
      </c>
      <c r="N108">
        <v>2392597</v>
      </c>
    </row>
    <row r="109" spans="1:14" x14ac:dyDescent="0.25">
      <c r="A109">
        <v>108</v>
      </c>
      <c r="B109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847083</v>
      </c>
      <c r="N109">
        <v>3323909</v>
      </c>
    </row>
    <row r="110" spans="1:14" x14ac:dyDescent="0.25">
      <c r="A110">
        <v>109</v>
      </c>
      <c r="B110" t="s">
        <v>121</v>
      </c>
      <c r="C110">
        <v>47150</v>
      </c>
      <c r="D110">
        <v>130</v>
      </c>
      <c r="E110">
        <v>838</v>
      </c>
      <c r="F110">
        <v>4</v>
      </c>
      <c r="G110">
        <v>22895</v>
      </c>
      <c r="H110">
        <v>23417</v>
      </c>
      <c r="I110">
        <v>18</v>
      </c>
      <c r="J110">
        <v>15863</v>
      </c>
      <c r="K110">
        <v>282</v>
      </c>
      <c r="L110">
        <v>351564</v>
      </c>
      <c r="M110">
        <v>118277</v>
      </c>
      <c r="N110">
        <v>2972378</v>
      </c>
    </row>
    <row r="111" spans="1:14" x14ac:dyDescent="0.25">
      <c r="A111">
        <v>110</v>
      </c>
      <c r="B111" t="s">
        <v>122</v>
      </c>
      <c r="C111">
        <v>46535</v>
      </c>
      <c r="D111">
        <v>15</v>
      </c>
      <c r="E111">
        <v>295</v>
      </c>
      <c r="F111">
        <v>1</v>
      </c>
      <c r="G111">
        <v>46006</v>
      </c>
      <c r="H111">
        <v>234</v>
      </c>
      <c r="J111">
        <v>1727</v>
      </c>
      <c r="K111">
        <v>11</v>
      </c>
      <c r="L111">
        <v>608960</v>
      </c>
      <c r="M111">
        <v>22603</v>
      </c>
      <c r="N111">
        <v>26940965</v>
      </c>
    </row>
    <row r="112" spans="1:14" x14ac:dyDescent="0.25">
      <c r="A112">
        <v>111</v>
      </c>
      <c r="B112" t="s">
        <v>124</v>
      </c>
      <c r="C112">
        <v>42775</v>
      </c>
      <c r="D112">
        <v>1467</v>
      </c>
      <c r="E112">
        <v>92</v>
      </c>
      <c r="F112">
        <v>5</v>
      </c>
      <c r="G112">
        <v>27672</v>
      </c>
      <c r="H112">
        <v>15011</v>
      </c>
      <c r="I112">
        <v>90</v>
      </c>
      <c r="J112">
        <v>77948</v>
      </c>
      <c r="K112">
        <v>168</v>
      </c>
      <c r="L112">
        <v>788171</v>
      </c>
      <c r="M112">
        <v>1436261</v>
      </c>
      <c r="N112">
        <v>548766</v>
      </c>
    </row>
    <row r="113" spans="1:14" x14ac:dyDescent="0.25">
      <c r="A113">
        <v>112</v>
      </c>
      <c r="B113" t="s">
        <v>123</v>
      </c>
      <c r="C113">
        <v>42674</v>
      </c>
      <c r="D113">
        <v>96</v>
      </c>
      <c r="E113">
        <v>347</v>
      </c>
      <c r="F113">
        <v>1</v>
      </c>
      <c r="G113">
        <v>41971</v>
      </c>
      <c r="H113">
        <v>356</v>
      </c>
      <c r="I113">
        <v>24</v>
      </c>
      <c r="J113">
        <v>908</v>
      </c>
      <c r="K113">
        <v>7</v>
      </c>
      <c r="L113">
        <v>1055305</v>
      </c>
      <c r="M113">
        <v>22462</v>
      </c>
      <c r="N113">
        <v>46982269</v>
      </c>
    </row>
    <row r="114" spans="1:14" x14ac:dyDescent="0.25">
      <c r="A114">
        <v>113</v>
      </c>
      <c r="B114" t="s">
        <v>125</v>
      </c>
      <c r="C114">
        <v>40806</v>
      </c>
      <c r="D114">
        <v>16</v>
      </c>
      <c r="E114">
        <v>1122</v>
      </c>
      <c r="G114">
        <v>39529</v>
      </c>
      <c r="H114">
        <v>155</v>
      </c>
      <c r="I114">
        <v>11</v>
      </c>
      <c r="J114">
        <v>2383</v>
      </c>
      <c r="K114">
        <v>66</v>
      </c>
      <c r="L114">
        <v>495502</v>
      </c>
      <c r="M114">
        <v>28936</v>
      </c>
      <c r="N114">
        <v>17123805</v>
      </c>
    </row>
    <row r="115" spans="1:14" x14ac:dyDescent="0.25">
      <c r="A115">
        <v>114</v>
      </c>
      <c r="B115" t="s">
        <v>126</v>
      </c>
      <c r="C115">
        <v>39888</v>
      </c>
      <c r="D115">
        <v>129</v>
      </c>
      <c r="E115">
        <v>748</v>
      </c>
      <c r="F115">
        <v>3</v>
      </c>
      <c r="G115">
        <v>37431</v>
      </c>
      <c r="H115">
        <v>1709</v>
      </c>
      <c r="I115">
        <v>285</v>
      </c>
      <c r="J115">
        <v>1409</v>
      </c>
      <c r="K115">
        <v>26</v>
      </c>
      <c r="L115">
        <v>194669</v>
      </c>
      <c r="M115">
        <v>6878</v>
      </c>
      <c r="N115">
        <v>28304042</v>
      </c>
    </row>
    <row r="116" spans="1:14" x14ac:dyDescent="0.25">
      <c r="A116">
        <v>115</v>
      </c>
      <c r="B116" t="s">
        <v>127</v>
      </c>
      <c r="C116">
        <v>38535</v>
      </c>
      <c r="D116">
        <v>44</v>
      </c>
      <c r="E116">
        <v>1582</v>
      </c>
      <c r="G116">
        <v>36308</v>
      </c>
      <c r="H116">
        <v>645</v>
      </c>
      <c r="I116">
        <v>12</v>
      </c>
      <c r="J116">
        <v>2560</v>
      </c>
      <c r="K116">
        <v>105</v>
      </c>
      <c r="L116">
        <v>443025</v>
      </c>
      <c r="M116">
        <v>29437</v>
      </c>
      <c r="N116">
        <v>15049987</v>
      </c>
    </row>
    <row r="117" spans="1:14" x14ac:dyDescent="0.25">
      <c r="A117">
        <v>116</v>
      </c>
      <c r="B117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44731659</v>
      </c>
    </row>
    <row r="118" spans="1:14" x14ac:dyDescent="0.25">
      <c r="A118">
        <v>117</v>
      </c>
      <c r="B118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12171</v>
      </c>
      <c r="N118">
        <v>19555612</v>
      </c>
    </row>
    <row r="119" spans="1:14" x14ac:dyDescent="0.25">
      <c r="A119">
        <v>118</v>
      </c>
      <c r="B119" t="s">
        <v>130</v>
      </c>
      <c r="C119">
        <v>30511</v>
      </c>
      <c r="D119">
        <v>33</v>
      </c>
      <c r="E119">
        <v>775</v>
      </c>
      <c r="G119">
        <v>26601</v>
      </c>
      <c r="H119">
        <v>3135</v>
      </c>
      <c r="J119">
        <v>332</v>
      </c>
      <c r="K119">
        <v>8</v>
      </c>
      <c r="L119">
        <v>155250</v>
      </c>
      <c r="M119">
        <v>1689</v>
      </c>
      <c r="N119">
        <v>91902095</v>
      </c>
    </row>
    <row r="120" spans="1:14" x14ac:dyDescent="0.25">
      <c r="A120">
        <v>119</v>
      </c>
      <c r="B120" t="s">
        <v>131</v>
      </c>
      <c r="C120">
        <v>30474</v>
      </c>
      <c r="D120">
        <v>1</v>
      </c>
      <c r="E120">
        <v>417</v>
      </c>
      <c r="G120">
        <v>29877</v>
      </c>
      <c r="H120">
        <v>180</v>
      </c>
      <c r="J120">
        <v>68858</v>
      </c>
      <c r="K120">
        <v>942</v>
      </c>
      <c r="L120">
        <v>893092</v>
      </c>
      <c r="M120">
        <v>2017995</v>
      </c>
      <c r="N120">
        <v>442564</v>
      </c>
    </row>
    <row r="121" spans="1:14" x14ac:dyDescent="0.25">
      <c r="A121">
        <v>120</v>
      </c>
      <c r="B121" t="s">
        <v>133</v>
      </c>
      <c r="C121">
        <v>30030</v>
      </c>
      <c r="D121">
        <v>335</v>
      </c>
      <c r="E121">
        <v>651</v>
      </c>
      <c r="F121">
        <v>2</v>
      </c>
      <c r="G121">
        <v>25650</v>
      </c>
      <c r="H121">
        <v>3729</v>
      </c>
      <c r="I121">
        <v>22</v>
      </c>
      <c r="J121">
        <v>890</v>
      </c>
      <c r="K121">
        <v>19</v>
      </c>
      <c r="L121">
        <v>527590</v>
      </c>
      <c r="M121">
        <v>15635</v>
      </c>
      <c r="N121">
        <v>33744917</v>
      </c>
    </row>
    <row r="122" spans="1:14" x14ac:dyDescent="0.25">
      <c r="A122">
        <v>121</v>
      </c>
      <c r="B122" t="s">
        <v>132</v>
      </c>
      <c r="C122">
        <v>29957</v>
      </c>
      <c r="D122">
        <v>2</v>
      </c>
      <c r="E122">
        <v>910</v>
      </c>
      <c r="G122">
        <v>28861</v>
      </c>
      <c r="H122">
        <v>186</v>
      </c>
      <c r="I122">
        <v>1</v>
      </c>
      <c r="J122">
        <v>1163</v>
      </c>
      <c r="K122">
        <v>35</v>
      </c>
      <c r="L122">
        <v>17449487</v>
      </c>
      <c r="M122">
        <v>677494</v>
      </c>
      <c r="N122">
        <v>25755941</v>
      </c>
    </row>
    <row r="123" spans="1:14" x14ac:dyDescent="0.25">
      <c r="A123">
        <v>122</v>
      </c>
      <c r="B123" t="s">
        <v>134</v>
      </c>
      <c r="C123">
        <v>27672</v>
      </c>
      <c r="D123">
        <v>286</v>
      </c>
      <c r="E123">
        <v>244</v>
      </c>
      <c r="F123">
        <v>1</v>
      </c>
      <c r="G123">
        <v>24546</v>
      </c>
      <c r="H123">
        <v>2882</v>
      </c>
      <c r="I123">
        <v>23</v>
      </c>
      <c r="J123">
        <v>49307</v>
      </c>
      <c r="K123">
        <v>435</v>
      </c>
      <c r="L123">
        <v>158645</v>
      </c>
      <c r="M123">
        <v>282681</v>
      </c>
      <c r="N123">
        <v>561215</v>
      </c>
    </row>
    <row r="124" spans="1:14" x14ac:dyDescent="0.25">
      <c r="A124">
        <v>123</v>
      </c>
      <c r="B124" t="s">
        <v>135</v>
      </c>
      <c r="C124">
        <v>26033</v>
      </c>
      <c r="D124">
        <v>99</v>
      </c>
      <c r="E124">
        <v>343</v>
      </c>
      <c r="F124">
        <v>1</v>
      </c>
      <c r="G124">
        <v>24592</v>
      </c>
      <c r="H124">
        <v>1098</v>
      </c>
      <c r="I124">
        <v>1</v>
      </c>
      <c r="J124">
        <v>1968</v>
      </c>
      <c r="K124">
        <v>26</v>
      </c>
      <c r="L124">
        <v>1362483</v>
      </c>
      <c r="M124">
        <v>102994</v>
      </c>
      <c r="N124">
        <v>13228796</v>
      </c>
    </row>
    <row r="125" spans="1:14" x14ac:dyDescent="0.25">
      <c r="A125">
        <v>124</v>
      </c>
      <c r="B125" t="s">
        <v>136</v>
      </c>
      <c r="C125">
        <v>23799</v>
      </c>
      <c r="D125">
        <v>65</v>
      </c>
      <c r="E125">
        <v>143</v>
      </c>
      <c r="G125">
        <v>20379</v>
      </c>
      <c r="H125">
        <v>3277</v>
      </c>
      <c r="I125">
        <v>15</v>
      </c>
      <c r="J125">
        <v>10480</v>
      </c>
      <c r="K125">
        <v>63</v>
      </c>
      <c r="L125">
        <v>767445</v>
      </c>
      <c r="M125">
        <v>337934</v>
      </c>
      <c r="N125">
        <v>2270994</v>
      </c>
    </row>
    <row r="126" spans="1:14" x14ac:dyDescent="0.25">
      <c r="A126">
        <v>125</v>
      </c>
      <c r="B126" t="s">
        <v>137</v>
      </c>
      <c r="C126">
        <v>23645</v>
      </c>
      <c r="D126">
        <v>50</v>
      </c>
      <c r="E126">
        <v>1688</v>
      </c>
      <c r="F126">
        <v>6</v>
      </c>
      <c r="G126">
        <v>20197</v>
      </c>
      <c r="H126">
        <v>1760</v>
      </c>
      <c r="J126">
        <v>1323</v>
      </c>
      <c r="K126">
        <v>94</v>
      </c>
      <c r="L126">
        <v>103566</v>
      </c>
      <c r="M126">
        <v>5797</v>
      </c>
      <c r="N126">
        <v>17866944</v>
      </c>
    </row>
    <row r="127" spans="1:14" x14ac:dyDescent="0.25">
      <c r="A127">
        <v>126</v>
      </c>
      <c r="B127" t="s">
        <v>138</v>
      </c>
      <c r="C127">
        <v>22746</v>
      </c>
      <c r="D127">
        <v>27</v>
      </c>
      <c r="E127">
        <v>151</v>
      </c>
      <c r="G127">
        <v>20366</v>
      </c>
      <c r="H127">
        <v>2229</v>
      </c>
      <c r="I127">
        <v>24</v>
      </c>
      <c r="J127">
        <v>1692</v>
      </c>
      <c r="K127">
        <v>11</v>
      </c>
      <c r="L127">
        <v>445243</v>
      </c>
      <c r="M127">
        <v>33130</v>
      </c>
      <c r="N127">
        <v>13439391</v>
      </c>
    </row>
    <row r="128" spans="1:14" x14ac:dyDescent="0.25">
      <c r="A128">
        <v>127</v>
      </c>
      <c r="B128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25136</v>
      </c>
      <c r="K128">
        <v>188</v>
      </c>
      <c r="L128">
        <v>102720</v>
      </c>
      <c r="M128">
        <v>114026</v>
      </c>
      <c r="N128">
        <v>900850</v>
      </c>
    </row>
    <row r="129" spans="1:14" x14ac:dyDescent="0.25">
      <c r="A129">
        <v>128</v>
      </c>
      <c r="B129" t="s">
        <v>141</v>
      </c>
      <c r="C129">
        <v>21499</v>
      </c>
      <c r="D129">
        <v>358</v>
      </c>
      <c r="E129">
        <v>147</v>
      </c>
      <c r="F129">
        <v>5</v>
      </c>
      <c r="G129">
        <v>9867</v>
      </c>
      <c r="H129">
        <v>11485</v>
      </c>
      <c r="J129">
        <v>1271</v>
      </c>
      <c r="K129">
        <v>9</v>
      </c>
      <c r="L129">
        <v>1029636</v>
      </c>
      <c r="M129">
        <v>60857</v>
      </c>
      <c r="N129">
        <v>16919063</v>
      </c>
    </row>
    <row r="130" spans="1:14" x14ac:dyDescent="0.25">
      <c r="A130">
        <v>129</v>
      </c>
      <c r="B130" t="s">
        <v>140</v>
      </c>
      <c r="C130">
        <v>21465</v>
      </c>
      <c r="D130">
        <v>32</v>
      </c>
      <c r="E130">
        <v>108</v>
      </c>
      <c r="G130">
        <v>9995</v>
      </c>
      <c r="H130">
        <v>11362</v>
      </c>
      <c r="I130">
        <v>28</v>
      </c>
      <c r="J130">
        <v>70297</v>
      </c>
      <c r="K130">
        <v>354</v>
      </c>
      <c r="L130">
        <v>234758</v>
      </c>
      <c r="M130">
        <v>768821</v>
      </c>
      <c r="N130">
        <v>305348</v>
      </c>
    </row>
    <row r="131" spans="1:14" x14ac:dyDescent="0.25">
      <c r="A131">
        <v>130</v>
      </c>
      <c r="B13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72449</v>
      </c>
      <c r="K131">
        <v>614</v>
      </c>
      <c r="L131">
        <v>176919</v>
      </c>
      <c r="M131">
        <v>635286</v>
      </c>
      <c r="N131">
        <v>278487</v>
      </c>
    </row>
    <row r="132" spans="1:14" x14ac:dyDescent="0.25">
      <c r="A132">
        <v>131</v>
      </c>
      <c r="B132" t="s">
        <v>143</v>
      </c>
      <c r="C132">
        <v>18815</v>
      </c>
      <c r="D132">
        <v>18</v>
      </c>
      <c r="E132">
        <v>141</v>
      </c>
      <c r="G132">
        <v>18650</v>
      </c>
      <c r="H132">
        <v>24</v>
      </c>
      <c r="I132">
        <v>1</v>
      </c>
      <c r="J132">
        <v>66645</v>
      </c>
      <c r="K132">
        <v>499</v>
      </c>
      <c r="L132">
        <v>26355</v>
      </c>
      <c r="M132">
        <v>93353</v>
      </c>
      <c r="N132">
        <v>282316</v>
      </c>
    </row>
    <row r="133" spans="1:14" x14ac:dyDescent="0.25">
      <c r="A133">
        <v>132</v>
      </c>
      <c r="B133" t="s">
        <v>144</v>
      </c>
      <c r="C133">
        <v>18781</v>
      </c>
      <c r="D133">
        <v>14</v>
      </c>
      <c r="E133">
        <v>457</v>
      </c>
      <c r="G133">
        <v>18024</v>
      </c>
      <c r="H133">
        <v>300</v>
      </c>
      <c r="I133">
        <v>14</v>
      </c>
      <c r="J133">
        <v>3950</v>
      </c>
      <c r="K133">
        <v>96</v>
      </c>
      <c r="L133">
        <v>248008</v>
      </c>
      <c r="M133">
        <v>52159</v>
      </c>
      <c r="N133">
        <v>4754881</v>
      </c>
    </row>
    <row r="134" spans="1:14" x14ac:dyDescent="0.25">
      <c r="A134">
        <v>133</v>
      </c>
      <c r="B134" t="s">
        <v>145</v>
      </c>
      <c r="C134">
        <v>18511</v>
      </c>
      <c r="D134">
        <v>14</v>
      </c>
      <c r="E134">
        <v>671</v>
      </c>
      <c r="G134">
        <v>17793</v>
      </c>
      <c r="H134">
        <v>47</v>
      </c>
      <c r="I134">
        <v>3</v>
      </c>
      <c r="J134">
        <v>15814</v>
      </c>
      <c r="K134">
        <v>573</v>
      </c>
      <c r="L134">
        <v>197154</v>
      </c>
      <c r="M134">
        <v>168427</v>
      </c>
      <c r="N134">
        <v>1170564</v>
      </c>
    </row>
    <row r="135" spans="1:14" x14ac:dyDescent="0.25">
      <c r="A135">
        <v>134</v>
      </c>
      <c r="B135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169268</v>
      </c>
      <c r="N136">
        <v>789844</v>
      </c>
    </row>
    <row r="137" spans="1:14" x14ac:dyDescent="0.25">
      <c r="A137">
        <v>136</v>
      </c>
      <c r="B137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106796</v>
      </c>
      <c r="N137">
        <v>1403420</v>
      </c>
    </row>
    <row r="138" spans="1:14" x14ac:dyDescent="0.25">
      <c r="A138">
        <v>137</v>
      </c>
      <c r="B138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7381</v>
      </c>
      <c r="N138">
        <v>16274750</v>
      </c>
    </row>
    <row r="139" spans="1:14" x14ac:dyDescent="0.25">
      <c r="A139">
        <v>138</v>
      </c>
      <c r="B139" t="s">
        <v>150</v>
      </c>
      <c r="C139">
        <v>14163</v>
      </c>
      <c r="D139">
        <v>14</v>
      </c>
      <c r="E139">
        <v>510</v>
      </c>
      <c r="F139">
        <v>2</v>
      </c>
      <c r="G139">
        <v>9157</v>
      </c>
      <c r="H139">
        <v>4496</v>
      </c>
      <c r="J139">
        <v>682</v>
      </c>
      <c r="K139">
        <v>25</v>
      </c>
      <c r="L139">
        <v>281392</v>
      </c>
      <c r="M139">
        <v>13559</v>
      </c>
      <c r="N139">
        <v>20752550</v>
      </c>
    </row>
    <row r="140" spans="1:14" x14ac:dyDescent="0.25">
      <c r="A140">
        <v>139</v>
      </c>
      <c r="B140" t="s">
        <v>155</v>
      </c>
      <c r="C140">
        <v>13707</v>
      </c>
      <c r="D140">
        <v>284</v>
      </c>
      <c r="E140">
        <v>136</v>
      </c>
      <c r="F140">
        <v>3</v>
      </c>
      <c r="G140">
        <v>11034</v>
      </c>
      <c r="H140">
        <v>2537</v>
      </c>
      <c r="J140">
        <v>1507</v>
      </c>
      <c r="K140">
        <v>15</v>
      </c>
      <c r="L140">
        <v>110286</v>
      </c>
      <c r="M140">
        <v>12128</v>
      </c>
      <c r="N140">
        <v>9093328</v>
      </c>
    </row>
    <row r="141" spans="1:14" x14ac:dyDescent="0.25">
      <c r="A141">
        <v>140</v>
      </c>
      <c r="B141" t="s">
        <v>151</v>
      </c>
      <c r="C141">
        <v>13510</v>
      </c>
      <c r="D141">
        <v>40</v>
      </c>
      <c r="E141">
        <v>127</v>
      </c>
      <c r="G141">
        <v>13155</v>
      </c>
      <c r="H141">
        <v>228</v>
      </c>
      <c r="I141">
        <v>12</v>
      </c>
      <c r="J141">
        <v>174611</v>
      </c>
      <c r="K141">
        <v>1641</v>
      </c>
      <c r="L141">
        <v>193595</v>
      </c>
      <c r="M141">
        <v>2502133</v>
      </c>
      <c r="N141">
        <v>77372</v>
      </c>
    </row>
    <row r="142" spans="1:14" x14ac:dyDescent="0.25">
      <c r="A142">
        <v>141</v>
      </c>
      <c r="B142" t="s">
        <v>152</v>
      </c>
      <c r="C142">
        <v>13394</v>
      </c>
      <c r="D142">
        <v>7</v>
      </c>
      <c r="E142">
        <v>164</v>
      </c>
      <c r="G142">
        <v>13194</v>
      </c>
      <c r="H142">
        <v>36</v>
      </c>
      <c r="J142">
        <v>626</v>
      </c>
      <c r="K142">
        <v>8</v>
      </c>
      <c r="L142">
        <v>183292</v>
      </c>
      <c r="M142">
        <v>8566</v>
      </c>
      <c r="N142">
        <v>21396554</v>
      </c>
    </row>
    <row r="143" spans="1:14" x14ac:dyDescent="0.25">
      <c r="A143">
        <v>142</v>
      </c>
      <c r="B143" t="s">
        <v>153</v>
      </c>
      <c r="C143">
        <v>13308</v>
      </c>
      <c r="E143">
        <v>90</v>
      </c>
      <c r="G143">
        <v>13218</v>
      </c>
      <c r="H143">
        <v>0</v>
      </c>
      <c r="J143">
        <v>1369</v>
      </c>
      <c r="K143">
        <v>9</v>
      </c>
      <c r="N143">
        <v>9722338</v>
      </c>
    </row>
    <row r="144" spans="1:14" x14ac:dyDescent="0.25">
      <c r="A144">
        <v>143</v>
      </c>
      <c r="B144" t="s">
        <v>154</v>
      </c>
      <c r="C144">
        <v>13268</v>
      </c>
      <c r="E144">
        <v>269</v>
      </c>
      <c r="G144">
        <v>12397</v>
      </c>
      <c r="H144">
        <v>602</v>
      </c>
      <c r="J144">
        <v>1151</v>
      </c>
      <c r="K144">
        <v>23</v>
      </c>
      <c r="L144">
        <v>60085</v>
      </c>
      <c r="M144">
        <v>5214</v>
      </c>
      <c r="N144">
        <v>11522804</v>
      </c>
    </row>
    <row r="145" spans="1:14" x14ac:dyDescent="0.25">
      <c r="A145">
        <v>144</v>
      </c>
      <c r="B145" t="s">
        <v>156</v>
      </c>
      <c r="C145">
        <v>13244</v>
      </c>
      <c r="D145">
        <v>6</v>
      </c>
      <c r="E145">
        <v>125</v>
      </c>
      <c r="G145">
        <v>11847</v>
      </c>
      <c r="H145">
        <v>1272</v>
      </c>
      <c r="J145">
        <v>1568</v>
      </c>
      <c r="K145">
        <v>15</v>
      </c>
      <c r="L145">
        <v>321577</v>
      </c>
      <c r="M145">
        <v>38075</v>
      </c>
      <c r="N145">
        <v>8445949</v>
      </c>
    </row>
    <row r="146" spans="1:14" x14ac:dyDescent="0.25">
      <c r="A146">
        <v>145</v>
      </c>
      <c r="B146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31469</v>
      </c>
      <c r="K146">
        <v>800</v>
      </c>
      <c r="L146">
        <v>123837</v>
      </c>
      <c r="M146">
        <v>306633</v>
      </c>
      <c r="N146">
        <v>403861</v>
      </c>
    </row>
    <row r="147" spans="1:14" x14ac:dyDescent="0.25">
      <c r="A147">
        <v>146</v>
      </c>
      <c r="B147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622280</v>
      </c>
      <c r="N147">
        <v>164675</v>
      </c>
    </row>
    <row r="148" spans="1:14" x14ac:dyDescent="0.25">
      <c r="A148">
        <v>147</v>
      </c>
      <c r="B148" t="s">
        <v>159</v>
      </c>
      <c r="C148">
        <v>11819</v>
      </c>
      <c r="D148">
        <v>1</v>
      </c>
      <c r="E148">
        <v>210</v>
      </c>
      <c r="G148">
        <v>11516</v>
      </c>
      <c r="H148">
        <v>93</v>
      </c>
      <c r="I148">
        <v>2</v>
      </c>
      <c r="J148">
        <v>1565</v>
      </c>
      <c r="K148">
        <v>28</v>
      </c>
      <c r="L148">
        <v>14841321</v>
      </c>
      <c r="M148">
        <v>1965821</v>
      </c>
      <c r="N148">
        <v>7549680</v>
      </c>
    </row>
    <row r="149" spans="1:14" x14ac:dyDescent="0.25">
      <c r="A149">
        <v>148</v>
      </c>
      <c r="B149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454124</v>
      </c>
      <c r="N149">
        <v>375012</v>
      </c>
    </row>
    <row r="150" spans="1:14" x14ac:dyDescent="0.25">
      <c r="A150">
        <v>149</v>
      </c>
      <c r="B150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19574</v>
      </c>
      <c r="K150">
        <v>374</v>
      </c>
      <c r="L150">
        <v>54694</v>
      </c>
      <c r="M150">
        <v>92516</v>
      </c>
      <c r="N150">
        <v>591185</v>
      </c>
    </row>
    <row r="151" spans="1:14" x14ac:dyDescent="0.25">
      <c r="A151">
        <v>150</v>
      </c>
      <c r="B151" t="s">
        <v>162</v>
      </c>
      <c r="C151">
        <v>11402</v>
      </c>
      <c r="D151">
        <v>13</v>
      </c>
      <c r="E151">
        <v>151</v>
      </c>
      <c r="G151">
        <v>11241</v>
      </c>
      <c r="H151">
        <v>10</v>
      </c>
      <c r="J151">
        <v>11397</v>
      </c>
      <c r="K151">
        <v>151</v>
      </c>
      <c r="L151">
        <v>153192</v>
      </c>
      <c r="M151">
        <v>153127</v>
      </c>
      <c r="N151">
        <v>1000422</v>
      </c>
    </row>
    <row r="152" spans="1:14" x14ac:dyDescent="0.25">
      <c r="A152">
        <v>151</v>
      </c>
      <c r="B152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25190</v>
      </c>
      <c r="N152">
        <v>5635095</v>
      </c>
    </row>
    <row r="153" spans="1:14" x14ac:dyDescent="0.25">
      <c r="A153">
        <v>152</v>
      </c>
      <c r="B153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27803</v>
      </c>
      <c r="K153">
        <v>545</v>
      </c>
      <c r="L153">
        <v>91550</v>
      </c>
      <c r="M153">
        <v>230896</v>
      </c>
      <c r="N153">
        <v>396498</v>
      </c>
    </row>
    <row r="154" spans="1:14" x14ac:dyDescent="0.25">
      <c r="A154">
        <v>153</v>
      </c>
      <c r="B154" t="s">
        <v>165</v>
      </c>
      <c r="C154">
        <v>10838</v>
      </c>
      <c r="D154">
        <v>12</v>
      </c>
      <c r="E154">
        <v>104</v>
      </c>
      <c r="G154">
        <v>10639</v>
      </c>
      <c r="H154">
        <v>95</v>
      </c>
      <c r="I154">
        <v>14</v>
      </c>
      <c r="J154">
        <v>101139</v>
      </c>
      <c r="K154">
        <v>971</v>
      </c>
      <c r="L154">
        <v>156663</v>
      </c>
      <c r="M154">
        <v>1461968</v>
      </c>
      <c r="N154">
        <v>107159</v>
      </c>
    </row>
    <row r="155" spans="1:14" x14ac:dyDescent="0.25">
      <c r="A155">
        <v>154</v>
      </c>
      <c r="B155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40069</v>
      </c>
      <c r="N155">
        <v>2156964</v>
      </c>
    </row>
    <row r="156" spans="1:14" x14ac:dyDescent="0.25">
      <c r="A156">
        <v>155</v>
      </c>
      <c r="B156" t="s">
        <v>167</v>
      </c>
      <c r="C156">
        <v>10651</v>
      </c>
      <c r="D156">
        <v>10</v>
      </c>
      <c r="E156">
        <v>115</v>
      </c>
      <c r="G156">
        <v>10462</v>
      </c>
      <c r="H156">
        <v>74</v>
      </c>
      <c r="J156">
        <v>942</v>
      </c>
      <c r="K156">
        <v>10</v>
      </c>
      <c r="L156">
        <v>158678</v>
      </c>
      <c r="M156">
        <v>14033</v>
      </c>
      <c r="N156">
        <v>11307299</v>
      </c>
    </row>
    <row r="157" spans="1:14" x14ac:dyDescent="0.25">
      <c r="A157">
        <v>156</v>
      </c>
      <c r="B157" t="s">
        <v>168</v>
      </c>
      <c r="C157">
        <v>9184</v>
      </c>
      <c r="E157">
        <v>32</v>
      </c>
      <c r="G157">
        <v>6413</v>
      </c>
      <c r="H157">
        <v>2739</v>
      </c>
      <c r="J157">
        <v>92885</v>
      </c>
      <c r="K157">
        <v>324</v>
      </c>
      <c r="L157">
        <v>21504</v>
      </c>
      <c r="M157">
        <v>217487</v>
      </c>
      <c r="N157">
        <v>98875</v>
      </c>
    </row>
    <row r="158" spans="1:14" x14ac:dyDescent="0.25">
      <c r="A158">
        <v>157</v>
      </c>
      <c r="B158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48006</v>
      </c>
      <c r="N158">
        <v>12396596</v>
      </c>
    </row>
    <row r="159" spans="1:14" x14ac:dyDescent="0.25">
      <c r="A159">
        <v>158</v>
      </c>
      <c r="B159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85381</v>
      </c>
      <c r="N159">
        <v>1442573</v>
      </c>
    </row>
    <row r="160" spans="1:14" x14ac:dyDescent="0.25">
      <c r="A160">
        <v>159</v>
      </c>
      <c r="B160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6692758</v>
      </c>
    </row>
    <row r="161" spans="1:14" x14ac:dyDescent="0.25">
      <c r="A161">
        <v>160</v>
      </c>
      <c r="B16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8344</v>
      </c>
      <c r="N161">
        <v>4902297</v>
      </c>
    </row>
    <row r="162" spans="1:14" x14ac:dyDescent="0.25">
      <c r="A162">
        <v>161</v>
      </c>
      <c r="B162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19017</v>
      </c>
      <c r="K162">
        <v>85</v>
      </c>
      <c r="L162">
        <v>622370</v>
      </c>
      <c r="M162">
        <v>1813628</v>
      </c>
      <c r="N162">
        <v>343163</v>
      </c>
    </row>
    <row r="163" spans="1:14" x14ac:dyDescent="0.25">
      <c r="A163">
        <v>162</v>
      </c>
      <c r="B163" t="s">
        <v>174</v>
      </c>
      <c r="C163">
        <v>6523</v>
      </c>
      <c r="D163">
        <v>16</v>
      </c>
      <c r="E163">
        <v>1285</v>
      </c>
      <c r="F163">
        <v>7</v>
      </c>
      <c r="G163">
        <v>3008</v>
      </c>
      <c r="H163">
        <v>2230</v>
      </c>
      <c r="I163">
        <v>23</v>
      </c>
      <c r="J163">
        <v>215</v>
      </c>
      <c r="K163">
        <v>42</v>
      </c>
      <c r="L163">
        <v>35043</v>
      </c>
      <c r="M163">
        <v>1153</v>
      </c>
      <c r="N163">
        <v>30392400</v>
      </c>
    </row>
    <row r="164" spans="1:14" x14ac:dyDescent="0.25">
      <c r="A164">
        <v>163</v>
      </c>
      <c r="B164" t="s">
        <v>175</v>
      </c>
      <c r="C164">
        <v>5940</v>
      </c>
      <c r="D164">
        <v>6</v>
      </c>
      <c r="E164">
        <v>175</v>
      </c>
      <c r="G164">
        <v>5674</v>
      </c>
      <c r="H164">
        <v>91</v>
      </c>
      <c r="I164">
        <v>3</v>
      </c>
      <c r="J164">
        <v>2400</v>
      </c>
      <c r="K164">
        <v>71</v>
      </c>
      <c r="L164">
        <v>76379</v>
      </c>
      <c r="M164">
        <v>30859</v>
      </c>
      <c r="N164">
        <v>2475082</v>
      </c>
    </row>
    <row r="165" spans="1:14" x14ac:dyDescent="0.25">
      <c r="A165">
        <v>164</v>
      </c>
      <c r="B165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4073</v>
      </c>
      <c r="N165">
        <v>24958286</v>
      </c>
    </row>
    <row r="166" spans="1:14" x14ac:dyDescent="0.25">
      <c r="A166">
        <v>165</v>
      </c>
      <c r="B166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t="s">
        <v>178</v>
      </c>
      <c r="C167">
        <v>4897</v>
      </c>
      <c r="D167">
        <v>2</v>
      </c>
      <c r="E167">
        <v>173</v>
      </c>
      <c r="F167">
        <v>1</v>
      </c>
      <c r="G167">
        <v>4677</v>
      </c>
      <c r="H167">
        <v>47</v>
      </c>
      <c r="J167">
        <v>291</v>
      </c>
      <c r="K167">
        <v>10</v>
      </c>
      <c r="L167">
        <v>116416</v>
      </c>
      <c r="M167">
        <v>6917</v>
      </c>
      <c r="N167">
        <v>16831306</v>
      </c>
    </row>
    <row r="168" spans="1:14" x14ac:dyDescent="0.25">
      <c r="A168">
        <v>167</v>
      </c>
      <c r="B168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231309</v>
      </c>
      <c r="N168">
        <v>184355</v>
      </c>
    </row>
    <row r="169" spans="1:14" x14ac:dyDescent="0.25">
      <c r="A169">
        <v>168</v>
      </c>
      <c r="B169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242473</v>
      </c>
      <c r="M169">
        <v>7198890</v>
      </c>
      <c r="N169">
        <v>33682</v>
      </c>
    </row>
    <row r="170" spans="1:14" x14ac:dyDescent="0.25">
      <c r="A170">
        <v>169</v>
      </c>
      <c r="B170" t="s">
        <v>181</v>
      </c>
      <c r="C170">
        <v>4282</v>
      </c>
      <c r="D170">
        <v>21</v>
      </c>
      <c r="E170">
        <v>6</v>
      </c>
      <c r="G170">
        <v>773</v>
      </c>
      <c r="H170">
        <v>3503</v>
      </c>
      <c r="J170">
        <v>351</v>
      </c>
      <c r="K170">
        <v>0.5</v>
      </c>
      <c r="L170">
        <v>279132</v>
      </c>
      <c r="M170">
        <v>22889</v>
      </c>
      <c r="N170">
        <v>12195292</v>
      </c>
    </row>
    <row r="171" spans="1:14" x14ac:dyDescent="0.25">
      <c r="A171">
        <v>170</v>
      </c>
      <c r="B171" t="s">
        <v>182</v>
      </c>
      <c r="C171">
        <v>4103</v>
      </c>
      <c r="D171">
        <v>7</v>
      </c>
      <c r="E171">
        <v>79</v>
      </c>
      <c r="G171">
        <v>3101</v>
      </c>
      <c r="H171">
        <v>923</v>
      </c>
      <c r="J171">
        <v>505</v>
      </c>
      <c r="K171">
        <v>10</v>
      </c>
      <c r="L171">
        <v>153257</v>
      </c>
      <c r="M171">
        <v>18881</v>
      </c>
      <c r="N171">
        <v>8116948</v>
      </c>
    </row>
    <row r="172" spans="1:14" x14ac:dyDescent="0.25">
      <c r="A172">
        <v>171</v>
      </c>
      <c r="B172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2592927</v>
      </c>
      <c r="N172">
        <v>175251</v>
      </c>
    </row>
    <row r="173" spans="1:14" x14ac:dyDescent="0.25">
      <c r="A173">
        <v>172</v>
      </c>
      <c r="B173" t="s">
        <v>184</v>
      </c>
      <c r="C173">
        <v>3961</v>
      </c>
      <c r="D173">
        <v>2</v>
      </c>
      <c r="E173">
        <v>46</v>
      </c>
      <c r="G173">
        <v>3916</v>
      </c>
      <c r="H173">
        <v>-1</v>
      </c>
      <c r="J173">
        <v>13769</v>
      </c>
      <c r="K173">
        <v>160</v>
      </c>
      <c r="L173">
        <v>161835</v>
      </c>
      <c r="M173">
        <v>562552</v>
      </c>
      <c r="N173">
        <v>287680</v>
      </c>
    </row>
    <row r="174" spans="1:14" x14ac:dyDescent="0.25">
      <c r="A174">
        <v>173</v>
      </c>
      <c r="B174" t="s">
        <v>185</v>
      </c>
      <c r="C174">
        <v>3879</v>
      </c>
      <c r="E174">
        <v>8</v>
      </c>
      <c r="G174">
        <v>2142</v>
      </c>
      <c r="H174">
        <v>1729</v>
      </c>
      <c r="J174">
        <v>2895</v>
      </c>
      <c r="K174">
        <v>6</v>
      </c>
      <c r="L174">
        <v>84361</v>
      </c>
      <c r="M174">
        <v>62950</v>
      </c>
      <c r="N174">
        <v>1340122</v>
      </c>
    </row>
    <row r="175" spans="1:14" x14ac:dyDescent="0.25">
      <c r="A175">
        <v>174</v>
      </c>
      <c r="B175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885578</v>
      </c>
    </row>
    <row r="176" spans="1:14" x14ac:dyDescent="0.25">
      <c r="A176">
        <v>175</v>
      </c>
      <c r="B176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3588868</v>
      </c>
    </row>
    <row r="177" spans="1:14" x14ac:dyDescent="0.25">
      <c r="A177">
        <v>176</v>
      </c>
      <c r="B177" t="s">
        <v>189</v>
      </c>
      <c r="C177">
        <v>3816</v>
      </c>
      <c r="D177">
        <v>106</v>
      </c>
      <c r="E177">
        <v>35</v>
      </c>
      <c r="G177">
        <v>2657</v>
      </c>
      <c r="H177">
        <v>1124</v>
      </c>
      <c r="J177">
        <v>39</v>
      </c>
      <c r="K177">
        <v>0.4</v>
      </c>
      <c r="L177">
        <v>3091540</v>
      </c>
      <c r="M177">
        <v>31515</v>
      </c>
      <c r="N177">
        <v>98097196</v>
      </c>
    </row>
    <row r="178" spans="1:14" x14ac:dyDescent="0.25">
      <c r="A178">
        <v>177</v>
      </c>
      <c r="B178" t="s">
        <v>188</v>
      </c>
      <c r="C178">
        <v>3743</v>
      </c>
      <c r="E178">
        <v>67</v>
      </c>
      <c r="G178">
        <v>3418</v>
      </c>
      <c r="H178">
        <v>258</v>
      </c>
      <c r="I178">
        <v>9</v>
      </c>
      <c r="J178">
        <v>1864</v>
      </c>
      <c r="K178">
        <v>33</v>
      </c>
      <c r="L178">
        <v>65224</v>
      </c>
      <c r="M178">
        <v>32481</v>
      </c>
      <c r="N178">
        <v>2008086</v>
      </c>
    </row>
    <row r="179" spans="1:14" x14ac:dyDescent="0.25">
      <c r="A179">
        <v>178</v>
      </c>
      <c r="B179" t="s">
        <v>190</v>
      </c>
      <c r="C179">
        <v>2981</v>
      </c>
      <c r="D179">
        <v>1</v>
      </c>
      <c r="E179">
        <v>58</v>
      </c>
      <c r="G179">
        <v>2887</v>
      </c>
      <c r="H179">
        <v>36</v>
      </c>
      <c r="I179">
        <v>3</v>
      </c>
      <c r="J179">
        <v>77990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63065</v>
      </c>
      <c r="K181">
        <v>810</v>
      </c>
      <c r="L181">
        <v>51953</v>
      </c>
      <c r="M181">
        <v>1315832</v>
      </c>
      <c r="N181">
        <v>39483</v>
      </c>
    </row>
    <row r="182" spans="1:14" x14ac:dyDescent="0.25">
      <c r="A182">
        <v>181</v>
      </c>
      <c r="B182" t="s">
        <v>193</v>
      </c>
      <c r="C182">
        <v>2462</v>
      </c>
      <c r="D182">
        <v>1</v>
      </c>
      <c r="E182">
        <v>32</v>
      </c>
      <c r="F182">
        <v>1</v>
      </c>
      <c r="G182">
        <v>2234</v>
      </c>
      <c r="H182">
        <v>196</v>
      </c>
      <c r="I182">
        <v>7</v>
      </c>
      <c r="J182">
        <v>39660</v>
      </c>
      <c r="K182">
        <v>515</v>
      </c>
      <c r="L182">
        <v>252609</v>
      </c>
      <c r="M182">
        <v>4069219</v>
      </c>
      <c r="N182">
        <v>62078</v>
      </c>
    </row>
    <row r="183" spans="1:14" x14ac:dyDescent="0.25">
      <c r="A183">
        <v>182</v>
      </c>
      <c r="B183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61374</v>
      </c>
      <c r="K183">
        <v>434</v>
      </c>
      <c r="L183">
        <v>65926</v>
      </c>
      <c r="M183">
        <v>1683074</v>
      </c>
      <c r="N183">
        <v>39170</v>
      </c>
    </row>
    <row r="184" spans="1:14" x14ac:dyDescent="0.25">
      <c r="A184">
        <v>183</v>
      </c>
      <c r="B184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58377</v>
      </c>
      <c r="N184">
        <v>222673</v>
      </c>
    </row>
    <row r="185" spans="1:14" x14ac:dyDescent="0.25">
      <c r="A185">
        <v>184</v>
      </c>
      <c r="B185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52475</v>
      </c>
      <c r="K185">
        <v>624</v>
      </c>
      <c r="L185">
        <v>26880</v>
      </c>
      <c r="M185">
        <v>620828</v>
      </c>
      <c r="N185">
        <v>43297</v>
      </c>
    </row>
    <row r="186" spans="1:14" x14ac:dyDescent="0.25">
      <c r="A186">
        <v>185</v>
      </c>
      <c r="B186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18968</v>
      </c>
      <c r="N186">
        <v>5160130</v>
      </c>
    </row>
    <row r="187" spans="1:14" x14ac:dyDescent="0.25">
      <c r="A187">
        <v>186</v>
      </c>
      <c r="B187" t="s">
        <v>256</v>
      </c>
      <c r="C187">
        <v>1932</v>
      </c>
      <c r="D187">
        <v>4</v>
      </c>
      <c r="E187">
        <v>12</v>
      </c>
      <c r="G187">
        <v>1769</v>
      </c>
      <c r="H187">
        <v>151</v>
      </c>
      <c r="I187">
        <v>2</v>
      </c>
      <c r="J187">
        <v>17367</v>
      </c>
      <c r="K187">
        <v>108</v>
      </c>
      <c r="L187">
        <v>46829</v>
      </c>
      <c r="M187">
        <v>420950</v>
      </c>
      <c r="N187">
        <v>111246</v>
      </c>
    </row>
    <row r="188" spans="1:14" x14ac:dyDescent="0.25">
      <c r="A188">
        <v>187</v>
      </c>
      <c r="B188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45188</v>
      </c>
      <c r="K188">
        <v>306</v>
      </c>
      <c r="L188">
        <v>27588</v>
      </c>
      <c r="M188">
        <v>703130</v>
      </c>
      <c r="N188">
        <v>39236</v>
      </c>
    </row>
    <row r="189" spans="1:14" x14ac:dyDescent="0.25">
      <c r="A189">
        <v>188</v>
      </c>
      <c r="B189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523992</v>
      </c>
      <c r="N189">
        <v>85423</v>
      </c>
    </row>
    <row r="190" spans="1:14" x14ac:dyDescent="0.25">
      <c r="A190">
        <v>189</v>
      </c>
      <c r="B190" t="s">
        <v>201</v>
      </c>
      <c r="C190">
        <v>1590</v>
      </c>
      <c r="E190">
        <v>17</v>
      </c>
      <c r="G190">
        <v>1558</v>
      </c>
      <c r="H190">
        <v>15</v>
      </c>
      <c r="J190">
        <v>60150</v>
      </c>
      <c r="K190">
        <v>643</v>
      </c>
      <c r="L190">
        <v>10040</v>
      </c>
      <c r="M190">
        <v>379814</v>
      </c>
      <c r="N190">
        <v>26434</v>
      </c>
    </row>
    <row r="191" spans="1:14" x14ac:dyDescent="0.25">
      <c r="A191">
        <v>190</v>
      </c>
      <c r="B191" t="s">
        <v>202</v>
      </c>
      <c r="C191">
        <v>1498</v>
      </c>
      <c r="D191">
        <v>16</v>
      </c>
      <c r="E191">
        <v>2</v>
      </c>
      <c r="F191">
        <v>1</v>
      </c>
      <c r="G191">
        <v>513</v>
      </c>
      <c r="H191">
        <v>983</v>
      </c>
      <c r="J191">
        <v>203</v>
      </c>
      <c r="K191">
        <v>0.3</v>
      </c>
      <c r="L191">
        <v>213373</v>
      </c>
      <c r="M191">
        <v>28964</v>
      </c>
      <c r="N191">
        <v>7366840</v>
      </c>
    </row>
    <row r="192" spans="1:14" x14ac:dyDescent="0.25">
      <c r="A192">
        <v>191</v>
      </c>
      <c r="B192" t="s">
        <v>205</v>
      </c>
      <c r="C192">
        <v>1290</v>
      </c>
      <c r="D192">
        <v>34</v>
      </c>
      <c r="E192">
        <v>12</v>
      </c>
      <c r="G192">
        <v>1107</v>
      </c>
      <c r="H192">
        <v>171</v>
      </c>
      <c r="J192">
        <v>54</v>
      </c>
      <c r="K192">
        <v>0.5</v>
      </c>
      <c r="L192">
        <v>571259</v>
      </c>
      <c r="M192">
        <v>23948</v>
      </c>
      <c r="N192">
        <v>23854195</v>
      </c>
    </row>
    <row r="193" spans="1:14" x14ac:dyDescent="0.25">
      <c r="A193">
        <v>192</v>
      </c>
      <c r="B193" t="s">
        <v>203</v>
      </c>
      <c r="C193">
        <v>1277</v>
      </c>
      <c r="D193">
        <v>2</v>
      </c>
      <c r="E193">
        <v>17</v>
      </c>
      <c r="G193">
        <v>1130</v>
      </c>
      <c r="H193">
        <v>130</v>
      </c>
      <c r="J193">
        <v>1003</v>
      </c>
      <c r="K193">
        <v>13</v>
      </c>
      <c r="L193">
        <v>358675</v>
      </c>
      <c r="M193">
        <v>281623</v>
      </c>
      <c r="N193">
        <v>1273600</v>
      </c>
    </row>
    <row r="194" spans="1:14" x14ac:dyDescent="0.25">
      <c r="A194">
        <v>193</v>
      </c>
      <c r="B194" t="s">
        <v>204</v>
      </c>
      <c r="C194">
        <v>1276</v>
      </c>
      <c r="D194">
        <v>13</v>
      </c>
      <c r="E194">
        <v>1</v>
      </c>
      <c r="G194">
        <v>1121</v>
      </c>
      <c r="H194">
        <v>154</v>
      </c>
      <c r="J194">
        <v>1638</v>
      </c>
      <c r="K194">
        <v>1</v>
      </c>
      <c r="L194">
        <v>738413</v>
      </c>
      <c r="M194">
        <v>947944</v>
      </c>
      <c r="N194">
        <v>778963</v>
      </c>
    </row>
    <row r="195" spans="1:14" x14ac:dyDescent="0.25">
      <c r="A195">
        <v>194</v>
      </c>
      <c r="B195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169318</v>
      </c>
      <c r="N195">
        <v>98631</v>
      </c>
    </row>
    <row r="196" spans="1:14" x14ac:dyDescent="0.25">
      <c r="A196">
        <v>195</v>
      </c>
      <c r="B196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259009</v>
      </c>
      <c r="M198">
        <v>5283310</v>
      </c>
      <c r="N198">
        <v>49024</v>
      </c>
    </row>
    <row r="199" spans="1:14" x14ac:dyDescent="0.25">
      <c r="A199">
        <v>198</v>
      </c>
      <c r="B199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1406115</v>
      </c>
      <c r="N199">
        <v>66390</v>
      </c>
    </row>
    <row r="200" spans="1:14" x14ac:dyDescent="0.25">
      <c r="A200">
        <v>199</v>
      </c>
      <c r="B200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61197893</v>
      </c>
    </row>
    <row r="201" spans="1:14" x14ac:dyDescent="0.25">
      <c r="A201">
        <v>200</v>
      </c>
      <c r="B20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40210</v>
      </c>
      <c r="K201">
        <v>633</v>
      </c>
      <c r="L201">
        <v>17264</v>
      </c>
      <c r="M201">
        <v>1559953</v>
      </c>
      <c r="N201">
        <v>11067</v>
      </c>
    </row>
    <row r="202" spans="1:14" x14ac:dyDescent="0.25">
      <c r="A202">
        <v>201</v>
      </c>
      <c r="B202" t="s">
        <v>213</v>
      </c>
      <c r="C202">
        <v>232</v>
      </c>
      <c r="E202">
        <v>3</v>
      </c>
      <c r="G202">
        <v>220</v>
      </c>
      <c r="H202">
        <v>9</v>
      </c>
      <c r="J202">
        <v>526</v>
      </c>
      <c r="K202">
        <v>7</v>
      </c>
      <c r="L202">
        <v>123068</v>
      </c>
      <c r="M202">
        <v>278998</v>
      </c>
      <c r="N202">
        <v>441107</v>
      </c>
    </row>
    <row r="203" spans="1:14" x14ac:dyDescent="0.25">
      <c r="A203">
        <v>202</v>
      </c>
      <c r="B203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t="s">
        <v>216</v>
      </c>
      <c r="C205">
        <v>166</v>
      </c>
      <c r="D205">
        <v>1</v>
      </c>
      <c r="E205">
        <v>4</v>
      </c>
      <c r="G205">
        <v>109</v>
      </c>
      <c r="H205">
        <v>53</v>
      </c>
      <c r="J205">
        <v>184</v>
      </c>
      <c r="K205">
        <v>4</v>
      </c>
      <c r="L205">
        <v>70792</v>
      </c>
      <c r="M205">
        <v>78477</v>
      </c>
      <c r="N205">
        <v>902075</v>
      </c>
    </row>
    <row r="206" spans="1:14" x14ac:dyDescent="0.25">
      <c r="A206">
        <v>205</v>
      </c>
      <c r="B206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253897</v>
      </c>
      <c r="N206">
        <v>112975</v>
      </c>
    </row>
    <row r="207" spans="1:14" x14ac:dyDescent="0.25">
      <c r="A207">
        <v>206</v>
      </c>
      <c r="B207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108262</v>
      </c>
      <c r="N207">
        <v>287875</v>
      </c>
    </row>
    <row r="208" spans="1:14" x14ac:dyDescent="0.25">
      <c r="A208">
        <v>207</v>
      </c>
      <c r="B208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656990</v>
      </c>
    </row>
    <row r="211" spans="1:14" x14ac:dyDescent="0.25">
      <c r="A211">
        <v>210</v>
      </c>
      <c r="B21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255787</v>
      </c>
      <c r="N211">
        <v>53525</v>
      </c>
    </row>
    <row r="212" spans="1:14" x14ac:dyDescent="0.25">
      <c r="A212">
        <v>211</v>
      </c>
      <c r="B212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701396</v>
      </c>
    </row>
    <row r="217" spans="1:14" x14ac:dyDescent="0.25">
      <c r="A217">
        <v>216</v>
      </c>
      <c r="B217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609991</v>
      </c>
    </row>
    <row r="218" spans="1:14" x14ac:dyDescent="0.25">
      <c r="A218">
        <v>217</v>
      </c>
      <c r="B218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73405</v>
      </c>
      <c r="N219">
        <v>313331</v>
      </c>
    </row>
    <row r="220" spans="1:14" x14ac:dyDescent="0.25">
      <c r="A220">
        <v>219</v>
      </c>
      <c r="B220" t="s">
        <v>231</v>
      </c>
      <c r="C220">
        <v>4</v>
      </c>
      <c r="G220">
        <v>4</v>
      </c>
      <c r="H220">
        <v>0</v>
      </c>
      <c r="J220">
        <v>67</v>
      </c>
      <c r="N220">
        <v>59536</v>
      </c>
    </row>
    <row r="221" spans="1:14" x14ac:dyDescent="0.25">
      <c r="A221">
        <v>220</v>
      </c>
      <c r="B221" t="s">
        <v>232</v>
      </c>
      <c r="C221">
        <v>3</v>
      </c>
      <c r="G221">
        <v>2</v>
      </c>
      <c r="H221">
        <v>1</v>
      </c>
      <c r="J221">
        <v>15</v>
      </c>
      <c r="N221">
        <v>199557</v>
      </c>
    </row>
    <row r="222" spans="1:14" x14ac:dyDescent="0.25">
      <c r="A222">
        <v>221</v>
      </c>
      <c r="B222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t="s">
        <v>234</v>
      </c>
      <c r="C223">
        <v>1</v>
      </c>
      <c r="G223">
        <v>1</v>
      </c>
      <c r="H223">
        <v>0</v>
      </c>
      <c r="J223">
        <v>9</v>
      </c>
      <c r="N223">
        <v>116067</v>
      </c>
    </row>
    <row r="224" spans="1:14" x14ac:dyDescent="0.25">
      <c r="B224" s="28"/>
    </row>
    <row r="225" spans="1:14" x14ac:dyDescent="0.25">
      <c r="B225" s="28"/>
    </row>
    <row r="226" spans="1:14" x14ac:dyDescent="0.25">
      <c r="B226" t="s">
        <v>255</v>
      </c>
      <c r="C226">
        <v>39123374</v>
      </c>
      <c r="D226">
        <v>54823</v>
      </c>
      <c r="E226">
        <v>877074</v>
      </c>
      <c r="F226">
        <v>1190</v>
      </c>
      <c r="G226">
        <v>31241350</v>
      </c>
      <c r="H226">
        <v>7004950</v>
      </c>
      <c r="I226">
        <v>16213</v>
      </c>
    </row>
    <row r="227" spans="1:14" x14ac:dyDescent="0.25">
      <c r="B227" t="s">
        <v>255</v>
      </c>
      <c r="C227">
        <v>46098389</v>
      </c>
      <c r="D227">
        <v>400933</v>
      </c>
      <c r="E227">
        <v>597223</v>
      </c>
      <c r="F227">
        <v>5238</v>
      </c>
      <c r="G227">
        <v>40255488</v>
      </c>
      <c r="H227">
        <v>5245678</v>
      </c>
      <c r="I227">
        <v>32980</v>
      </c>
    </row>
    <row r="228" spans="1:14" x14ac:dyDescent="0.25">
      <c r="B228" t="s">
        <v>255</v>
      </c>
      <c r="C228">
        <v>26560924</v>
      </c>
      <c r="D228">
        <v>144438</v>
      </c>
      <c r="E228">
        <v>722639</v>
      </c>
      <c r="F228">
        <v>3647</v>
      </c>
      <c r="G228">
        <v>24058962</v>
      </c>
      <c r="H228">
        <v>1779323</v>
      </c>
      <c r="I228">
        <v>28232</v>
      </c>
    </row>
    <row r="229" spans="1:14" x14ac:dyDescent="0.25">
      <c r="B229" t="s">
        <v>255</v>
      </c>
      <c r="C229">
        <v>45952919</v>
      </c>
      <c r="D229">
        <v>79819</v>
      </c>
      <c r="E229">
        <v>1046378</v>
      </c>
      <c r="F229">
        <v>2163</v>
      </c>
      <c r="G229">
        <v>41580232</v>
      </c>
      <c r="H229">
        <v>3326309</v>
      </c>
      <c r="I229">
        <v>23189</v>
      </c>
    </row>
    <row r="230" spans="1:14" x14ac:dyDescent="0.25">
      <c r="B230" t="s">
        <v>255</v>
      </c>
      <c r="C230">
        <v>4716548</v>
      </c>
      <c r="D230">
        <v>7910</v>
      </c>
      <c r="E230">
        <v>126189</v>
      </c>
      <c r="F230">
        <v>251</v>
      </c>
      <c r="G230">
        <v>4250540</v>
      </c>
      <c r="H230">
        <v>339819</v>
      </c>
      <c r="I230">
        <v>3019</v>
      </c>
    </row>
    <row r="231" spans="1:14" x14ac:dyDescent="0.25">
      <c r="B231" t="s">
        <v>255</v>
      </c>
      <c r="C231">
        <v>65891</v>
      </c>
      <c r="D231">
        <v>306</v>
      </c>
      <c r="E231">
        <v>1225</v>
      </c>
      <c r="F231">
        <v>3</v>
      </c>
      <c r="G231">
        <v>61387</v>
      </c>
      <c r="H231">
        <v>3279</v>
      </c>
      <c r="I231">
        <v>3</v>
      </c>
    </row>
    <row r="232" spans="1:14" x14ac:dyDescent="0.25">
      <c r="B232" t="s">
        <v>255</v>
      </c>
      <c r="C232">
        <v>721</v>
      </c>
      <c r="E232">
        <v>15</v>
      </c>
      <c r="G232">
        <v>706</v>
      </c>
      <c r="H232">
        <v>0</v>
      </c>
      <c r="I232">
        <v>0</v>
      </c>
    </row>
    <row r="233" spans="1:14" x14ac:dyDescent="0.25">
      <c r="B233" t="s">
        <v>255</v>
      </c>
      <c r="C233">
        <v>162518766</v>
      </c>
      <c r="D233">
        <v>688229</v>
      </c>
      <c r="E233">
        <v>3370743</v>
      </c>
      <c r="F233">
        <v>12492</v>
      </c>
      <c r="G233">
        <v>141448665</v>
      </c>
      <c r="H233">
        <v>17699358</v>
      </c>
      <c r="I233">
        <v>103636</v>
      </c>
      <c r="J233">
        <v>20850</v>
      </c>
      <c r="K233">
        <v>432.4</v>
      </c>
    </row>
    <row r="236" spans="1:14" x14ac:dyDescent="0.25">
      <c r="A236" s="27"/>
      <c r="B236" s="26" t="s">
        <v>243</v>
      </c>
      <c r="C236" s="26">
        <v>162518766</v>
      </c>
      <c r="D236" s="26">
        <v>688229</v>
      </c>
      <c r="E236" s="26">
        <v>3370743</v>
      </c>
      <c r="F236" s="26">
        <v>12492</v>
      </c>
      <c r="G236" s="26">
        <v>141448665</v>
      </c>
      <c r="H236" s="26">
        <v>17699358</v>
      </c>
      <c r="I236" s="26">
        <v>103636</v>
      </c>
      <c r="J236" s="26">
        <v>20850</v>
      </c>
      <c r="K236" s="26">
        <v>432.4</v>
      </c>
      <c r="L236" s="26"/>
      <c r="M236" s="26"/>
      <c r="N236" s="25"/>
    </row>
    <row r="237" spans="1:14" x14ac:dyDescent="0.25">
      <c r="A237" s="24"/>
      <c r="B237" s="23" t="s">
        <v>245</v>
      </c>
      <c r="C237" s="23">
        <v>46098389</v>
      </c>
      <c r="D237" s="23">
        <v>400933</v>
      </c>
      <c r="E237" s="23">
        <v>597223</v>
      </c>
      <c r="F237" s="23">
        <v>5238</v>
      </c>
      <c r="G237" s="23">
        <v>40255488</v>
      </c>
      <c r="H237" s="23">
        <v>5245678</v>
      </c>
      <c r="I237" s="23">
        <v>32980</v>
      </c>
      <c r="J237" s="23"/>
      <c r="K237" s="23"/>
      <c r="L237" s="23"/>
      <c r="M237" s="23"/>
      <c r="N237" s="22"/>
    </row>
    <row r="238" spans="1:14" x14ac:dyDescent="0.25">
      <c r="A238" s="27"/>
      <c r="B238" s="26" t="s">
        <v>244</v>
      </c>
      <c r="C238" s="26">
        <v>45952919</v>
      </c>
      <c r="D238" s="26">
        <v>79819</v>
      </c>
      <c r="E238" s="26">
        <v>1046378</v>
      </c>
      <c r="F238" s="26">
        <v>2163</v>
      </c>
      <c r="G238" s="26">
        <v>41580232</v>
      </c>
      <c r="H238" s="26">
        <v>3326309</v>
      </c>
      <c r="I238" s="26">
        <v>23189</v>
      </c>
      <c r="J238" s="26"/>
      <c r="K238" s="26"/>
      <c r="L238" s="26"/>
      <c r="M238" s="26"/>
      <c r="N238" s="25"/>
    </row>
    <row r="239" spans="1:14" x14ac:dyDescent="0.25">
      <c r="A239" s="24"/>
      <c r="B239" s="23" t="s">
        <v>246</v>
      </c>
      <c r="C239" s="23">
        <v>39123374</v>
      </c>
      <c r="D239" s="23">
        <v>54823</v>
      </c>
      <c r="E239" s="23">
        <v>877074</v>
      </c>
      <c r="F239" s="23">
        <v>1190</v>
      </c>
      <c r="G239" s="23">
        <v>31241350</v>
      </c>
      <c r="H239" s="23">
        <v>7004950</v>
      </c>
      <c r="I239" s="23">
        <v>16213</v>
      </c>
      <c r="J239" s="23"/>
      <c r="K239" s="23"/>
      <c r="L239" s="23"/>
      <c r="M239" s="23"/>
      <c r="N239" s="22"/>
    </row>
    <row r="240" spans="1:14" x14ac:dyDescent="0.25">
      <c r="B240" t="s">
        <v>247</v>
      </c>
      <c r="C240">
        <v>26560924</v>
      </c>
      <c r="D240">
        <v>144438</v>
      </c>
      <c r="E240">
        <v>722639</v>
      </c>
      <c r="F240">
        <v>3647</v>
      </c>
      <c r="G240">
        <v>24058962</v>
      </c>
      <c r="H240">
        <v>1779323</v>
      </c>
      <c r="I240">
        <v>28232</v>
      </c>
    </row>
    <row r="241" spans="2:9" x14ac:dyDescent="0.25">
      <c r="B241" t="s">
        <v>248</v>
      </c>
      <c r="C241">
        <v>4716548</v>
      </c>
      <c r="D241">
        <v>7910</v>
      </c>
      <c r="E241">
        <v>126189</v>
      </c>
      <c r="F241">
        <v>251</v>
      </c>
      <c r="G241">
        <v>4250540</v>
      </c>
      <c r="H241">
        <v>339819</v>
      </c>
      <c r="I241">
        <v>3019</v>
      </c>
    </row>
    <row r="242" spans="2:9" x14ac:dyDescent="0.25">
      <c r="B242" t="s">
        <v>249</v>
      </c>
      <c r="C242">
        <v>65891</v>
      </c>
      <c r="D242">
        <v>306</v>
      </c>
      <c r="E242">
        <v>1225</v>
      </c>
      <c r="F242">
        <v>3</v>
      </c>
      <c r="G242">
        <v>61387</v>
      </c>
      <c r="H242">
        <v>3279</v>
      </c>
      <c r="I242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FDA6-1595-4543-8991-2F2203698C64}">
  <sheetPr codeName="Sheet3"/>
  <dimension ref="A1:N24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3" bestFit="1" customWidth="1"/>
    <col min="5" max="5" width="14.42578125" bestFit="1" customWidth="1"/>
    <col min="6" max="6" width="14.140625" bestFit="1" customWidth="1"/>
    <col min="7" max="7" width="17.85546875" bestFit="1" customWidth="1"/>
    <col min="8" max="8" width="14.42578125" bestFit="1" customWidth="1"/>
    <col min="9" max="9" width="17.28515625" bestFit="1" customWidth="1"/>
    <col min="10" max="10" width="20" bestFit="1" customWidth="1"/>
    <col min="11" max="11" width="17.710937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1" t="s">
        <v>14</v>
      </c>
      <c r="C2">
        <v>33626097</v>
      </c>
      <c r="E2">
        <v>598540</v>
      </c>
      <c r="G2">
        <v>26667199</v>
      </c>
      <c r="H2">
        <v>6360358</v>
      </c>
      <c r="I2">
        <v>8611</v>
      </c>
      <c r="J2">
        <v>101076</v>
      </c>
      <c r="K2">
        <v>1799</v>
      </c>
      <c r="L2">
        <v>462795300</v>
      </c>
      <c r="M2">
        <v>1391111</v>
      </c>
      <c r="N2">
        <v>332680263</v>
      </c>
    </row>
    <row r="3" spans="1:14" x14ac:dyDescent="0.25">
      <c r="A3">
        <v>2</v>
      </c>
      <c r="B3" s="1" t="s">
        <v>15</v>
      </c>
      <c r="C3">
        <v>24046120</v>
      </c>
      <c r="E3">
        <v>262350</v>
      </c>
      <c r="G3">
        <v>20073367</v>
      </c>
      <c r="H3">
        <v>3710403</v>
      </c>
      <c r="I3">
        <v>8944</v>
      </c>
      <c r="J3">
        <v>17278</v>
      </c>
      <c r="K3">
        <v>189</v>
      </c>
      <c r="L3">
        <v>309448585</v>
      </c>
      <c r="M3">
        <v>222350</v>
      </c>
      <c r="N3">
        <v>1391716282</v>
      </c>
    </row>
    <row r="4" spans="1:14" x14ac:dyDescent="0.25">
      <c r="A4">
        <v>3</v>
      </c>
      <c r="B4" s="1" t="s">
        <v>16</v>
      </c>
      <c r="C4">
        <v>15436827</v>
      </c>
      <c r="E4">
        <v>430596</v>
      </c>
      <c r="G4">
        <v>13979329</v>
      </c>
      <c r="H4">
        <v>1026902</v>
      </c>
      <c r="I4">
        <v>8318</v>
      </c>
      <c r="J4">
        <v>72180</v>
      </c>
      <c r="K4">
        <v>2013</v>
      </c>
      <c r="L4">
        <v>46970130</v>
      </c>
      <c r="M4">
        <v>219625</v>
      </c>
      <c r="N4">
        <v>213864852</v>
      </c>
    </row>
    <row r="5" spans="1:14" x14ac:dyDescent="0.25">
      <c r="A5">
        <v>4</v>
      </c>
      <c r="B5" s="1" t="s">
        <v>17</v>
      </c>
      <c r="C5">
        <v>5841129</v>
      </c>
      <c r="E5">
        <v>107250</v>
      </c>
      <c r="G5">
        <v>4999079</v>
      </c>
      <c r="H5">
        <v>734800</v>
      </c>
      <c r="I5">
        <v>4442</v>
      </c>
      <c r="J5">
        <v>89316</v>
      </c>
      <c r="K5">
        <v>1640</v>
      </c>
      <c r="L5">
        <v>80214807</v>
      </c>
      <c r="M5">
        <v>1226555</v>
      </c>
      <c r="N5">
        <v>65398484</v>
      </c>
    </row>
    <row r="6" spans="1:14" x14ac:dyDescent="0.25">
      <c r="A6">
        <v>5</v>
      </c>
      <c r="B6" s="1" t="s">
        <v>18</v>
      </c>
      <c r="C6">
        <v>5083996</v>
      </c>
      <c r="E6">
        <v>44059</v>
      </c>
      <c r="G6">
        <v>4856763</v>
      </c>
      <c r="H6">
        <v>183174</v>
      </c>
      <c r="I6">
        <v>2765</v>
      </c>
      <c r="J6">
        <v>59726</v>
      </c>
      <c r="K6">
        <v>518</v>
      </c>
      <c r="L6">
        <v>50259943</v>
      </c>
      <c r="M6">
        <v>590444</v>
      </c>
      <c r="N6">
        <v>85122228</v>
      </c>
    </row>
    <row r="7" spans="1:14" x14ac:dyDescent="0.25">
      <c r="A7">
        <v>6</v>
      </c>
      <c r="B7" s="1" t="s">
        <v>19</v>
      </c>
      <c r="C7">
        <v>4913439</v>
      </c>
      <c r="E7">
        <v>114723</v>
      </c>
      <c r="G7">
        <v>4527878</v>
      </c>
      <c r="H7">
        <v>270838</v>
      </c>
      <c r="I7">
        <v>2300</v>
      </c>
      <c r="J7">
        <v>33656</v>
      </c>
      <c r="K7">
        <v>786</v>
      </c>
      <c r="L7">
        <v>132400000</v>
      </c>
      <c r="M7">
        <v>906920</v>
      </c>
      <c r="N7">
        <v>145988633</v>
      </c>
    </row>
    <row r="8" spans="1:14" x14ac:dyDescent="0.25">
      <c r="A8">
        <v>7</v>
      </c>
      <c r="B8" s="1" t="s">
        <v>20</v>
      </c>
      <c r="C8">
        <v>4444631</v>
      </c>
      <c r="E8">
        <v>127651</v>
      </c>
      <c r="G8">
        <v>4258298</v>
      </c>
      <c r="H8">
        <v>58682</v>
      </c>
      <c r="I8">
        <v>136</v>
      </c>
      <c r="J8">
        <v>65176</v>
      </c>
      <c r="K8">
        <v>1872</v>
      </c>
      <c r="L8">
        <v>169007195</v>
      </c>
      <c r="M8">
        <v>2478319</v>
      </c>
      <c r="N8">
        <v>68194286</v>
      </c>
    </row>
    <row r="9" spans="1:14" x14ac:dyDescent="0.25">
      <c r="A9">
        <v>8</v>
      </c>
      <c r="B9" s="1" t="s">
        <v>21</v>
      </c>
      <c r="C9">
        <v>4139160</v>
      </c>
      <c r="E9">
        <v>123745</v>
      </c>
      <c r="G9">
        <v>3669407</v>
      </c>
      <c r="H9">
        <v>346008</v>
      </c>
      <c r="I9">
        <v>1893</v>
      </c>
      <c r="J9">
        <v>68546</v>
      </c>
      <c r="K9">
        <v>2049</v>
      </c>
      <c r="L9">
        <v>62107222</v>
      </c>
      <c r="M9">
        <v>1028524</v>
      </c>
      <c r="N9">
        <v>60384820</v>
      </c>
    </row>
    <row r="10" spans="1:14" x14ac:dyDescent="0.25">
      <c r="A10">
        <v>9</v>
      </c>
      <c r="B10" s="1" t="s">
        <v>22</v>
      </c>
      <c r="C10">
        <v>3598452</v>
      </c>
      <c r="E10">
        <v>79281</v>
      </c>
      <c r="G10">
        <v>3297340</v>
      </c>
      <c r="H10">
        <v>221831</v>
      </c>
      <c r="I10">
        <v>1931</v>
      </c>
      <c r="J10">
        <v>76939</v>
      </c>
      <c r="K10">
        <v>1695</v>
      </c>
      <c r="L10">
        <v>47213067</v>
      </c>
      <c r="M10">
        <v>1009463</v>
      </c>
      <c r="N10">
        <v>46770455</v>
      </c>
    </row>
    <row r="11" spans="1:14" x14ac:dyDescent="0.25">
      <c r="A11">
        <v>10</v>
      </c>
      <c r="B11" s="1" t="s">
        <v>23</v>
      </c>
      <c r="C11">
        <v>3575644</v>
      </c>
      <c r="E11">
        <v>86276</v>
      </c>
      <c r="G11">
        <v>3240300</v>
      </c>
      <c r="H11">
        <v>249068</v>
      </c>
      <c r="I11">
        <v>5049</v>
      </c>
      <c r="J11">
        <v>42559</v>
      </c>
      <c r="K11">
        <v>1027</v>
      </c>
      <c r="L11">
        <v>58093759</v>
      </c>
      <c r="M11">
        <v>691463</v>
      </c>
      <c r="N11">
        <v>84015677</v>
      </c>
    </row>
    <row r="12" spans="1:14" x14ac:dyDescent="0.25">
      <c r="A12">
        <v>11</v>
      </c>
      <c r="B12" s="1" t="s">
        <v>24</v>
      </c>
      <c r="C12">
        <v>3242103</v>
      </c>
      <c r="E12">
        <v>69254</v>
      </c>
      <c r="G12">
        <v>2891435</v>
      </c>
      <c r="H12">
        <v>281414</v>
      </c>
      <c r="I12">
        <v>5420</v>
      </c>
      <c r="J12">
        <v>71171</v>
      </c>
      <c r="K12">
        <v>1520</v>
      </c>
      <c r="L12">
        <v>12142248</v>
      </c>
      <c r="M12">
        <v>266547</v>
      </c>
      <c r="N12">
        <v>45553852</v>
      </c>
    </row>
    <row r="13" spans="1:14" x14ac:dyDescent="0.25">
      <c r="A13">
        <v>12</v>
      </c>
      <c r="B13" s="1" t="s">
        <v>25</v>
      </c>
      <c r="C13">
        <v>3067879</v>
      </c>
      <c r="E13">
        <v>79760</v>
      </c>
      <c r="G13">
        <v>2874656</v>
      </c>
      <c r="H13">
        <v>113463</v>
      </c>
      <c r="I13">
        <v>6582</v>
      </c>
      <c r="J13">
        <v>59743</v>
      </c>
      <c r="K13">
        <v>1553</v>
      </c>
      <c r="L13">
        <v>15711926</v>
      </c>
      <c r="M13">
        <v>305972</v>
      </c>
      <c r="N13">
        <v>51350926</v>
      </c>
    </row>
    <row r="14" spans="1:14" x14ac:dyDescent="0.25">
      <c r="A14">
        <v>13</v>
      </c>
      <c r="B14" s="1" t="s">
        <v>26</v>
      </c>
      <c r="C14">
        <v>2845762</v>
      </c>
      <c r="E14">
        <v>71021</v>
      </c>
      <c r="G14">
        <v>2584751</v>
      </c>
      <c r="H14">
        <v>189990</v>
      </c>
      <c r="I14">
        <v>1772</v>
      </c>
      <c r="J14">
        <v>75263</v>
      </c>
      <c r="K14">
        <v>1878</v>
      </c>
      <c r="L14">
        <v>15017415</v>
      </c>
      <c r="M14">
        <v>397174</v>
      </c>
      <c r="N14">
        <v>37810712</v>
      </c>
    </row>
    <row r="15" spans="1:14" x14ac:dyDescent="0.25">
      <c r="A15">
        <v>14</v>
      </c>
      <c r="B15" s="1" t="s">
        <v>27</v>
      </c>
      <c r="C15">
        <v>2722007</v>
      </c>
      <c r="E15">
        <v>76231</v>
      </c>
      <c r="G15">
        <v>2179890</v>
      </c>
      <c r="H15">
        <v>465886</v>
      </c>
      <c r="I15">
        <v>5481</v>
      </c>
      <c r="J15">
        <v>32054</v>
      </c>
      <c r="K15">
        <v>898</v>
      </c>
      <c r="L15">
        <v>17616446</v>
      </c>
      <c r="M15">
        <v>207447</v>
      </c>
      <c r="N15">
        <v>84920057</v>
      </c>
    </row>
    <row r="16" spans="1:14" x14ac:dyDescent="0.25">
      <c r="A16">
        <v>15</v>
      </c>
      <c r="B16" s="1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18256</v>
      </c>
      <c r="K16">
        <v>1690</v>
      </c>
      <c r="L16">
        <v>6811363</v>
      </c>
      <c r="M16">
        <v>52354</v>
      </c>
      <c r="N16">
        <v>130101834</v>
      </c>
    </row>
    <row r="17" spans="1:14" x14ac:dyDescent="0.25">
      <c r="A17">
        <v>16</v>
      </c>
      <c r="B17" s="1" t="s">
        <v>29</v>
      </c>
      <c r="C17">
        <v>2135886</v>
      </c>
      <c r="E17">
        <v>47333</v>
      </c>
      <c r="G17">
        <v>1816643</v>
      </c>
      <c r="H17">
        <v>271910</v>
      </c>
      <c r="I17">
        <v>177</v>
      </c>
      <c r="J17">
        <v>49094</v>
      </c>
      <c r="K17">
        <v>1088</v>
      </c>
      <c r="L17">
        <v>9721036</v>
      </c>
      <c r="M17">
        <v>223442</v>
      </c>
      <c r="N17">
        <v>43505911</v>
      </c>
    </row>
    <row r="18" spans="1:14" x14ac:dyDescent="0.25">
      <c r="A18">
        <v>17</v>
      </c>
      <c r="B18" s="1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56141</v>
      </c>
      <c r="K18">
        <v>1957</v>
      </c>
      <c r="L18">
        <v>11901521</v>
      </c>
      <c r="M18">
        <v>356677</v>
      </c>
      <c r="N18">
        <v>33367789</v>
      </c>
    </row>
    <row r="19" spans="1:14" x14ac:dyDescent="0.25">
      <c r="A19">
        <v>18</v>
      </c>
      <c r="B19" s="1" t="s">
        <v>31</v>
      </c>
      <c r="C19">
        <v>1731652</v>
      </c>
      <c r="E19">
        <v>47716</v>
      </c>
      <c r="G19">
        <v>1589079</v>
      </c>
      <c r="H19">
        <v>94857</v>
      </c>
      <c r="J19">
        <v>6274</v>
      </c>
      <c r="K19">
        <v>173</v>
      </c>
      <c r="L19">
        <v>15410887</v>
      </c>
      <c r="M19">
        <v>55833</v>
      </c>
      <c r="N19">
        <v>276019737</v>
      </c>
    </row>
    <row r="20" spans="1:14" x14ac:dyDescent="0.25">
      <c r="A20">
        <v>19</v>
      </c>
      <c r="B20" s="1" t="s">
        <v>32</v>
      </c>
      <c r="C20">
        <v>1649947</v>
      </c>
      <c r="E20">
        <v>29825</v>
      </c>
      <c r="G20">
        <v>1587457</v>
      </c>
      <c r="H20">
        <v>32665</v>
      </c>
      <c r="I20">
        <v>337</v>
      </c>
      <c r="J20">
        <v>153824</v>
      </c>
      <c r="K20">
        <v>2781</v>
      </c>
      <c r="L20">
        <v>20767772</v>
      </c>
      <c r="M20">
        <v>1936177</v>
      </c>
      <c r="N20">
        <v>10726173</v>
      </c>
    </row>
    <row r="21" spans="1:14" x14ac:dyDescent="0.25">
      <c r="A21">
        <v>20</v>
      </c>
      <c r="B21" s="1" t="s">
        <v>33</v>
      </c>
      <c r="C21">
        <v>1605252</v>
      </c>
      <c r="E21">
        <v>55012</v>
      </c>
      <c r="G21">
        <v>1520878</v>
      </c>
      <c r="H21">
        <v>29362</v>
      </c>
      <c r="I21">
        <v>546</v>
      </c>
      <c r="J21">
        <v>26775</v>
      </c>
      <c r="K21">
        <v>918</v>
      </c>
      <c r="L21">
        <v>11010999</v>
      </c>
      <c r="M21">
        <v>183659</v>
      </c>
      <c r="N21">
        <v>59953584</v>
      </c>
    </row>
    <row r="22" spans="1:14" x14ac:dyDescent="0.25">
      <c r="A22">
        <v>21</v>
      </c>
      <c r="B22" s="1" t="s">
        <v>34</v>
      </c>
      <c r="C22">
        <v>1583767</v>
      </c>
      <c r="E22">
        <v>17413</v>
      </c>
      <c r="G22">
        <v>1346612</v>
      </c>
      <c r="H22">
        <v>219742</v>
      </c>
      <c r="I22">
        <v>716</v>
      </c>
      <c r="J22">
        <v>92253</v>
      </c>
      <c r="K22">
        <v>1014</v>
      </c>
      <c r="L22">
        <v>13171698</v>
      </c>
      <c r="M22">
        <v>767238</v>
      </c>
      <c r="N22">
        <v>17167676</v>
      </c>
    </row>
    <row r="23" spans="1:14" x14ac:dyDescent="0.25">
      <c r="A23">
        <v>22</v>
      </c>
      <c r="B23" s="1" t="s">
        <v>35</v>
      </c>
      <c r="C23">
        <v>1312414</v>
      </c>
      <c r="E23">
        <v>24825</v>
      </c>
      <c r="G23">
        <v>1212114</v>
      </c>
      <c r="H23">
        <v>75475</v>
      </c>
      <c r="I23">
        <v>1327</v>
      </c>
      <c r="J23">
        <v>34512</v>
      </c>
      <c r="K23">
        <v>653</v>
      </c>
      <c r="L23">
        <v>33130218</v>
      </c>
      <c r="M23">
        <v>871208</v>
      </c>
      <c r="N23">
        <v>38027907</v>
      </c>
    </row>
    <row r="24" spans="1:14" x14ac:dyDescent="0.25">
      <c r="A24">
        <v>23</v>
      </c>
      <c r="B24" s="1" t="s">
        <v>36</v>
      </c>
      <c r="C24">
        <v>1266601</v>
      </c>
      <c r="E24">
        <v>27520</v>
      </c>
      <c r="G24">
        <v>1204176</v>
      </c>
      <c r="H24">
        <v>34905</v>
      </c>
      <c r="I24">
        <v>2976</v>
      </c>
      <c r="J24">
        <v>65770</v>
      </c>
      <c r="K24">
        <v>1429</v>
      </c>
      <c r="L24">
        <v>13750280</v>
      </c>
      <c r="M24">
        <v>714007</v>
      </c>
      <c r="N24">
        <v>19257906</v>
      </c>
    </row>
    <row r="25" spans="1:14" x14ac:dyDescent="0.25">
      <c r="A25">
        <v>24</v>
      </c>
      <c r="B25" s="1" t="s">
        <v>37</v>
      </c>
      <c r="C25">
        <v>1132092</v>
      </c>
      <c r="E25">
        <v>15883</v>
      </c>
      <c r="G25">
        <v>1028627</v>
      </c>
      <c r="H25">
        <v>87582</v>
      </c>
      <c r="I25">
        <v>471</v>
      </c>
      <c r="J25">
        <v>27613</v>
      </c>
      <c r="K25">
        <v>387</v>
      </c>
      <c r="L25">
        <v>9817969</v>
      </c>
      <c r="M25">
        <v>239473</v>
      </c>
      <c r="N25">
        <v>40998203</v>
      </c>
    </row>
    <row r="26" spans="1:14" x14ac:dyDescent="0.25">
      <c r="A26">
        <v>25</v>
      </c>
      <c r="B26" s="1" t="s">
        <v>38</v>
      </c>
      <c r="C26">
        <v>1124724</v>
      </c>
      <c r="E26">
        <v>18821</v>
      </c>
      <c r="G26">
        <v>1050643</v>
      </c>
      <c r="H26">
        <v>55260</v>
      </c>
      <c r="I26">
        <v>750</v>
      </c>
      <c r="J26">
        <v>10147</v>
      </c>
      <c r="K26">
        <v>170</v>
      </c>
      <c r="L26">
        <v>12467422</v>
      </c>
      <c r="M26">
        <v>112483</v>
      </c>
      <c r="N26">
        <v>110838623</v>
      </c>
    </row>
    <row r="27" spans="1:14" x14ac:dyDescent="0.25">
      <c r="A27">
        <v>26</v>
      </c>
      <c r="B27" s="1" t="s">
        <v>39</v>
      </c>
      <c r="C27">
        <v>1069770</v>
      </c>
      <c r="E27">
        <v>29308</v>
      </c>
      <c r="G27">
        <v>1020194</v>
      </c>
      <c r="H27">
        <v>20268</v>
      </c>
      <c r="I27">
        <v>829</v>
      </c>
      <c r="J27">
        <v>55932</v>
      </c>
      <c r="K27">
        <v>1532</v>
      </c>
      <c r="L27">
        <v>8592149</v>
      </c>
      <c r="M27">
        <v>449230</v>
      </c>
      <c r="N27">
        <v>19126382</v>
      </c>
    </row>
    <row r="28" spans="1:14" x14ac:dyDescent="0.25">
      <c r="A28">
        <v>27</v>
      </c>
      <c r="B28" s="1" t="s">
        <v>40</v>
      </c>
      <c r="C28">
        <v>1027934</v>
      </c>
      <c r="E28">
        <v>14267</v>
      </c>
      <c r="G28">
        <v>871072</v>
      </c>
      <c r="H28">
        <v>142595</v>
      </c>
      <c r="I28">
        <v>346</v>
      </c>
      <c r="J28">
        <v>101238</v>
      </c>
      <c r="K28">
        <v>1405</v>
      </c>
      <c r="L28">
        <v>8798383</v>
      </c>
      <c r="M28">
        <v>866521</v>
      </c>
      <c r="N28">
        <v>10153687</v>
      </c>
    </row>
    <row r="29" spans="1:14" x14ac:dyDescent="0.25">
      <c r="A29">
        <v>28</v>
      </c>
      <c r="B29" s="1" t="s">
        <v>41</v>
      </c>
      <c r="C29">
        <v>1023583</v>
      </c>
      <c r="E29">
        <v>24630</v>
      </c>
      <c r="G29">
        <v>897904</v>
      </c>
      <c r="H29">
        <v>101049</v>
      </c>
      <c r="I29">
        <v>657</v>
      </c>
      <c r="J29">
        <v>87988</v>
      </c>
      <c r="K29">
        <v>2117</v>
      </c>
      <c r="L29">
        <v>13125499</v>
      </c>
      <c r="M29">
        <v>1128276</v>
      </c>
      <c r="N29">
        <v>11633238</v>
      </c>
    </row>
    <row r="30" spans="1:14" x14ac:dyDescent="0.25">
      <c r="A30">
        <v>29</v>
      </c>
      <c r="B30" s="1" t="s">
        <v>42</v>
      </c>
      <c r="C30">
        <v>870703</v>
      </c>
      <c r="E30">
        <v>19336</v>
      </c>
      <c r="G30">
        <v>776315</v>
      </c>
      <c r="H30">
        <v>75052</v>
      </c>
      <c r="I30">
        <v>4567</v>
      </c>
      <c r="J30">
        <v>3877</v>
      </c>
      <c r="K30">
        <v>86</v>
      </c>
      <c r="L30">
        <v>12349976</v>
      </c>
      <c r="M30">
        <v>54991</v>
      </c>
      <c r="N30">
        <v>224582574</v>
      </c>
    </row>
    <row r="31" spans="1:14" x14ac:dyDescent="0.25">
      <c r="A31">
        <v>30</v>
      </c>
      <c r="B31" s="1" t="s">
        <v>43</v>
      </c>
      <c r="C31">
        <v>840929</v>
      </c>
      <c r="E31">
        <v>16999</v>
      </c>
      <c r="G31">
        <v>801961</v>
      </c>
      <c r="H31">
        <v>21969</v>
      </c>
      <c r="I31">
        <v>70</v>
      </c>
      <c r="J31">
        <v>82680</v>
      </c>
      <c r="K31">
        <v>1671</v>
      </c>
      <c r="L31">
        <v>11052822</v>
      </c>
      <c r="M31">
        <v>1086705</v>
      </c>
      <c r="N31">
        <v>10170947</v>
      </c>
    </row>
    <row r="32" spans="1:14" x14ac:dyDescent="0.25">
      <c r="A32">
        <v>31</v>
      </c>
      <c r="B32" s="1" t="s">
        <v>44</v>
      </c>
      <c r="C32">
        <v>839059</v>
      </c>
      <c r="E32">
        <v>6379</v>
      </c>
      <c r="G32">
        <v>831888</v>
      </c>
      <c r="H32">
        <v>792</v>
      </c>
      <c r="I32">
        <v>67</v>
      </c>
      <c r="J32">
        <v>91226</v>
      </c>
      <c r="K32">
        <v>694</v>
      </c>
      <c r="L32">
        <v>14466175</v>
      </c>
      <c r="M32">
        <v>1572822</v>
      </c>
      <c r="N32">
        <v>9197590</v>
      </c>
    </row>
    <row r="33" spans="1:14" x14ac:dyDescent="0.25">
      <c r="A33">
        <v>32</v>
      </c>
      <c r="B33" s="1" t="s">
        <v>45</v>
      </c>
      <c r="C33">
        <v>795200</v>
      </c>
      <c r="E33">
        <v>28970</v>
      </c>
      <c r="G33">
        <v>600461</v>
      </c>
      <c r="H33">
        <v>165769</v>
      </c>
      <c r="I33">
        <v>354</v>
      </c>
      <c r="J33">
        <v>82497</v>
      </c>
      <c r="K33">
        <v>3005</v>
      </c>
      <c r="L33">
        <v>5588435</v>
      </c>
      <c r="M33">
        <v>579767</v>
      </c>
      <c r="N33">
        <v>9639099</v>
      </c>
    </row>
    <row r="34" spans="1:14" x14ac:dyDescent="0.25">
      <c r="A34">
        <v>33</v>
      </c>
      <c r="B34" s="1" t="s">
        <v>46</v>
      </c>
      <c r="C34">
        <v>778687</v>
      </c>
      <c r="E34">
        <v>12076</v>
      </c>
      <c r="G34">
        <v>719619</v>
      </c>
      <c r="H34">
        <v>46992</v>
      </c>
      <c r="I34">
        <v>1149</v>
      </c>
      <c r="J34">
        <v>4688</v>
      </c>
      <c r="K34">
        <v>73</v>
      </c>
      <c r="L34">
        <v>5690693</v>
      </c>
      <c r="M34">
        <v>34259</v>
      </c>
      <c r="N34">
        <v>166105663</v>
      </c>
    </row>
    <row r="35" spans="1:14" x14ac:dyDescent="0.25">
      <c r="A35">
        <v>34</v>
      </c>
      <c r="B35" s="1" t="s">
        <v>47</v>
      </c>
      <c r="C35">
        <v>722754</v>
      </c>
      <c r="E35">
        <v>9203</v>
      </c>
      <c r="G35">
        <v>710410</v>
      </c>
      <c r="H35">
        <v>3141</v>
      </c>
      <c r="I35">
        <v>729</v>
      </c>
      <c r="J35">
        <v>70235</v>
      </c>
      <c r="K35">
        <v>894</v>
      </c>
      <c r="L35">
        <v>6903678</v>
      </c>
      <c r="M35">
        <v>670874</v>
      </c>
      <c r="N35">
        <v>10290568</v>
      </c>
    </row>
    <row r="36" spans="1:14" x14ac:dyDescent="0.25">
      <c r="A36">
        <v>35</v>
      </c>
      <c r="B36" s="1" t="s">
        <v>48</v>
      </c>
      <c r="C36">
        <v>704398</v>
      </c>
      <c r="E36">
        <v>6629</v>
      </c>
      <c r="G36">
        <v>671361</v>
      </c>
      <c r="H36">
        <v>26408</v>
      </c>
      <c r="I36">
        <v>98</v>
      </c>
      <c r="J36">
        <v>80901</v>
      </c>
      <c r="K36">
        <v>761</v>
      </c>
      <c r="L36">
        <v>3977053</v>
      </c>
      <c r="M36">
        <v>456772</v>
      </c>
      <c r="N36">
        <v>8706867</v>
      </c>
    </row>
    <row r="37" spans="1:14" x14ac:dyDescent="0.25">
      <c r="A37">
        <v>36</v>
      </c>
      <c r="B37" s="1" t="s">
        <v>49</v>
      </c>
      <c r="C37">
        <v>677210</v>
      </c>
      <c r="E37">
        <v>10728</v>
      </c>
      <c r="G37">
        <v>612471</v>
      </c>
      <c r="H37">
        <v>54011</v>
      </c>
      <c r="I37">
        <v>190</v>
      </c>
      <c r="J37">
        <v>77757</v>
      </c>
      <c r="K37">
        <v>1232</v>
      </c>
      <c r="L37">
        <v>7216520</v>
      </c>
      <c r="M37">
        <v>828599</v>
      </c>
      <c r="N37">
        <v>8709301</v>
      </c>
    </row>
    <row r="38" spans="1:14" x14ac:dyDescent="0.25">
      <c r="A38">
        <v>37</v>
      </c>
      <c r="B38" s="1" t="s">
        <v>50</v>
      </c>
      <c r="C38">
        <v>658629</v>
      </c>
      <c r="E38">
        <v>11165</v>
      </c>
      <c r="G38">
        <v>573913</v>
      </c>
      <c r="H38">
        <v>73551</v>
      </c>
      <c r="I38">
        <v>1214</v>
      </c>
      <c r="J38">
        <v>5221</v>
      </c>
      <c r="K38">
        <v>89</v>
      </c>
      <c r="L38">
        <v>12789711</v>
      </c>
      <c r="M38">
        <v>101392</v>
      </c>
      <c r="N38">
        <v>126140961</v>
      </c>
    </row>
    <row r="39" spans="1:14" x14ac:dyDescent="0.25">
      <c r="A39">
        <v>38</v>
      </c>
      <c r="B39" s="1" t="s">
        <v>51</v>
      </c>
      <c r="C39">
        <v>634893</v>
      </c>
      <c r="E39">
        <v>10444</v>
      </c>
      <c r="G39">
        <v>611254</v>
      </c>
      <c r="H39">
        <v>13195</v>
      </c>
      <c r="I39">
        <v>316</v>
      </c>
      <c r="J39">
        <v>70148</v>
      </c>
      <c r="K39">
        <v>1154</v>
      </c>
      <c r="L39">
        <v>35798712</v>
      </c>
      <c r="M39">
        <v>3955302</v>
      </c>
      <c r="N39">
        <v>9050816</v>
      </c>
    </row>
    <row r="40" spans="1:14" x14ac:dyDescent="0.25">
      <c r="A40">
        <v>39</v>
      </c>
      <c r="B40" s="1" t="s">
        <v>52</v>
      </c>
      <c r="C40">
        <v>542158</v>
      </c>
      <c r="E40">
        <v>1623</v>
      </c>
      <c r="G40">
        <v>522356</v>
      </c>
      <c r="H40">
        <v>18179</v>
      </c>
      <c r="J40">
        <v>54251</v>
      </c>
      <c r="K40">
        <v>162</v>
      </c>
      <c r="L40">
        <v>46613437</v>
      </c>
      <c r="M40">
        <v>4664386</v>
      </c>
      <c r="N40">
        <v>9993478</v>
      </c>
    </row>
    <row r="41" spans="1:14" x14ac:dyDescent="0.25">
      <c r="A41">
        <v>40</v>
      </c>
      <c r="B41" s="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78684</v>
      </c>
      <c r="K41">
        <v>1113</v>
      </c>
      <c r="L41">
        <v>4163257</v>
      </c>
      <c r="M41">
        <v>612338</v>
      </c>
      <c r="N41">
        <v>6798949</v>
      </c>
    </row>
    <row r="42" spans="1:14" x14ac:dyDescent="0.25">
      <c r="A42">
        <v>41</v>
      </c>
      <c r="B42" s="1" t="s">
        <v>54</v>
      </c>
      <c r="C42">
        <v>514670</v>
      </c>
      <c r="E42">
        <v>9091</v>
      </c>
      <c r="G42">
        <v>502205</v>
      </c>
      <c r="H42">
        <v>3374</v>
      </c>
      <c r="I42">
        <v>96</v>
      </c>
      <c r="J42">
        <v>13803</v>
      </c>
      <c r="K42">
        <v>244</v>
      </c>
      <c r="L42">
        <v>6367171</v>
      </c>
      <c r="M42">
        <v>170757</v>
      </c>
      <c r="N42">
        <v>37287963</v>
      </c>
    </row>
    <row r="43" spans="1:14" x14ac:dyDescent="0.25">
      <c r="A43">
        <v>42</v>
      </c>
      <c r="B43" s="1" t="s">
        <v>55</v>
      </c>
      <c r="C43">
        <v>458077</v>
      </c>
      <c r="E43">
        <v>1788</v>
      </c>
      <c r="G43">
        <v>414707</v>
      </c>
      <c r="H43">
        <v>41582</v>
      </c>
      <c r="I43">
        <v>481</v>
      </c>
      <c r="J43">
        <v>13998</v>
      </c>
      <c r="K43">
        <v>55</v>
      </c>
      <c r="L43">
        <v>10341089</v>
      </c>
      <c r="M43">
        <v>316013</v>
      </c>
      <c r="N43">
        <v>32723609</v>
      </c>
    </row>
    <row r="44" spans="1:14" x14ac:dyDescent="0.25">
      <c r="A44">
        <v>43</v>
      </c>
      <c r="B44" s="1" t="s">
        <v>56</v>
      </c>
      <c r="C44">
        <v>431191</v>
      </c>
      <c r="E44">
        <v>4466</v>
      </c>
      <c r="G44">
        <v>321518</v>
      </c>
      <c r="H44">
        <v>105207</v>
      </c>
      <c r="J44">
        <v>14573</v>
      </c>
      <c r="K44">
        <v>151</v>
      </c>
      <c r="L44">
        <v>2712562</v>
      </c>
      <c r="M44">
        <v>91678</v>
      </c>
      <c r="N44">
        <v>29587919</v>
      </c>
    </row>
    <row r="45" spans="1:14" x14ac:dyDescent="0.25">
      <c r="A45">
        <v>44</v>
      </c>
      <c r="B45" s="1" t="s">
        <v>57</v>
      </c>
      <c r="C45">
        <v>430505</v>
      </c>
      <c r="E45">
        <v>7122</v>
      </c>
      <c r="G45">
        <v>414139</v>
      </c>
      <c r="H45">
        <v>9244</v>
      </c>
      <c r="I45">
        <v>1344</v>
      </c>
      <c r="J45">
        <v>12202</v>
      </c>
      <c r="K45">
        <v>202</v>
      </c>
      <c r="L45">
        <v>17812376</v>
      </c>
      <c r="M45">
        <v>504872</v>
      </c>
      <c r="N45">
        <v>35280979</v>
      </c>
    </row>
    <row r="46" spans="1:14" x14ac:dyDescent="0.25">
      <c r="A46">
        <v>45</v>
      </c>
      <c r="B46" s="1" t="s">
        <v>58</v>
      </c>
      <c r="C46">
        <v>413320</v>
      </c>
      <c r="E46">
        <v>17194</v>
      </c>
      <c r="G46">
        <v>360002</v>
      </c>
      <c r="H46">
        <v>36124</v>
      </c>
      <c r="I46">
        <v>516</v>
      </c>
      <c r="J46">
        <v>59875</v>
      </c>
      <c r="K46">
        <v>2491</v>
      </c>
      <c r="L46">
        <v>2642503</v>
      </c>
      <c r="M46">
        <v>382801</v>
      </c>
      <c r="N46">
        <v>6903067</v>
      </c>
    </row>
    <row r="47" spans="1:14" x14ac:dyDescent="0.25">
      <c r="A47">
        <v>46</v>
      </c>
      <c r="B47" s="1" t="s">
        <v>59</v>
      </c>
      <c r="C47">
        <v>405783</v>
      </c>
      <c r="E47">
        <v>19442</v>
      </c>
      <c r="G47">
        <v>342878</v>
      </c>
      <c r="H47">
        <v>43463</v>
      </c>
      <c r="I47">
        <v>594</v>
      </c>
      <c r="J47">
        <v>22703</v>
      </c>
      <c r="K47">
        <v>1088</v>
      </c>
      <c r="L47">
        <v>1355202</v>
      </c>
      <c r="M47">
        <v>75820</v>
      </c>
      <c r="N47">
        <v>17873899</v>
      </c>
    </row>
    <row r="48" spans="1:14" x14ac:dyDescent="0.25">
      <c r="A48">
        <v>47</v>
      </c>
      <c r="B48" s="1" t="s">
        <v>60</v>
      </c>
      <c r="C48">
        <v>386868</v>
      </c>
      <c r="E48">
        <v>12135</v>
      </c>
      <c r="G48">
        <v>369609</v>
      </c>
      <c r="H48">
        <v>5124</v>
      </c>
      <c r="I48">
        <v>225</v>
      </c>
      <c r="J48">
        <v>70830</v>
      </c>
      <c r="K48">
        <v>2222</v>
      </c>
      <c r="L48">
        <v>2745856</v>
      </c>
      <c r="M48">
        <v>502726</v>
      </c>
      <c r="N48">
        <v>5461931</v>
      </c>
    </row>
    <row r="49" spans="1:14" x14ac:dyDescent="0.25">
      <c r="A49">
        <v>48</v>
      </c>
      <c r="B49" s="1" t="s">
        <v>61</v>
      </c>
      <c r="C49">
        <v>372242</v>
      </c>
      <c r="E49">
        <v>2671</v>
      </c>
      <c r="G49">
        <v>362806</v>
      </c>
      <c r="H49">
        <v>6765</v>
      </c>
      <c r="J49">
        <v>39405</v>
      </c>
      <c r="K49">
        <v>283</v>
      </c>
      <c r="L49">
        <v>6036143</v>
      </c>
      <c r="M49">
        <v>638973</v>
      </c>
      <c r="N49">
        <v>9446632</v>
      </c>
    </row>
    <row r="50" spans="1:14" x14ac:dyDescent="0.25">
      <c r="A50">
        <v>49</v>
      </c>
      <c r="B50" s="1" t="s">
        <v>62</v>
      </c>
      <c r="C50">
        <v>371712</v>
      </c>
      <c r="E50">
        <v>11266</v>
      </c>
      <c r="G50">
        <v>333892</v>
      </c>
      <c r="H50">
        <v>26554</v>
      </c>
      <c r="I50">
        <v>683</v>
      </c>
      <c r="J50">
        <v>35814</v>
      </c>
      <c r="K50">
        <v>1085</v>
      </c>
      <c r="L50">
        <v>8707677</v>
      </c>
      <c r="M50">
        <v>838978</v>
      </c>
      <c r="N50">
        <v>10378916</v>
      </c>
    </row>
    <row r="51" spans="1:14" x14ac:dyDescent="0.25">
      <c r="A51">
        <v>50</v>
      </c>
      <c r="B51" s="1" t="s">
        <v>63</v>
      </c>
      <c r="C51">
        <v>369455</v>
      </c>
      <c r="E51">
        <v>6288</v>
      </c>
      <c r="G51">
        <v>358358</v>
      </c>
      <c r="H51">
        <v>4809</v>
      </c>
      <c r="I51">
        <v>105</v>
      </c>
      <c r="J51">
        <v>84480</v>
      </c>
      <c r="K51">
        <v>1438</v>
      </c>
      <c r="L51">
        <v>2497125</v>
      </c>
      <c r="M51">
        <v>570996</v>
      </c>
      <c r="N51">
        <v>4373282</v>
      </c>
    </row>
    <row r="52" spans="1:14" x14ac:dyDescent="0.25">
      <c r="A52">
        <v>51</v>
      </c>
      <c r="B52" s="1" t="s">
        <v>64</v>
      </c>
      <c r="C52">
        <v>350591</v>
      </c>
      <c r="E52">
        <v>3984</v>
      </c>
      <c r="G52">
        <v>307464</v>
      </c>
      <c r="H52">
        <v>39143</v>
      </c>
      <c r="I52">
        <v>221</v>
      </c>
      <c r="J52">
        <v>18481</v>
      </c>
      <c r="K52">
        <v>210</v>
      </c>
      <c r="L52">
        <v>10691113</v>
      </c>
      <c r="M52">
        <v>563567</v>
      </c>
      <c r="N52">
        <v>18970446</v>
      </c>
    </row>
    <row r="53" spans="1:14" x14ac:dyDescent="0.25">
      <c r="A53">
        <v>52</v>
      </c>
      <c r="B53" s="1" t="s">
        <v>65</v>
      </c>
      <c r="C53">
        <v>348158</v>
      </c>
      <c r="E53">
        <v>7623</v>
      </c>
      <c r="G53">
        <v>332669</v>
      </c>
      <c r="H53">
        <v>7866</v>
      </c>
      <c r="I53">
        <v>202</v>
      </c>
      <c r="J53">
        <v>85264</v>
      </c>
      <c r="K53">
        <v>1867</v>
      </c>
      <c r="L53">
        <v>1906407</v>
      </c>
      <c r="M53">
        <v>466878</v>
      </c>
      <c r="N53">
        <v>4083312</v>
      </c>
    </row>
    <row r="54" spans="1:14" x14ac:dyDescent="0.25">
      <c r="A54">
        <v>53</v>
      </c>
      <c r="B54" s="1" t="s">
        <v>66</v>
      </c>
      <c r="C54">
        <v>328668</v>
      </c>
      <c r="E54">
        <v>4742</v>
      </c>
      <c r="G54">
        <v>311198</v>
      </c>
      <c r="H54">
        <v>12728</v>
      </c>
      <c r="J54">
        <v>32165</v>
      </c>
      <c r="K54">
        <v>464</v>
      </c>
      <c r="L54">
        <v>3360900</v>
      </c>
      <c r="M54">
        <v>328917</v>
      </c>
      <c r="N54">
        <v>10218087</v>
      </c>
    </row>
    <row r="55" spans="1:14" x14ac:dyDescent="0.25">
      <c r="A55">
        <v>54</v>
      </c>
      <c r="B55" s="1" t="s">
        <v>67</v>
      </c>
      <c r="C55">
        <v>326441</v>
      </c>
      <c r="E55">
        <v>4379</v>
      </c>
      <c r="G55">
        <v>306264</v>
      </c>
      <c r="H55">
        <v>15798</v>
      </c>
      <c r="J55">
        <v>81968</v>
      </c>
      <c r="K55">
        <v>1100</v>
      </c>
      <c r="L55">
        <v>4473163</v>
      </c>
      <c r="M55">
        <v>1123195</v>
      </c>
      <c r="N55">
        <v>3982534</v>
      </c>
    </row>
    <row r="56" spans="1:14" x14ac:dyDescent="0.25">
      <c r="A56">
        <v>55</v>
      </c>
      <c r="B56" s="1" t="s">
        <v>68</v>
      </c>
      <c r="C56">
        <v>324868</v>
      </c>
      <c r="E56">
        <v>13345</v>
      </c>
      <c r="G56">
        <v>266512</v>
      </c>
      <c r="H56">
        <v>45011</v>
      </c>
      <c r="I56">
        <v>158</v>
      </c>
      <c r="J56">
        <v>27507</v>
      </c>
      <c r="K56">
        <v>1130</v>
      </c>
      <c r="L56">
        <v>1275910</v>
      </c>
      <c r="M56">
        <v>108034</v>
      </c>
      <c r="N56">
        <v>11810296</v>
      </c>
    </row>
    <row r="57" spans="1:14" x14ac:dyDescent="0.25">
      <c r="A57">
        <v>56</v>
      </c>
      <c r="B57" s="1" t="s">
        <v>69</v>
      </c>
      <c r="C57">
        <v>324823</v>
      </c>
      <c r="E57">
        <v>11693</v>
      </c>
      <c r="G57">
        <v>284754</v>
      </c>
      <c r="H57">
        <v>28376</v>
      </c>
      <c r="I57">
        <v>445</v>
      </c>
      <c r="J57">
        <v>27238</v>
      </c>
      <c r="K57">
        <v>981</v>
      </c>
      <c r="L57">
        <v>1378729</v>
      </c>
      <c r="M57">
        <v>115613</v>
      </c>
      <c r="N57">
        <v>11925349</v>
      </c>
    </row>
    <row r="58" spans="1:14" x14ac:dyDescent="0.25">
      <c r="A58">
        <v>57</v>
      </c>
      <c r="B58" s="1" t="s">
        <v>70</v>
      </c>
      <c r="C58">
        <v>307457</v>
      </c>
      <c r="E58">
        <v>7427</v>
      </c>
      <c r="G58">
        <v>254360</v>
      </c>
      <c r="H58">
        <v>45670</v>
      </c>
      <c r="I58">
        <v>592</v>
      </c>
      <c r="J58">
        <v>42654</v>
      </c>
      <c r="K58">
        <v>1030</v>
      </c>
      <c r="L58">
        <v>1176104</v>
      </c>
      <c r="M58">
        <v>163164</v>
      </c>
      <c r="N58">
        <v>7208106</v>
      </c>
    </row>
    <row r="59" spans="1:14" x14ac:dyDescent="0.25">
      <c r="A59">
        <v>58</v>
      </c>
      <c r="B59" s="1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58284</v>
      </c>
      <c r="K59">
        <v>654</v>
      </c>
      <c r="L59">
        <v>1784690</v>
      </c>
      <c r="M59">
        <v>342992</v>
      </c>
      <c r="N59">
        <v>5203302</v>
      </c>
    </row>
    <row r="60" spans="1:14" x14ac:dyDescent="0.25">
      <c r="A60">
        <v>59</v>
      </c>
      <c r="B60" s="1" t="s">
        <v>72</v>
      </c>
      <c r="C60">
        <v>289243</v>
      </c>
      <c r="E60">
        <v>1674</v>
      </c>
      <c r="G60">
        <v>274554</v>
      </c>
      <c r="H60">
        <v>13015</v>
      </c>
      <c r="I60">
        <v>197</v>
      </c>
      <c r="J60">
        <v>66877</v>
      </c>
      <c r="K60">
        <v>387</v>
      </c>
      <c r="L60">
        <v>2438929</v>
      </c>
      <c r="M60">
        <v>563914</v>
      </c>
      <c r="N60">
        <v>4324999</v>
      </c>
    </row>
    <row r="61" spans="1:14" x14ac:dyDescent="0.25">
      <c r="A61">
        <v>60</v>
      </c>
      <c r="B61" s="1" t="s">
        <v>73</v>
      </c>
      <c r="C61">
        <v>279926</v>
      </c>
      <c r="E61">
        <v>3514</v>
      </c>
      <c r="G61">
        <v>219105</v>
      </c>
      <c r="H61">
        <v>57307</v>
      </c>
      <c r="I61">
        <v>482</v>
      </c>
      <c r="J61">
        <v>54521</v>
      </c>
      <c r="K61">
        <v>684</v>
      </c>
      <c r="L61">
        <v>1083035</v>
      </c>
      <c r="M61">
        <v>210942</v>
      </c>
      <c r="N61">
        <v>5134282</v>
      </c>
    </row>
    <row r="62" spans="1:14" x14ac:dyDescent="0.25">
      <c r="A62">
        <v>61</v>
      </c>
      <c r="B62" s="1" t="s">
        <v>74</v>
      </c>
      <c r="C62">
        <v>274319</v>
      </c>
      <c r="E62">
        <v>3560</v>
      </c>
      <c r="G62">
        <v>232625</v>
      </c>
      <c r="H62">
        <v>38134</v>
      </c>
      <c r="I62">
        <v>242</v>
      </c>
      <c r="J62">
        <v>25071</v>
      </c>
      <c r="K62">
        <v>325</v>
      </c>
      <c r="L62">
        <v>1461677</v>
      </c>
      <c r="M62">
        <v>133586</v>
      </c>
      <c r="N62">
        <v>10941808</v>
      </c>
    </row>
    <row r="63" spans="1:14" x14ac:dyDescent="0.25">
      <c r="A63">
        <v>62</v>
      </c>
      <c r="B63" s="1" t="s">
        <v>75</v>
      </c>
      <c r="C63">
        <v>264960</v>
      </c>
      <c r="E63">
        <v>3951</v>
      </c>
      <c r="G63">
        <v>215734</v>
      </c>
      <c r="H63">
        <v>45275</v>
      </c>
      <c r="I63">
        <v>653</v>
      </c>
      <c r="J63">
        <v>2257</v>
      </c>
      <c r="K63">
        <v>34</v>
      </c>
      <c r="L63">
        <v>2640295</v>
      </c>
      <c r="M63">
        <v>22488</v>
      </c>
      <c r="N63">
        <v>117408852</v>
      </c>
    </row>
    <row r="64" spans="1:14" x14ac:dyDescent="0.25">
      <c r="A64">
        <v>63</v>
      </c>
      <c r="B64" s="1" t="s">
        <v>76</v>
      </c>
      <c r="C64">
        <v>263514</v>
      </c>
      <c r="E64">
        <v>2499</v>
      </c>
      <c r="G64">
        <v>248683</v>
      </c>
      <c r="H64">
        <v>12332</v>
      </c>
      <c r="I64">
        <v>36</v>
      </c>
      <c r="J64">
        <v>45356</v>
      </c>
      <c r="K64">
        <v>430</v>
      </c>
      <c r="L64">
        <v>45170604</v>
      </c>
      <c r="M64">
        <v>7774839</v>
      </c>
      <c r="N64">
        <v>5809844</v>
      </c>
    </row>
    <row r="65" spans="1:14" x14ac:dyDescent="0.25">
      <c r="A65">
        <v>64</v>
      </c>
      <c r="B65" s="1" t="s">
        <v>77</v>
      </c>
      <c r="C65">
        <v>262335</v>
      </c>
      <c r="E65">
        <v>4071</v>
      </c>
      <c r="G65">
        <v>236442</v>
      </c>
      <c r="H65">
        <v>21822</v>
      </c>
      <c r="I65">
        <v>158</v>
      </c>
      <c r="J65">
        <v>97548</v>
      </c>
      <c r="K65">
        <v>1514</v>
      </c>
      <c r="L65">
        <v>3048832</v>
      </c>
      <c r="M65">
        <v>1133697</v>
      </c>
      <c r="N65">
        <v>2689283</v>
      </c>
    </row>
    <row r="66" spans="1:14" x14ac:dyDescent="0.25">
      <c r="A66">
        <v>65</v>
      </c>
      <c r="B66" s="1" t="s">
        <v>78</v>
      </c>
      <c r="C66">
        <v>254450</v>
      </c>
      <c r="E66">
        <v>4937</v>
      </c>
      <c r="G66">
        <v>236747</v>
      </c>
      <c r="H66">
        <v>12766</v>
      </c>
      <c r="I66">
        <v>36</v>
      </c>
      <c r="J66">
        <v>51039</v>
      </c>
      <c r="K66">
        <v>990</v>
      </c>
      <c r="L66">
        <v>4729538</v>
      </c>
      <c r="M66">
        <v>948682</v>
      </c>
      <c r="N66">
        <v>4985377</v>
      </c>
    </row>
    <row r="67" spans="1:14" x14ac:dyDescent="0.25">
      <c r="A67">
        <v>66</v>
      </c>
      <c r="B67" s="1" t="s">
        <v>79</v>
      </c>
      <c r="C67">
        <v>253386</v>
      </c>
      <c r="E67">
        <v>5995</v>
      </c>
      <c r="G67">
        <v>244298</v>
      </c>
      <c r="H67">
        <v>3093</v>
      </c>
      <c r="I67">
        <v>171</v>
      </c>
      <c r="J67">
        <v>62940</v>
      </c>
      <c r="K67">
        <v>1489</v>
      </c>
      <c r="L67">
        <v>1033892</v>
      </c>
      <c r="M67">
        <v>256814</v>
      </c>
      <c r="N67">
        <v>4025841</v>
      </c>
    </row>
    <row r="68" spans="1:14" x14ac:dyDescent="0.25">
      <c r="A68">
        <v>67</v>
      </c>
      <c r="B68" s="1" t="s">
        <v>80</v>
      </c>
      <c r="C68">
        <v>248046</v>
      </c>
      <c r="E68">
        <v>4308</v>
      </c>
      <c r="G68">
        <v>235106</v>
      </c>
      <c r="H68">
        <v>8632</v>
      </c>
      <c r="I68">
        <v>124</v>
      </c>
      <c r="J68">
        <v>119300</v>
      </c>
      <c r="K68">
        <v>2072</v>
      </c>
      <c r="L68">
        <v>1220132</v>
      </c>
      <c r="M68">
        <v>586832</v>
      </c>
      <c r="N68">
        <v>2079185</v>
      </c>
    </row>
    <row r="69" spans="1:14" x14ac:dyDescent="0.25">
      <c r="A69">
        <v>68</v>
      </c>
      <c r="B69" s="1" t="s">
        <v>81</v>
      </c>
      <c r="C69">
        <v>242120</v>
      </c>
      <c r="E69">
        <v>14150</v>
      </c>
      <c r="G69">
        <v>179261</v>
      </c>
      <c r="H69">
        <v>48709</v>
      </c>
      <c r="I69">
        <v>90</v>
      </c>
      <c r="J69">
        <v>2328</v>
      </c>
      <c r="K69">
        <v>136</v>
      </c>
      <c r="L69">
        <v>2715258</v>
      </c>
      <c r="M69">
        <v>26109</v>
      </c>
      <c r="N69">
        <v>103995350</v>
      </c>
    </row>
    <row r="70" spans="1:14" x14ac:dyDescent="0.25">
      <c r="A70">
        <v>69</v>
      </c>
      <c r="B70" s="1" t="s">
        <v>82</v>
      </c>
      <c r="C70">
        <v>238787</v>
      </c>
      <c r="E70">
        <v>7832</v>
      </c>
      <c r="G70">
        <v>218321</v>
      </c>
      <c r="H70">
        <v>12634</v>
      </c>
      <c r="I70">
        <v>5</v>
      </c>
      <c r="J70">
        <v>13120</v>
      </c>
      <c r="K70">
        <v>430</v>
      </c>
      <c r="L70">
        <v>1322009</v>
      </c>
      <c r="M70">
        <v>72635</v>
      </c>
      <c r="N70">
        <v>18200794</v>
      </c>
    </row>
    <row r="71" spans="1:14" x14ac:dyDescent="0.25">
      <c r="A71">
        <v>70</v>
      </c>
      <c r="B71" s="1" t="s">
        <v>83</v>
      </c>
      <c r="C71">
        <v>231901</v>
      </c>
      <c r="E71">
        <v>3318</v>
      </c>
      <c r="G71">
        <v>201367</v>
      </c>
      <c r="H71">
        <v>27216</v>
      </c>
      <c r="I71">
        <v>511</v>
      </c>
      <c r="J71">
        <v>66559</v>
      </c>
      <c r="K71">
        <v>952</v>
      </c>
      <c r="L71">
        <v>1965821</v>
      </c>
      <c r="M71">
        <v>564219</v>
      </c>
      <c r="N71">
        <v>3484143</v>
      </c>
    </row>
    <row r="72" spans="1:14" x14ac:dyDescent="0.25">
      <c r="A72">
        <v>71</v>
      </c>
      <c r="B72" s="1" t="s">
        <v>84</v>
      </c>
      <c r="C72">
        <v>222992</v>
      </c>
      <c r="E72">
        <v>5853</v>
      </c>
      <c r="G72">
        <v>82187</v>
      </c>
      <c r="H72">
        <v>134952</v>
      </c>
      <c r="I72">
        <v>535</v>
      </c>
      <c r="J72">
        <v>22210</v>
      </c>
      <c r="K72">
        <v>583</v>
      </c>
      <c r="L72">
        <v>664126</v>
      </c>
      <c r="M72">
        <v>66146</v>
      </c>
      <c r="N72">
        <v>10040310</v>
      </c>
    </row>
    <row r="73" spans="1:14" x14ac:dyDescent="0.25">
      <c r="A73">
        <v>72</v>
      </c>
      <c r="B73" s="1" t="s">
        <v>85</v>
      </c>
      <c r="C73">
        <v>220217</v>
      </c>
      <c r="E73">
        <v>4291</v>
      </c>
      <c r="G73">
        <v>206752</v>
      </c>
      <c r="H73">
        <v>9174</v>
      </c>
      <c r="J73">
        <v>74196</v>
      </c>
      <c r="K73">
        <v>1446</v>
      </c>
      <c r="L73">
        <v>1026974</v>
      </c>
      <c r="M73">
        <v>346011</v>
      </c>
      <c r="N73">
        <v>2968036</v>
      </c>
    </row>
    <row r="74" spans="1:14" x14ac:dyDescent="0.25">
      <c r="A74">
        <v>73</v>
      </c>
      <c r="B74" s="1" t="s">
        <v>86</v>
      </c>
      <c r="C74">
        <v>212423</v>
      </c>
      <c r="E74">
        <v>522</v>
      </c>
      <c r="G74">
        <v>205160</v>
      </c>
      <c r="H74">
        <v>6741</v>
      </c>
      <c r="I74">
        <v>225</v>
      </c>
      <c r="J74">
        <v>75654</v>
      </c>
      <c r="K74">
        <v>186</v>
      </c>
      <c r="L74">
        <v>1961687</v>
      </c>
      <c r="M74">
        <v>698655</v>
      </c>
      <c r="N74">
        <v>2807805</v>
      </c>
    </row>
    <row r="75" spans="1:14" x14ac:dyDescent="0.25">
      <c r="A75">
        <v>74</v>
      </c>
      <c r="B75" s="1" t="s">
        <v>87</v>
      </c>
      <c r="C75">
        <v>210948</v>
      </c>
      <c r="E75">
        <v>2337</v>
      </c>
      <c r="G75">
        <v>194166</v>
      </c>
      <c r="H75">
        <v>14445</v>
      </c>
      <c r="I75">
        <v>316</v>
      </c>
      <c r="J75">
        <v>7437</v>
      </c>
      <c r="K75">
        <v>82</v>
      </c>
      <c r="L75">
        <v>3359014</v>
      </c>
      <c r="M75">
        <v>118416</v>
      </c>
      <c r="N75">
        <v>28366129</v>
      </c>
    </row>
    <row r="76" spans="1:14" x14ac:dyDescent="0.25">
      <c r="A76">
        <v>75</v>
      </c>
      <c r="B76" s="1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38848</v>
      </c>
      <c r="K76">
        <v>412</v>
      </c>
      <c r="L76">
        <v>1550000</v>
      </c>
      <c r="M76">
        <v>297042</v>
      </c>
      <c r="N76">
        <v>5218121</v>
      </c>
    </row>
    <row r="77" spans="1:14" x14ac:dyDescent="0.25">
      <c r="A77">
        <v>76</v>
      </c>
      <c r="B77" s="1" t="s">
        <v>89</v>
      </c>
      <c r="C77">
        <v>202003</v>
      </c>
      <c r="E77">
        <v>8958</v>
      </c>
      <c r="G77">
        <v>168145</v>
      </c>
      <c r="H77">
        <v>24900</v>
      </c>
      <c r="J77">
        <v>61905</v>
      </c>
      <c r="K77">
        <v>2745</v>
      </c>
      <c r="L77">
        <v>936259</v>
      </c>
      <c r="M77">
        <v>286921</v>
      </c>
      <c r="N77">
        <v>3263121</v>
      </c>
    </row>
    <row r="78" spans="1:14" x14ac:dyDescent="0.25">
      <c r="A78">
        <v>77</v>
      </c>
      <c r="B78" s="1" t="s">
        <v>90</v>
      </c>
      <c r="C78">
        <v>196105</v>
      </c>
      <c r="E78">
        <v>715</v>
      </c>
      <c r="G78">
        <v>179958</v>
      </c>
      <c r="H78">
        <v>15432</v>
      </c>
      <c r="I78">
        <v>166</v>
      </c>
      <c r="J78">
        <v>111921</v>
      </c>
      <c r="K78">
        <v>408</v>
      </c>
      <c r="L78">
        <v>4307946</v>
      </c>
      <c r="M78">
        <v>2458628</v>
      </c>
      <c r="N78">
        <v>1752175</v>
      </c>
    </row>
    <row r="79" spans="1:14" x14ac:dyDescent="0.25">
      <c r="A79">
        <v>78</v>
      </c>
      <c r="B79" s="1" t="s">
        <v>91</v>
      </c>
      <c r="C79">
        <v>181179</v>
      </c>
      <c r="E79">
        <v>3085</v>
      </c>
      <c r="G79">
        <v>167629</v>
      </c>
      <c r="H79">
        <v>10465</v>
      </c>
      <c r="J79">
        <v>26062</v>
      </c>
      <c r="K79">
        <v>444</v>
      </c>
      <c r="L79">
        <v>981532</v>
      </c>
      <c r="M79">
        <v>141190</v>
      </c>
      <c r="N79">
        <v>6951847</v>
      </c>
    </row>
    <row r="80" spans="1:14" x14ac:dyDescent="0.25">
      <c r="A80">
        <v>79</v>
      </c>
      <c r="B80" s="1" t="s">
        <v>92</v>
      </c>
      <c r="C80">
        <v>165612</v>
      </c>
      <c r="E80">
        <v>2066</v>
      </c>
      <c r="G80">
        <v>156387</v>
      </c>
      <c r="H80">
        <v>7159</v>
      </c>
      <c r="I80">
        <v>11</v>
      </c>
      <c r="J80">
        <v>787</v>
      </c>
      <c r="K80">
        <v>10</v>
      </c>
      <c r="L80">
        <v>1977479</v>
      </c>
      <c r="M80">
        <v>9393</v>
      </c>
      <c r="N80">
        <v>210526787</v>
      </c>
    </row>
    <row r="81" spans="1:14" x14ac:dyDescent="0.25">
      <c r="A81">
        <v>80</v>
      </c>
      <c r="B81" s="1" t="s">
        <v>93</v>
      </c>
      <c r="C81">
        <v>164720</v>
      </c>
      <c r="E81">
        <v>2968</v>
      </c>
      <c r="G81">
        <v>113248</v>
      </c>
      <c r="H81">
        <v>48504</v>
      </c>
      <c r="I81">
        <v>117</v>
      </c>
      <c r="J81">
        <v>3006</v>
      </c>
      <c r="K81">
        <v>54</v>
      </c>
      <c r="L81">
        <v>1733500</v>
      </c>
      <c r="M81">
        <v>31639</v>
      </c>
      <c r="N81">
        <v>54789380</v>
      </c>
    </row>
    <row r="82" spans="1:14" x14ac:dyDescent="0.25">
      <c r="A82">
        <v>81</v>
      </c>
      <c r="B82" s="1" t="s">
        <v>94</v>
      </c>
      <c r="C82">
        <v>154494</v>
      </c>
      <c r="E82">
        <v>5168</v>
      </c>
      <c r="G82">
        <v>143069</v>
      </c>
      <c r="H82">
        <v>6257</v>
      </c>
      <c r="I82">
        <v>124</v>
      </c>
      <c r="J82">
        <v>74158</v>
      </c>
      <c r="K82">
        <v>2481</v>
      </c>
      <c r="L82">
        <v>748069</v>
      </c>
      <c r="M82">
        <v>359079</v>
      </c>
      <c r="N82">
        <v>2083300</v>
      </c>
    </row>
    <row r="83" spans="1:14" x14ac:dyDescent="0.25">
      <c r="A83">
        <v>82</v>
      </c>
      <c r="B83" s="1" t="s">
        <v>95</v>
      </c>
      <c r="C83">
        <v>143004</v>
      </c>
      <c r="E83">
        <v>3212</v>
      </c>
      <c r="G83">
        <v>132069</v>
      </c>
      <c r="H83">
        <v>7723</v>
      </c>
      <c r="J83">
        <v>2613</v>
      </c>
      <c r="K83">
        <v>59</v>
      </c>
      <c r="L83">
        <v>2597378</v>
      </c>
      <c r="M83">
        <v>47462</v>
      </c>
      <c r="N83">
        <v>54724978</v>
      </c>
    </row>
    <row r="84" spans="1:14" x14ac:dyDescent="0.25">
      <c r="A84">
        <v>83</v>
      </c>
      <c r="B84" s="1" t="s">
        <v>96</v>
      </c>
      <c r="C84">
        <v>135796</v>
      </c>
      <c r="E84">
        <v>892</v>
      </c>
      <c r="G84">
        <v>108802</v>
      </c>
      <c r="H84">
        <v>26102</v>
      </c>
      <c r="J84">
        <v>6319</v>
      </c>
      <c r="K84">
        <v>42</v>
      </c>
      <c r="L84">
        <v>3050870</v>
      </c>
      <c r="M84">
        <v>141961</v>
      </c>
      <c r="N84">
        <v>21490889</v>
      </c>
    </row>
    <row r="85" spans="1:14" x14ac:dyDescent="0.25">
      <c r="A85">
        <v>84</v>
      </c>
      <c r="B85" s="1" t="s">
        <v>97</v>
      </c>
      <c r="C85">
        <v>131890</v>
      </c>
      <c r="E85">
        <v>2426</v>
      </c>
      <c r="G85">
        <v>121122</v>
      </c>
      <c r="H85">
        <v>8342</v>
      </c>
      <c r="I85">
        <v>18</v>
      </c>
      <c r="J85">
        <v>45874</v>
      </c>
      <c r="K85">
        <v>844</v>
      </c>
      <c r="L85">
        <v>666176</v>
      </c>
      <c r="M85">
        <v>231707</v>
      </c>
      <c r="N85">
        <v>2875076</v>
      </c>
    </row>
    <row r="86" spans="1:14" x14ac:dyDescent="0.25">
      <c r="A86">
        <v>85</v>
      </c>
      <c r="B86" s="1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180896</v>
      </c>
      <c r="N86">
        <v>51307377</v>
      </c>
    </row>
    <row r="87" spans="1:14" x14ac:dyDescent="0.25">
      <c r="A87">
        <v>86</v>
      </c>
      <c r="B87" s="1" t="s">
        <v>98</v>
      </c>
      <c r="C87">
        <v>126378</v>
      </c>
      <c r="E87">
        <v>2240</v>
      </c>
      <c r="G87">
        <v>114981</v>
      </c>
      <c r="H87">
        <v>9157</v>
      </c>
      <c r="I87">
        <v>81</v>
      </c>
      <c r="J87">
        <v>67651</v>
      </c>
      <c r="K87">
        <v>1199</v>
      </c>
      <c r="L87">
        <v>2455203</v>
      </c>
      <c r="M87">
        <v>1314285</v>
      </c>
      <c r="N87">
        <v>1868090</v>
      </c>
    </row>
    <row r="88" spans="1:14" x14ac:dyDescent="0.25">
      <c r="A88">
        <v>87</v>
      </c>
      <c r="B88" s="1" t="s">
        <v>99</v>
      </c>
      <c r="C88">
        <v>126364</v>
      </c>
      <c r="E88">
        <v>1212</v>
      </c>
      <c r="G88">
        <v>117582</v>
      </c>
      <c r="H88">
        <v>7570</v>
      </c>
      <c r="I88">
        <v>36</v>
      </c>
      <c r="J88">
        <v>95203</v>
      </c>
      <c r="K88">
        <v>913</v>
      </c>
      <c r="L88">
        <v>1346257</v>
      </c>
      <c r="M88">
        <v>1014277</v>
      </c>
      <c r="N88">
        <v>1327307</v>
      </c>
    </row>
    <row r="89" spans="1:14" x14ac:dyDescent="0.25">
      <c r="A89">
        <v>88</v>
      </c>
      <c r="B89" s="1" t="s">
        <v>100</v>
      </c>
      <c r="C89">
        <v>124889</v>
      </c>
      <c r="E89">
        <v>3355</v>
      </c>
      <c r="G89">
        <v>87003</v>
      </c>
      <c r="H89">
        <v>34531</v>
      </c>
      <c r="I89">
        <v>28</v>
      </c>
      <c r="J89">
        <v>2804</v>
      </c>
      <c r="K89">
        <v>75</v>
      </c>
      <c r="L89">
        <v>230861</v>
      </c>
      <c r="M89">
        <v>5184</v>
      </c>
      <c r="N89">
        <v>44532647</v>
      </c>
    </row>
    <row r="90" spans="1:14" x14ac:dyDescent="0.25">
      <c r="A90">
        <v>89</v>
      </c>
      <c r="B90" s="1" t="s">
        <v>101</v>
      </c>
      <c r="C90">
        <v>120561</v>
      </c>
      <c r="E90">
        <v>778</v>
      </c>
      <c r="G90">
        <v>113493</v>
      </c>
      <c r="H90">
        <v>6290</v>
      </c>
      <c r="I90">
        <v>138</v>
      </c>
      <c r="J90">
        <v>10650</v>
      </c>
      <c r="K90">
        <v>69</v>
      </c>
      <c r="L90">
        <v>3923413</v>
      </c>
      <c r="M90">
        <v>346572</v>
      </c>
      <c r="N90">
        <v>11320629</v>
      </c>
    </row>
    <row r="91" spans="1:14" x14ac:dyDescent="0.25">
      <c r="A91">
        <v>90</v>
      </c>
      <c r="B91" s="1" t="s">
        <v>102</v>
      </c>
      <c r="C91">
        <v>118315</v>
      </c>
      <c r="E91">
        <v>774</v>
      </c>
      <c r="G91">
        <v>88952</v>
      </c>
      <c r="H91">
        <v>28589</v>
      </c>
      <c r="I91">
        <v>23</v>
      </c>
      <c r="J91">
        <v>21678</v>
      </c>
      <c r="K91">
        <v>142</v>
      </c>
      <c r="L91">
        <v>5423294</v>
      </c>
      <c r="M91">
        <v>993667</v>
      </c>
      <c r="N91">
        <v>5457857</v>
      </c>
    </row>
    <row r="92" spans="1:14" x14ac:dyDescent="0.25">
      <c r="A92">
        <v>91</v>
      </c>
      <c r="B92" s="1" t="s">
        <v>103</v>
      </c>
      <c r="C92">
        <v>99645</v>
      </c>
      <c r="E92">
        <v>1681</v>
      </c>
      <c r="G92">
        <v>92718</v>
      </c>
      <c r="H92">
        <v>5246</v>
      </c>
      <c r="I92">
        <v>85</v>
      </c>
      <c r="J92">
        <v>15059</v>
      </c>
      <c r="K92">
        <v>254</v>
      </c>
      <c r="L92">
        <v>1043213</v>
      </c>
      <c r="M92">
        <v>157659</v>
      </c>
      <c r="N92">
        <v>6616901</v>
      </c>
    </row>
    <row r="93" spans="1:14" x14ac:dyDescent="0.25">
      <c r="A93">
        <v>92</v>
      </c>
      <c r="B93" s="1" t="s">
        <v>104</v>
      </c>
      <c r="C93">
        <v>98619</v>
      </c>
      <c r="E93">
        <v>1551</v>
      </c>
      <c r="G93">
        <v>95544</v>
      </c>
      <c r="H93">
        <v>1524</v>
      </c>
      <c r="I93">
        <v>64</v>
      </c>
      <c r="J93">
        <v>157003</v>
      </c>
      <c r="K93">
        <v>2469</v>
      </c>
      <c r="L93">
        <v>390682</v>
      </c>
      <c r="M93">
        <v>621971</v>
      </c>
      <c r="N93">
        <v>628135</v>
      </c>
    </row>
    <row r="94" spans="1:14" x14ac:dyDescent="0.25">
      <c r="A94">
        <v>93</v>
      </c>
      <c r="B94" s="1" t="s">
        <v>105</v>
      </c>
      <c r="C94">
        <v>95826</v>
      </c>
      <c r="E94">
        <v>667</v>
      </c>
      <c r="G94">
        <v>91301</v>
      </c>
      <c r="H94">
        <v>3858</v>
      </c>
      <c r="I94">
        <v>23</v>
      </c>
      <c r="J94">
        <v>2828</v>
      </c>
      <c r="K94">
        <v>20</v>
      </c>
      <c r="L94">
        <v>1377915</v>
      </c>
      <c r="M94">
        <v>40662</v>
      </c>
      <c r="N94">
        <v>33887260</v>
      </c>
    </row>
    <row r="95" spans="1:14" x14ac:dyDescent="0.25">
      <c r="A95">
        <v>94</v>
      </c>
      <c r="B95" s="1" t="s">
        <v>106</v>
      </c>
      <c r="C95">
        <v>93794</v>
      </c>
      <c r="E95">
        <v>518</v>
      </c>
      <c r="G95">
        <v>60615</v>
      </c>
      <c r="H95">
        <v>32661</v>
      </c>
      <c r="I95">
        <v>1207</v>
      </c>
      <c r="J95">
        <v>1341</v>
      </c>
      <c r="K95">
        <v>7</v>
      </c>
      <c r="L95">
        <v>8124896</v>
      </c>
      <c r="M95">
        <v>116150</v>
      </c>
      <c r="N95">
        <v>69951511</v>
      </c>
    </row>
    <row r="96" spans="1:14" x14ac:dyDescent="0.25">
      <c r="A96">
        <v>95</v>
      </c>
      <c r="B96" s="1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35205</v>
      </c>
      <c r="N96">
        <v>31630693</v>
      </c>
    </row>
    <row r="97" spans="1:14" x14ac:dyDescent="0.25">
      <c r="A97">
        <v>96</v>
      </c>
      <c r="B97" s="1" t="s">
        <v>108</v>
      </c>
      <c r="C97">
        <v>92262</v>
      </c>
      <c r="E97">
        <v>1260</v>
      </c>
      <c r="G97">
        <v>90635</v>
      </c>
      <c r="H97">
        <v>367</v>
      </c>
      <c r="I97">
        <v>42</v>
      </c>
      <c r="J97">
        <v>4901</v>
      </c>
      <c r="K97">
        <v>67</v>
      </c>
      <c r="L97">
        <v>1457277</v>
      </c>
      <c r="M97">
        <v>77410</v>
      </c>
      <c r="N97">
        <v>18825532</v>
      </c>
    </row>
    <row r="98" spans="1:14" x14ac:dyDescent="0.25">
      <c r="A98">
        <v>97</v>
      </c>
      <c r="B98" s="1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1" t="s">
        <v>110</v>
      </c>
      <c r="C99">
        <v>89532</v>
      </c>
      <c r="E99">
        <v>930</v>
      </c>
      <c r="G99">
        <v>46000</v>
      </c>
      <c r="H99">
        <v>42602</v>
      </c>
      <c r="I99">
        <v>24</v>
      </c>
      <c r="J99">
        <v>16137</v>
      </c>
      <c r="K99">
        <v>168</v>
      </c>
      <c r="L99">
        <v>4716650</v>
      </c>
      <c r="M99">
        <v>850127</v>
      </c>
      <c r="N99">
        <v>5548169</v>
      </c>
    </row>
    <row r="100" spans="1:14" x14ac:dyDescent="0.25">
      <c r="A100">
        <v>99</v>
      </c>
      <c r="B100" s="1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56003</v>
      </c>
      <c r="N100">
        <v>27113250</v>
      </c>
    </row>
    <row r="101" spans="1:14" x14ac:dyDescent="0.25">
      <c r="A101">
        <v>100</v>
      </c>
      <c r="B101" s="1" t="s">
        <v>112</v>
      </c>
      <c r="C101">
        <v>70915</v>
      </c>
      <c r="E101">
        <v>2173</v>
      </c>
      <c r="G101">
        <v>66418</v>
      </c>
      <c r="H101">
        <v>2324</v>
      </c>
      <c r="I101">
        <v>28</v>
      </c>
      <c r="J101">
        <v>10886</v>
      </c>
      <c r="K101">
        <v>334</v>
      </c>
      <c r="L101">
        <v>946627</v>
      </c>
      <c r="M101">
        <v>145311</v>
      </c>
      <c r="N101">
        <v>6514499</v>
      </c>
    </row>
    <row r="102" spans="1:14" x14ac:dyDescent="0.25">
      <c r="A102">
        <v>101</v>
      </c>
      <c r="B102" s="1" t="s">
        <v>113</v>
      </c>
      <c r="C102">
        <v>70571</v>
      </c>
      <c r="E102">
        <v>342</v>
      </c>
      <c r="G102">
        <v>39061</v>
      </c>
      <c r="H102">
        <v>31168</v>
      </c>
      <c r="I102">
        <v>54</v>
      </c>
      <c r="J102">
        <v>58085</v>
      </c>
      <c r="K102">
        <v>281</v>
      </c>
      <c r="L102">
        <v>5641097</v>
      </c>
      <c r="M102">
        <v>4643062</v>
      </c>
      <c r="N102">
        <v>1214952</v>
      </c>
    </row>
    <row r="103" spans="1:14" x14ac:dyDescent="0.25">
      <c r="A103">
        <v>102</v>
      </c>
      <c r="B103" s="1" t="s">
        <v>114</v>
      </c>
      <c r="C103">
        <v>70315</v>
      </c>
      <c r="E103">
        <v>826</v>
      </c>
      <c r="G103">
        <v>68314</v>
      </c>
      <c r="H103">
        <v>1175</v>
      </c>
      <c r="I103">
        <v>24</v>
      </c>
      <c r="J103">
        <v>2197</v>
      </c>
      <c r="K103">
        <v>26</v>
      </c>
      <c r="L103">
        <v>532010</v>
      </c>
      <c r="M103">
        <v>16622</v>
      </c>
      <c r="N103">
        <v>32006467</v>
      </c>
    </row>
    <row r="104" spans="1:14" x14ac:dyDescent="0.25">
      <c r="A104">
        <v>103</v>
      </c>
      <c r="B104" s="1" t="s">
        <v>115</v>
      </c>
      <c r="C104">
        <v>68899</v>
      </c>
      <c r="E104">
        <v>806</v>
      </c>
      <c r="G104">
        <v>65513</v>
      </c>
      <c r="H104">
        <v>2580</v>
      </c>
      <c r="I104">
        <v>30</v>
      </c>
      <c r="J104">
        <v>108545</v>
      </c>
      <c r="K104">
        <v>1270</v>
      </c>
      <c r="L104">
        <v>2759543</v>
      </c>
      <c r="M104">
        <v>4347449</v>
      </c>
      <c r="N104">
        <v>634750</v>
      </c>
    </row>
    <row r="105" spans="1:14" x14ac:dyDescent="0.25">
      <c r="A105">
        <v>104</v>
      </c>
      <c r="B105" s="1" t="s">
        <v>116</v>
      </c>
      <c r="C105">
        <v>63349</v>
      </c>
      <c r="E105">
        <v>2730</v>
      </c>
      <c r="G105">
        <v>54619</v>
      </c>
      <c r="H105">
        <v>6000</v>
      </c>
      <c r="I105">
        <v>1124</v>
      </c>
      <c r="J105">
        <v>1596</v>
      </c>
      <c r="K105">
        <v>69</v>
      </c>
      <c r="L105">
        <v>428390</v>
      </c>
      <c r="M105">
        <v>10796</v>
      </c>
      <c r="N105">
        <v>39681789</v>
      </c>
    </row>
    <row r="106" spans="1:14" x14ac:dyDescent="0.25">
      <c r="A106">
        <v>105</v>
      </c>
      <c r="B106" s="1" t="s">
        <v>117</v>
      </c>
      <c r="C106">
        <v>61453</v>
      </c>
      <c r="E106">
        <v>31</v>
      </c>
      <c r="G106">
        <v>61029</v>
      </c>
      <c r="H106">
        <v>393</v>
      </c>
      <c r="I106">
        <v>3</v>
      </c>
      <c r="J106">
        <v>10433</v>
      </c>
      <c r="K106">
        <v>5</v>
      </c>
      <c r="L106">
        <v>10441802</v>
      </c>
      <c r="M106">
        <v>1772776</v>
      </c>
      <c r="N106">
        <v>5890085</v>
      </c>
    </row>
    <row r="107" spans="1:14" x14ac:dyDescent="0.25">
      <c r="A107">
        <v>106</v>
      </c>
      <c r="B107" s="1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19660</v>
      </c>
      <c r="K107">
        <v>273</v>
      </c>
      <c r="L107">
        <v>406093</v>
      </c>
      <c r="M107">
        <v>157369</v>
      </c>
      <c r="N107">
        <v>2580514</v>
      </c>
    </row>
    <row r="108" spans="1:14" x14ac:dyDescent="0.25">
      <c r="A108">
        <v>107</v>
      </c>
      <c r="B108" s="1" t="s">
        <v>119</v>
      </c>
      <c r="C108">
        <v>49041</v>
      </c>
      <c r="E108">
        <v>751</v>
      </c>
      <c r="G108">
        <v>46290</v>
      </c>
      <c r="H108">
        <v>2000</v>
      </c>
      <c r="I108">
        <v>1</v>
      </c>
      <c r="J108">
        <v>20498</v>
      </c>
      <c r="K108">
        <v>314</v>
      </c>
      <c r="L108">
        <v>1086267</v>
      </c>
      <c r="M108">
        <v>454036</v>
      </c>
      <c r="N108">
        <v>2392467</v>
      </c>
    </row>
    <row r="109" spans="1:14" x14ac:dyDescent="0.25">
      <c r="A109">
        <v>108</v>
      </c>
      <c r="B109" s="1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847120</v>
      </c>
      <c r="N109">
        <v>3323765</v>
      </c>
    </row>
    <row r="110" spans="1:14" x14ac:dyDescent="0.25">
      <c r="A110">
        <v>109</v>
      </c>
      <c r="B110" s="1" t="s">
        <v>121</v>
      </c>
      <c r="C110">
        <v>47020</v>
      </c>
      <c r="E110">
        <v>834</v>
      </c>
      <c r="G110">
        <v>22761</v>
      </c>
      <c r="H110">
        <v>23425</v>
      </c>
      <c r="I110">
        <v>14</v>
      </c>
      <c r="J110">
        <v>15819</v>
      </c>
      <c r="K110">
        <v>281</v>
      </c>
      <c r="L110">
        <v>350044</v>
      </c>
      <c r="M110">
        <v>117767</v>
      </c>
      <c r="N110">
        <v>2972343</v>
      </c>
    </row>
    <row r="111" spans="1:14" x14ac:dyDescent="0.25">
      <c r="A111">
        <v>110</v>
      </c>
      <c r="B111" s="1" t="s">
        <v>122</v>
      </c>
      <c r="C111">
        <v>46520</v>
      </c>
      <c r="E111">
        <v>294</v>
      </c>
      <c r="G111">
        <v>45977</v>
      </c>
      <c r="H111">
        <v>249</v>
      </c>
      <c r="J111">
        <v>1727</v>
      </c>
      <c r="K111">
        <v>11</v>
      </c>
      <c r="L111">
        <v>608960</v>
      </c>
      <c r="M111">
        <v>22605</v>
      </c>
      <c r="N111">
        <v>26939174</v>
      </c>
    </row>
    <row r="112" spans="1:14" x14ac:dyDescent="0.25">
      <c r="A112">
        <v>111</v>
      </c>
      <c r="B112" s="1" t="s">
        <v>123</v>
      </c>
      <c r="C112">
        <v>42578</v>
      </c>
      <c r="E112">
        <v>346</v>
      </c>
      <c r="G112">
        <v>41971</v>
      </c>
      <c r="H112">
        <v>261</v>
      </c>
      <c r="I112">
        <v>24</v>
      </c>
      <c r="J112">
        <v>906</v>
      </c>
      <c r="K112">
        <v>7</v>
      </c>
      <c r="L112">
        <v>1052657</v>
      </c>
      <c r="M112">
        <v>22407</v>
      </c>
      <c r="N112">
        <v>46978304</v>
      </c>
    </row>
    <row r="113" spans="1:14" x14ac:dyDescent="0.25">
      <c r="A113">
        <v>112</v>
      </c>
      <c r="B113" s="1" t="s">
        <v>124</v>
      </c>
      <c r="C113">
        <v>41308</v>
      </c>
      <c r="E113">
        <v>87</v>
      </c>
      <c r="G113">
        <v>27428</v>
      </c>
      <c r="H113">
        <v>13793</v>
      </c>
      <c r="I113">
        <v>90</v>
      </c>
      <c r="J113">
        <v>75278</v>
      </c>
      <c r="K113">
        <v>159</v>
      </c>
      <c r="L113">
        <v>783134</v>
      </c>
      <c r="M113">
        <v>1427149</v>
      </c>
      <c r="N113">
        <v>548740</v>
      </c>
    </row>
    <row r="114" spans="1:14" x14ac:dyDescent="0.25">
      <c r="A114">
        <v>113</v>
      </c>
      <c r="B114" s="1" t="s">
        <v>125</v>
      </c>
      <c r="C114">
        <v>40790</v>
      </c>
      <c r="E114">
        <v>1122</v>
      </c>
      <c r="G114">
        <v>39501</v>
      </c>
      <c r="H114">
        <v>167</v>
      </c>
      <c r="I114">
        <v>12</v>
      </c>
      <c r="J114">
        <v>2382</v>
      </c>
      <c r="K114">
        <v>66</v>
      </c>
      <c r="L114">
        <v>494447</v>
      </c>
      <c r="M114">
        <v>28877</v>
      </c>
      <c r="N114">
        <v>17122595</v>
      </c>
    </row>
    <row r="115" spans="1:14" x14ac:dyDescent="0.25">
      <c r="A115">
        <v>114</v>
      </c>
      <c r="B115" s="1" t="s">
        <v>126</v>
      </c>
      <c r="C115">
        <v>39759</v>
      </c>
      <c r="E115">
        <v>745</v>
      </c>
      <c r="G115">
        <v>37150</v>
      </c>
      <c r="H115">
        <v>1864</v>
      </c>
      <c r="I115">
        <v>302</v>
      </c>
      <c r="J115">
        <v>1405</v>
      </c>
      <c r="K115">
        <v>26</v>
      </c>
      <c r="L115">
        <v>194234</v>
      </c>
      <c r="M115">
        <v>6863</v>
      </c>
      <c r="N115">
        <v>28302091</v>
      </c>
    </row>
    <row r="116" spans="1:14" x14ac:dyDescent="0.25">
      <c r="A116">
        <v>115</v>
      </c>
      <c r="B116" s="1" t="s">
        <v>127</v>
      </c>
      <c r="C116">
        <v>38491</v>
      </c>
      <c r="E116">
        <v>1582</v>
      </c>
      <c r="G116">
        <v>36286</v>
      </c>
      <c r="H116">
        <v>623</v>
      </c>
      <c r="I116">
        <v>12</v>
      </c>
      <c r="J116">
        <v>2558</v>
      </c>
      <c r="K116">
        <v>105</v>
      </c>
      <c r="L116">
        <v>441294</v>
      </c>
      <c r="M116">
        <v>29323</v>
      </c>
      <c r="N116">
        <v>15049396</v>
      </c>
    </row>
    <row r="117" spans="1:14" x14ac:dyDescent="0.25">
      <c r="A117">
        <v>116</v>
      </c>
      <c r="B117" s="1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44728855</v>
      </c>
    </row>
    <row r="118" spans="1:14" x14ac:dyDescent="0.25">
      <c r="A118">
        <v>117</v>
      </c>
      <c r="B118" s="1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12172</v>
      </c>
      <c r="N118">
        <v>19554257</v>
      </c>
    </row>
    <row r="119" spans="1:14" x14ac:dyDescent="0.25">
      <c r="A119">
        <v>118</v>
      </c>
      <c r="B119" s="1" t="s">
        <v>130</v>
      </c>
      <c r="C119">
        <v>30478</v>
      </c>
      <c r="E119">
        <v>775</v>
      </c>
      <c r="G119">
        <v>26601</v>
      </c>
      <c r="H119">
        <v>3102</v>
      </c>
      <c r="J119">
        <v>332</v>
      </c>
      <c r="K119">
        <v>8</v>
      </c>
      <c r="L119">
        <v>155121</v>
      </c>
      <c r="M119">
        <v>1688</v>
      </c>
      <c r="N119">
        <v>91894622</v>
      </c>
    </row>
    <row r="120" spans="1:14" x14ac:dyDescent="0.25">
      <c r="A120">
        <v>119</v>
      </c>
      <c r="B120" s="1" t="s">
        <v>131</v>
      </c>
      <c r="C120">
        <v>30473</v>
      </c>
      <c r="E120">
        <v>417</v>
      </c>
      <c r="G120">
        <v>29867</v>
      </c>
      <c r="H120">
        <v>189</v>
      </c>
      <c r="J120">
        <v>68856</v>
      </c>
      <c r="K120">
        <v>942</v>
      </c>
      <c r="L120">
        <v>891075</v>
      </c>
      <c r="M120">
        <v>2013456</v>
      </c>
      <c r="N120">
        <v>442560</v>
      </c>
    </row>
    <row r="121" spans="1:14" x14ac:dyDescent="0.25">
      <c r="A121">
        <v>120</v>
      </c>
      <c r="B121" s="1" t="s">
        <v>132</v>
      </c>
      <c r="C121">
        <v>29957</v>
      </c>
      <c r="D121">
        <v>2</v>
      </c>
      <c r="E121">
        <v>910</v>
      </c>
      <c r="G121">
        <v>28861</v>
      </c>
      <c r="H121">
        <v>186</v>
      </c>
      <c r="I121">
        <v>1</v>
      </c>
      <c r="J121">
        <v>1163</v>
      </c>
      <c r="K121">
        <v>35</v>
      </c>
      <c r="L121">
        <v>17449487</v>
      </c>
      <c r="M121">
        <v>677515</v>
      </c>
      <c r="N121">
        <v>25755133</v>
      </c>
    </row>
    <row r="122" spans="1:14" x14ac:dyDescent="0.25">
      <c r="A122">
        <v>121</v>
      </c>
      <c r="B122" s="1" t="s">
        <v>133</v>
      </c>
      <c r="C122">
        <v>29695</v>
      </c>
      <c r="E122">
        <v>649</v>
      </c>
      <c r="G122">
        <v>25629</v>
      </c>
      <c r="H122">
        <v>3417</v>
      </c>
      <c r="I122">
        <v>21</v>
      </c>
      <c r="J122">
        <v>880</v>
      </c>
      <c r="K122">
        <v>19</v>
      </c>
      <c r="L122">
        <v>527590</v>
      </c>
      <c r="M122">
        <v>15636</v>
      </c>
      <c r="N122">
        <v>33742111</v>
      </c>
    </row>
    <row r="123" spans="1:14" x14ac:dyDescent="0.25">
      <c r="A123">
        <v>122</v>
      </c>
      <c r="B123" s="1" t="s">
        <v>134</v>
      </c>
      <c r="C123">
        <v>27386</v>
      </c>
      <c r="E123">
        <v>243</v>
      </c>
      <c r="G123">
        <v>24289</v>
      </c>
      <c r="H123">
        <v>2854</v>
      </c>
      <c r="I123">
        <v>23</v>
      </c>
      <c r="J123">
        <v>48799</v>
      </c>
      <c r="K123">
        <v>433</v>
      </c>
      <c r="L123">
        <v>158645</v>
      </c>
      <c r="M123">
        <v>282690</v>
      </c>
      <c r="N123">
        <v>561198</v>
      </c>
    </row>
    <row r="124" spans="1:14" x14ac:dyDescent="0.25">
      <c r="A124">
        <v>123</v>
      </c>
      <c r="B124" s="1" t="s">
        <v>135</v>
      </c>
      <c r="C124">
        <v>25934</v>
      </c>
      <c r="E124">
        <v>342</v>
      </c>
      <c r="G124">
        <v>24486</v>
      </c>
      <c r="H124">
        <v>1106</v>
      </c>
      <c r="I124">
        <v>1</v>
      </c>
      <c r="J124">
        <v>1961</v>
      </c>
      <c r="K124">
        <v>26</v>
      </c>
      <c r="L124">
        <v>1358566</v>
      </c>
      <c r="M124">
        <v>102704</v>
      </c>
      <c r="N124">
        <v>13227916</v>
      </c>
    </row>
    <row r="125" spans="1:14" x14ac:dyDescent="0.25">
      <c r="A125">
        <v>124</v>
      </c>
      <c r="B125" s="1" t="s">
        <v>136</v>
      </c>
      <c r="C125">
        <v>23734</v>
      </c>
      <c r="E125">
        <v>143</v>
      </c>
      <c r="G125">
        <v>20270</v>
      </c>
      <c r="H125">
        <v>3321</v>
      </c>
      <c r="I125">
        <v>18</v>
      </c>
      <c r="J125">
        <v>10452</v>
      </c>
      <c r="K125">
        <v>63</v>
      </c>
      <c r="L125">
        <v>763003</v>
      </c>
      <c r="M125">
        <v>335999</v>
      </c>
      <c r="N125">
        <v>2270850</v>
      </c>
    </row>
    <row r="126" spans="1:14" x14ac:dyDescent="0.25">
      <c r="A126">
        <v>125</v>
      </c>
      <c r="B126" s="1" t="s">
        <v>137</v>
      </c>
      <c r="C126">
        <v>23595</v>
      </c>
      <c r="E126">
        <v>1682</v>
      </c>
      <c r="G126">
        <v>19908</v>
      </c>
      <c r="H126">
        <v>2005</v>
      </c>
      <c r="J126">
        <v>1321</v>
      </c>
      <c r="K126">
        <v>94</v>
      </c>
      <c r="L126">
        <v>103566</v>
      </c>
      <c r="M126">
        <v>5797</v>
      </c>
      <c r="N126">
        <v>17865780</v>
      </c>
    </row>
    <row r="127" spans="1:14" x14ac:dyDescent="0.25">
      <c r="A127">
        <v>126</v>
      </c>
      <c r="B127" s="1" t="s">
        <v>138</v>
      </c>
      <c r="C127">
        <v>22719</v>
      </c>
      <c r="E127">
        <v>151</v>
      </c>
      <c r="G127">
        <v>20341</v>
      </c>
      <c r="H127">
        <v>2227</v>
      </c>
      <c r="I127">
        <v>24</v>
      </c>
      <c r="J127">
        <v>1691</v>
      </c>
      <c r="K127">
        <v>11</v>
      </c>
      <c r="L127">
        <v>444435</v>
      </c>
      <c r="M127">
        <v>33072</v>
      </c>
      <c r="N127">
        <v>13438415</v>
      </c>
    </row>
    <row r="128" spans="1:14" x14ac:dyDescent="0.25">
      <c r="A128">
        <v>127</v>
      </c>
      <c r="B128" s="1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25137</v>
      </c>
      <c r="K128">
        <v>188</v>
      </c>
      <c r="L128">
        <v>102720</v>
      </c>
      <c r="M128">
        <v>114028</v>
      </c>
      <c r="N128">
        <v>900832</v>
      </c>
    </row>
    <row r="129" spans="1:14" x14ac:dyDescent="0.25">
      <c r="A129">
        <v>128</v>
      </c>
      <c r="B129" s="1" t="s">
        <v>140</v>
      </c>
      <c r="C129">
        <v>21433</v>
      </c>
      <c r="E129">
        <v>108</v>
      </c>
      <c r="G129">
        <v>9995</v>
      </c>
      <c r="H129">
        <v>11330</v>
      </c>
      <c r="I129">
        <v>24</v>
      </c>
      <c r="J129">
        <v>70197</v>
      </c>
      <c r="K129">
        <v>354</v>
      </c>
      <c r="L129">
        <v>234279</v>
      </c>
      <c r="M129">
        <v>767305</v>
      </c>
      <c r="N129">
        <v>305327</v>
      </c>
    </row>
    <row r="130" spans="1:14" x14ac:dyDescent="0.25">
      <c r="A130">
        <v>129</v>
      </c>
      <c r="B130" s="1" t="s">
        <v>141</v>
      </c>
      <c r="C130">
        <v>21141</v>
      </c>
      <c r="E130">
        <v>142</v>
      </c>
      <c r="G130">
        <v>9519</v>
      </c>
      <c r="H130">
        <v>11480</v>
      </c>
      <c r="J130">
        <v>1250</v>
      </c>
      <c r="K130">
        <v>8</v>
      </c>
      <c r="L130">
        <v>1018022</v>
      </c>
      <c r="M130">
        <v>60172</v>
      </c>
      <c r="N130">
        <v>16918431</v>
      </c>
    </row>
    <row r="131" spans="1:14" x14ac:dyDescent="0.25">
      <c r="A131">
        <v>130</v>
      </c>
      <c r="B131" s="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72453</v>
      </c>
      <c r="K131">
        <v>614</v>
      </c>
      <c r="L131">
        <v>176919</v>
      </c>
      <c r="M131">
        <v>635327</v>
      </c>
      <c r="N131">
        <v>278469</v>
      </c>
    </row>
    <row r="132" spans="1:14" x14ac:dyDescent="0.25">
      <c r="A132">
        <v>131</v>
      </c>
      <c r="B132" s="1" t="s">
        <v>143</v>
      </c>
      <c r="C132">
        <v>18797</v>
      </c>
      <c r="E132">
        <v>141</v>
      </c>
      <c r="G132">
        <v>18617</v>
      </c>
      <c r="H132">
        <v>39</v>
      </c>
      <c r="I132">
        <v>1</v>
      </c>
      <c r="J132">
        <v>66582</v>
      </c>
      <c r="K132">
        <v>499</v>
      </c>
      <c r="L132">
        <v>26355</v>
      </c>
      <c r="M132">
        <v>93354</v>
      </c>
      <c r="N132">
        <v>282312</v>
      </c>
    </row>
    <row r="133" spans="1:14" x14ac:dyDescent="0.25">
      <c r="A133">
        <v>132</v>
      </c>
      <c r="B133" s="1" t="s">
        <v>144</v>
      </c>
      <c r="C133">
        <v>18767</v>
      </c>
      <c r="E133">
        <v>457</v>
      </c>
      <c r="G133">
        <v>17999</v>
      </c>
      <c r="H133">
        <v>311</v>
      </c>
      <c r="I133">
        <v>14</v>
      </c>
      <c r="J133">
        <v>3947</v>
      </c>
      <c r="K133">
        <v>96</v>
      </c>
      <c r="L133">
        <v>247170</v>
      </c>
      <c r="M133">
        <v>51986</v>
      </c>
      <c r="N133">
        <v>4754546</v>
      </c>
    </row>
    <row r="134" spans="1:14" x14ac:dyDescent="0.25">
      <c r="A134">
        <v>133</v>
      </c>
      <c r="B134" s="1" t="s">
        <v>145</v>
      </c>
      <c r="C134">
        <v>18497</v>
      </c>
      <c r="E134">
        <v>671</v>
      </c>
      <c r="G134">
        <v>17786</v>
      </c>
      <c r="H134">
        <v>40</v>
      </c>
      <c r="I134">
        <v>3</v>
      </c>
      <c r="J134">
        <v>15802</v>
      </c>
      <c r="K134">
        <v>573</v>
      </c>
      <c r="L134">
        <v>196068</v>
      </c>
      <c r="M134">
        <v>167503</v>
      </c>
      <c r="N134">
        <v>1170532</v>
      </c>
    </row>
    <row r="135" spans="1:14" x14ac:dyDescent="0.25">
      <c r="A135">
        <v>134</v>
      </c>
      <c r="B135" s="1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s="1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169270</v>
      </c>
      <c r="N136">
        <v>789833</v>
      </c>
    </row>
    <row r="137" spans="1:14" x14ac:dyDescent="0.25">
      <c r="A137">
        <v>136</v>
      </c>
      <c r="B137" s="1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106797</v>
      </c>
      <c r="N137">
        <v>1403408</v>
      </c>
    </row>
    <row r="138" spans="1:14" x14ac:dyDescent="0.25">
      <c r="A138">
        <v>137</v>
      </c>
      <c r="B138" s="1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7382</v>
      </c>
      <c r="N138">
        <v>16273534</v>
      </c>
    </row>
    <row r="139" spans="1:14" x14ac:dyDescent="0.25">
      <c r="A139">
        <v>138</v>
      </c>
      <c r="B139" s="1" t="s">
        <v>150</v>
      </c>
      <c r="C139">
        <v>14149</v>
      </c>
      <c r="E139">
        <v>508</v>
      </c>
      <c r="G139">
        <v>9123</v>
      </c>
      <c r="H139">
        <v>4518</v>
      </c>
      <c r="J139">
        <v>682</v>
      </c>
      <c r="K139">
        <v>24</v>
      </c>
      <c r="L139">
        <v>280531</v>
      </c>
      <c r="M139">
        <v>13519</v>
      </c>
      <c r="N139">
        <v>20750949</v>
      </c>
    </row>
    <row r="140" spans="1:14" x14ac:dyDescent="0.25">
      <c r="A140">
        <v>139</v>
      </c>
      <c r="B140" s="1" t="s">
        <v>151</v>
      </c>
      <c r="C140">
        <v>13470</v>
      </c>
      <c r="E140">
        <v>127</v>
      </c>
      <c r="G140">
        <v>13104</v>
      </c>
      <c r="H140">
        <v>239</v>
      </c>
      <c r="I140">
        <v>12</v>
      </c>
      <c r="J140">
        <v>174094</v>
      </c>
      <c r="K140">
        <v>1641</v>
      </c>
      <c r="L140">
        <v>193595</v>
      </c>
      <c r="M140">
        <v>2502133</v>
      </c>
      <c r="N140">
        <v>77372</v>
      </c>
    </row>
    <row r="141" spans="1:14" x14ac:dyDescent="0.25">
      <c r="A141">
        <v>140</v>
      </c>
      <c r="B141" s="1" t="s">
        <v>152</v>
      </c>
      <c r="C141">
        <v>13387</v>
      </c>
      <c r="E141">
        <v>164</v>
      </c>
      <c r="G141">
        <v>13184</v>
      </c>
      <c r="H141">
        <v>39</v>
      </c>
      <c r="J141">
        <v>626</v>
      </c>
      <c r="K141">
        <v>8</v>
      </c>
      <c r="L141">
        <v>182822</v>
      </c>
      <c r="M141">
        <v>8545</v>
      </c>
      <c r="N141">
        <v>21394982</v>
      </c>
    </row>
    <row r="142" spans="1:14" x14ac:dyDescent="0.25">
      <c r="A142">
        <v>141</v>
      </c>
      <c r="B142" s="1" t="s">
        <v>153</v>
      </c>
      <c r="C142">
        <v>13308</v>
      </c>
      <c r="E142">
        <v>90</v>
      </c>
      <c r="G142">
        <v>13218</v>
      </c>
      <c r="H142">
        <v>0</v>
      </c>
      <c r="J142">
        <v>1369</v>
      </c>
      <c r="K142">
        <v>9</v>
      </c>
      <c r="N142">
        <v>9721751</v>
      </c>
    </row>
    <row r="143" spans="1:14" x14ac:dyDescent="0.25">
      <c r="A143">
        <v>142</v>
      </c>
      <c r="B143" s="1" t="s">
        <v>154</v>
      </c>
      <c r="C143">
        <v>13268</v>
      </c>
      <c r="E143">
        <v>269</v>
      </c>
      <c r="G143">
        <v>12397</v>
      </c>
      <c r="H143">
        <v>602</v>
      </c>
      <c r="J143">
        <v>1151</v>
      </c>
      <c r="K143">
        <v>23</v>
      </c>
      <c r="L143">
        <v>60085</v>
      </c>
      <c r="M143">
        <v>5215</v>
      </c>
      <c r="N143">
        <v>11522424</v>
      </c>
    </row>
    <row r="144" spans="1:14" x14ac:dyDescent="0.25">
      <c r="A144">
        <v>143</v>
      </c>
      <c r="B144" s="1" t="s">
        <v>155</v>
      </c>
      <c r="C144">
        <v>13242</v>
      </c>
      <c r="E144">
        <v>133</v>
      </c>
      <c r="G144">
        <v>10995</v>
      </c>
      <c r="H144">
        <v>2114</v>
      </c>
      <c r="J144">
        <v>1456</v>
      </c>
      <c r="K144">
        <v>15</v>
      </c>
      <c r="L144">
        <v>104674</v>
      </c>
      <c r="M144">
        <v>11512</v>
      </c>
      <c r="N144">
        <v>9092865</v>
      </c>
    </row>
    <row r="145" spans="1:14" x14ac:dyDescent="0.25">
      <c r="A145">
        <v>144</v>
      </c>
      <c r="B145" s="1" t="s">
        <v>156</v>
      </c>
      <c r="C145">
        <v>13238</v>
      </c>
      <c r="E145">
        <v>125</v>
      </c>
      <c r="G145">
        <v>11834</v>
      </c>
      <c r="H145">
        <v>1279</v>
      </c>
      <c r="J145">
        <v>1567</v>
      </c>
      <c r="K145">
        <v>15</v>
      </c>
      <c r="L145">
        <v>320905</v>
      </c>
      <c r="M145">
        <v>37998</v>
      </c>
      <c r="N145">
        <v>8445417</v>
      </c>
    </row>
    <row r="146" spans="1:14" x14ac:dyDescent="0.25">
      <c r="A146">
        <v>145</v>
      </c>
      <c r="B146" s="1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31470</v>
      </c>
      <c r="K146">
        <v>800</v>
      </c>
      <c r="L146">
        <v>123837</v>
      </c>
      <c r="M146">
        <v>306648</v>
      </c>
      <c r="N146">
        <v>403841</v>
      </c>
    </row>
    <row r="147" spans="1:14" x14ac:dyDescent="0.25">
      <c r="A147">
        <v>146</v>
      </c>
      <c r="B147" s="1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622288</v>
      </c>
      <c r="N147">
        <v>164673</v>
      </c>
    </row>
    <row r="148" spans="1:14" x14ac:dyDescent="0.25">
      <c r="A148">
        <v>147</v>
      </c>
      <c r="B148" s="1" t="s">
        <v>159</v>
      </c>
      <c r="C148">
        <v>11818</v>
      </c>
      <c r="E148">
        <v>210</v>
      </c>
      <c r="G148">
        <v>11511</v>
      </c>
      <c r="H148">
        <v>97</v>
      </c>
      <c r="I148">
        <v>3</v>
      </c>
      <c r="J148">
        <v>1565</v>
      </c>
      <c r="K148">
        <v>28</v>
      </c>
      <c r="L148">
        <v>14841321</v>
      </c>
      <c r="M148">
        <v>1965864</v>
      </c>
      <c r="N148">
        <v>7549514</v>
      </c>
    </row>
    <row r="149" spans="1:14" x14ac:dyDescent="0.25">
      <c r="A149">
        <v>148</v>
      </c>
      <c r="B149" s="1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454123</v>
      </c>
      <c r="N149">
        <v>375013</v>
      </c>
    </row>
    <row r="150" spans="1:14" x14ac:dyDescent="0.25">
      <c r="A150">
        <v>149</v>
      </c>
      <c r="B150" s="1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19575</v>
      </c>
      <c r="K150">
        <v>374</v>
      </c>
      <c r="L150">
        <v>54694</v>
      </c>
      <c r="M150">
        <v>92518</v>
      </c>
      <c r="N150">
        <v>591171</v>
      </c>
    </row>
    <row r="151" spans="1:14" x14ac:dyDescent="0.25">
      <c r="A151">
        <v>150</v>
      </c>
      <c r="B151" s="1" t="s">
        <v>162</v>
      </c>
      <c r="C151">
        <v>11389</v>
      </c>
      <c r="E151">
        <v>151</v>
      </c>
      <c r="G151">
        <v>11221</v>
      </c>
      <c r="H151">
        <v>17</v>
      </c>
      <c r="J151">
        <v>11385</v>
      </c>
      <c r="K151">
        <v>151</v>
      </c>
      <c r="L151">
        <v>152966</v>
      </c>
      <c r="M151">
        <v>152907</v>
      </c>
      <c r="N151">
        <v>1000383</v>
      </c>
    </row>
    <row r="152" spans="1:14" x14ac:dyDescent="0.25">
      <c r="A152">
        <v>151</v>
      </c>
      <c r="B152" s="1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25192</v>
      </c>
      <c r="N152">
        <v>5634723</v>
      </c>
    </row>
    <row r="153" spans="1:14" x14ac:dyDescent="0.25">
      <c r="A153">
        <v>152</v>
      </c>
      <c r="B153" s="1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27804</v>
      </c>
      <c r="K153">
        <v>545</v>
      </c>
      <c r="L153">
        <v>91550</v>
      </c>
      <c r="M153">
        <v>230902</v>
      </c>
      <c r="N153">
        <v>396488</v>
      </c>
    </row>
    <row r="154" spans="1:14" x14ac:dyDescent="0.25">
      <c r="A154">
        <v>153</v>
      </c>
      <c r="B154" s="1" t="s">
        <v>165</v>
      </c>
      <c r="C154">
        <v>10826</v>
      </c>
      <c r="E154">
        <v>104</v>
      </c>
      <c r="G154">
        <v>10628</v>
      </c>
      <c r="H154">
        <v>94</v>
      </c>
      <c r="I154">
        <v>14</v>
      </c>
      <c r="J154">
        <v>101028</v>
      </c>
      <c r="K154">
        <v>971</v>
      </c>
      <c r="L154">
        <v>156035</v>
      </c>
      <c r="M154">
        <v>1456121</v>
      </c>
      <c r="N154">
        <v>107158</v>
      </c>
    </row>
    <row r="155" spans="1:14" x14ac:dyDescent="0.25">
      <c r="A155">
        <v>154</v>
      </c>
      <c r="B155" s="1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40070</v>
      </c>
      <c r="N155">
        <v>2156917</v>
      </c>
    </row>
    <row r="156" spans="1:14" x14ac:dyDescent="0.25">
      <c r="A156">
        <v>155</v>
      </c>
      <c r="B156" s="1" t="s">
        <v>167</v>
      </c>
      <c r="C156">
        <v>10641</v>
      </c>
      <c r="E156">
        <v>115</v>
      </c>
      <c r="G156">
        <v>10462</v>
      </c>
      <c r="H156">
        <v>64</v>
      </c>
      <c r="J156">
        <v>941</v>
      </c>
      <c r="K156">
        <v>10</v>
      </c>
      <c r="L156">
        <v>156542</v>
      </c>
      <c r="M156">
        <v>13845</v>
      </c>
      <c r="N156">
        <v>11306940</v>
      </c>
    </row>
    <row r="157" spans="1:14" x14ac:dyDescent="0.25">
      <c r="A157">
        <v>156</v>
      </c>
      <c r="B157" s="1" t="s">
        <v>168</v>
      </c>
      <c r="C157">
        <v>9184</v>
      </c>
      <c r="E157">
        <v>32</v>
      </c>
      <c r="G157">
        <v>6413</v>
      </c>
      <c r="H157">
        <v>2739</v>
      </c>
      <c r="J157">
        <v>92887</v>
      </c>
      <c r="K157">
        <v>324</v>
      </c>
      <c r="L157">
        <v>21504</v>
      </c>
      <c r="M157">
        <v>217491</v>
      </c>
      <c r="N157">
        <v>98873</v>
      </c>
    </row>
    <row r="158" spans="1:14" x14ac:dyDescent="0.25">
      <c r="A158">
        <v>157</v>
      </c>
      <c r="B158" s="1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48009</v>
      </c>
      <c r="N158">
        <v>12395725</v>
      </c>
    </row>
    <row r="159" spans="1:14" x14ac:dyDescent="0.25">
      <c r="A159">
        <v>158</v>
      </c>
      <c r="B159" s="1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85389</v>
      </c>
      <c r="N159">
        <v>1442446</v>
      </c>
    </row>
    <row r="160" spans="1:14" x14ac:dyDescent="0.25">
      <c r="A160">
        <v>159</v>
      </c>
      <c r="B160" s="1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6692543</v>
      </c>
    </row>
    <row r="161" spans="1:14" x14ac:dyDescent="0.25">
      <c r="A161">
        <v>160</v>
      </c>
      <c r="B161" s="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8345</v>
      </c>
      <c r="N161">
        <v>4902067</v>
      </c>
    </row>
    <row r="162" spans="1:14" x14ac:dyDescent="0.25">
      <c r="A162">
        <v>161</v>
      </c>
      <c r="B162" s="1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19018</v>
      </c>
      <c r="K162">
        <v>85</v>
      </c>
      <c r="L162">
        <v>622370</v>
      </c>
      <c r="M162">
        <v>1813660</v>
      </c>
      <c r="N162">
        <v>343157</v>
      </c>
    </row>
    <row r="163" spans="1:14" x14ac:dyDescent="0.25">
      <c r="A163">
        <v>162</v>
      </c>
      <c r="B163" s="1" t="s">
        <v>174</v>
      </c>
      <c r="C163">
        <v>6507</v>
      </c>
      <c r="E163">
        <v>1278</v>
      </c>
      <c r="G163">
        <v>3003</v>
      </c>
      <c r="H163">
        <v>2226</v>
      </c>
      <c r="I163">
        <v>23</v>
      </c>
      <c r="J163">
        <v>214</v>
      </c>
      <c r="K163">
        <v>42</v>
      </c>
      <c r="L163">
        <v>34842</v>
      </c>
      <c r="M163">
        <v>1146</v>
      </c>
      <c r="N163">
        <v>30390601</v>
      </c>
    </row>
    <row r="164" spans="1:14" x14ac:dyDescent="0.25">
      <c r="A164">
        <v>163</v>
      </c>
      <c r="B164" s="1" t="s">
        <v>175</v>
      </c>
      <c r="C164">
        <v>5934</v>
      </c>
      <c r="E164">
        <v>175</v>
      </c>
      <c r="G164">
        <v>5648</v>
      </c>
      <c r="H164">
        <v>111</v>
      </c>
      <c r="I164">
        <v>3</v>
      </c>
      <c r="J164">
        <v>2398</v>
      </c>
      <c r="K164">
        <v>71</v>
      </c>
      <c r="L164">
        <v>76379</v>
      </c>
      <c r="M164">
        <v>30861</v>
      </c>
      <c r="N164">
        <v>2474896</v>
      </c>
    </row>
    <row r="165" spans="1:14" x14ac:dyDescent="0.25">
      <c r="A165">
        <v>164</v>
      </c>
      <c r="B165" s="1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4074</v>
      </c>
      <c r="N165">
        <v>24955877</v>
      </c>
    </row>
    <row r="166" spans="1:14" x14ac:dyDescent="0.25">
      <c r="A166">
        <v>165</v>
      </c>
      <c r="B166" s="1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s="1" t="s">
        <v>178</v>
      </c>
      <c r="C167">
        <v>4895</v>
      </c>
      <c r="E167">
        <v>172</v>
      </c>
      <c r="G167">
        <v>4672</v>
      </c>
      <c r="H167">
        <v>51</v>
      </c>
      <c r="J167">
        <v>291</v>
      </c>
      <c r="K167">
        <v>10</v>
      </c>
      <c r="L167">
        <v>116167</v>
      </c>
      <c r="M167">
        <v>6902</v>
      </c>
      <c r="N167">
        <v>16830013</v>
      </c>
    </row>
    <row r="168" spans="1:14" x14ac:dyDescent="0.25">
      <c r="A168">
        <v>167</v>
      </c>
      <c r="B168" s="1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231312</v>
      </c>
      <c r="N168">
        <v>184353</v>
      </c>
    </row>
    <row r="169" spans="1:14" x14ac:dyDescent="0.25">
      <c r="A169">
        <v>168</v>
      </c>
      <c r="B169" s="1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240870</v>
      </c>
      <c r="M169">
        <v>7151297</v>
      </c>
      <c r="N169">
        <v>33682</v>
      </c>
    </row>
    <row r="170" spans="1:14" x14ac:dyDescent="0.25">
      <c r="A170">
        <v>169</v>
      </c>
      <c r="B170" s="1" t="s">
        <v>181</v>
      </c>
      <c r="C170">
        <v>4261</v>
      </c>
      <c r="E170">
        <v>6</v>
      </c>
      <c r="G170">
        <v>773</v>
      </c>
      <c r="H170">
        <v>3482</v>
      </c>
      <c r="J170">
        <v>349</v>
      </c>
      <c r="K170">
        <v>0.5</v>
      </c>
      <c r="L170">
        <v>279132</v>
      </c>
      <c r="M170">
        <v>22890</v>
      </c>
      <c r="N170">
        <v>12194320</v>
      </c>
    </row>
    <row r="171" spans="1:14" x14ac:dyDescent="0.25">
      <c r="A171">
        <v>170</v>
      </c>
      <c r="B171" s="1" t="s">
        <v>182</v>
      </c>
      <c r="C171">
        <v>4096</v>
      </c>
      <c r="E171">
        <v>79</v>
      </c>
      <c r="G171">
        <v>3098</v>
      </c>
      <c r="H171">
        <v>919</v>
      </c>
      <c r="J171">
        <v>505</v>
      </c>
      <c r="K171">
        <v>10</v>
      </c>
      <c r="L171">
        <v>153257</v>
      </c>
      <c r="M171">
        <v>18882</v>
      </c>
      <c r="N171">
        <v>8116504</v>
      </c>
    </row>
    <row r="172" spans="1:14" x14ac:dyDescent="0.25">
      <c r="A172">
        <v>171</v>
      </c>
      <c r="B172" s="1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2592986</v>
      </c>
      <c r="N172">
        <v>175247</v>
      </c>
    </row>
    <row r="173" spans="1:14" x14ac:dyDescent="0.25">
      <c r="A173">
        <v>172</v>
      </c>
      <c r="B173" s="1" t="s">
        <v>184</v>
      </c>
      <c r="C173">
        <v>3959</v>
      </c>
      <c r="E173">
        <v>46</v>
      </c>
      <c r="G173">
        <v>3908</v>
      </c>
      <c r="H173">
        <v>5</v>
      </c>
      <c r="J173">
        <v>13762</v>
      </c>
      <c r="K173">
        <v>160</v>
      </c>
      <c r="L173">
        <v>161164</v>
      </c>
      <c r="M173">
        <v>560220</v>
      </c>
      <c r="N173">
        <v>287680</v>
      </c>
    </row>
    <row r="174" spans="1:14" x14ac:dyDescent="0.25">
      <c r="A174">
        <v>173</v>
      </c>
      <c r="B174" s="1" t="s">
        <v>185</v>
      </c>
      <c r="C174">
        <v>3879</v>
      </c>
      <c r="E174">
        <v>8</v>
      </c>
      <c r="G174">
        <v>2060</v>
      </c>
      <c r="H174">
        <v>1811</v>
      </c>
      <c r="J174">
        <v>2895</v>
      </c>
      <c r="K174">
        <v>6</v>
      </c>
      <c r="L174">
        <v>84361</v>
      </c>
      <c r="M174">
        <v>62953</v>
      </c>
      <c r="N174">
        <v>1340053</v>
      </c>
    </row>
    <row r="175" spans="1:14" x14ac:dyDescent="0.25">
      <c r="A175">
        <v>174</v>
      </c>
      <c r="B175" s="1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885528</v>
      </c>
    </row>
    <row r="176" spans="1:14" x14ac:dyDescent="0.25">
      <c r="A176">
        <v>175</v>
      </c>
      <c r="B176" s="1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3588734</v>
      </c>
    </row>
    <row r="177" spans="1:14" x14ac:dyDescent="0.25">
      <c r="A177">
        <v>176</v>
      </c>
      <c r="B177" s="1" t="s">
        <v>188</v>
      </c>
      <c r="C177">
        <v>3743</v>
      </c>
      <c r="E177">
        <v>67</v>
      </c>
      <c r="G177">
        <v>3418</v>
      </c>
      <c r="H177">
        <v>258</v>
      </c>
      <c r="I177">
        <v>9</v>
      </c>
      <c r="J177">
        <v>1864</v>
      </c>
      <c r="K177">
        <v>33</v>
      </c>
      <c r="L177">
        <v>65224</v>
      </c>
      <c r="M177">
        <v>32483</v>
      </c>
      <c r="N177">
        <v>2007958</v>
      </c>
    </row>
    <row r="178" spans="1:14" x14ac:dyDescent="0.25">
      <c r="A178">
        <v>177</v>
      </c>
      <c r="B178" s="1" t="s">
        <v>189</v>
      </c>
      <c r="C178">
        <v>3710</v>
      </c>
      <c r="E178">
        <v>35</v>
      </c>
      <c r="G178">
        <v>2657</v>
      </c>
      <c r="H178">
        <v>1018</v>
      </c>
      <c r="J178">
        <v>38</v>
      </c>
      <c r="K178">
        <v>0.4</v>
      </c>
      <c r="L178">
        <v>3091540</v>
      </c>
      <c r="M178">
        <v>31516</v>
      </c>
      <c r="N178">
        <v>98094805</v>
      </c>
    </row>
    <row r="179" spans="1:14" x14ac:dyDescent="0.25">
      <c r="A179">
        <v>178</v>
      </c>
      <c r="B179" s="1" t="s">
        <v>190</v>
      </c>
      <c r="C179">
        <v>2980</v>
      </c>
      <c r="E179">
        <v>58</v>
      </c>
      <c r="G179">
        <v>2887</v>
      </c>
      <c r="H179">
        <v>35</v>
      </c>
      <c r="I179">
        <v>3</v>
      </c>
      <c r="J179">
        <v>77964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s="1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s="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63067</v>
      </c>
      <c r="K181">
        <v>810</v>
      </c>
      <c r="L181">
        <v>51953</v>
      </c>
      <c r="M181">
        <v>1315865</v>
      </c>
      <c r="N181">
        <v>39482</v>
      </c>
    </row>
    <row r="182" spans="1:14" x14ac:dyDescent="0.25">
      <c r="A182">
        <v>181</v>
      </c>
      <c r="B182" s="1" t="s">
        <v>193</v>
      </c>
      <c r="C182">
        <v>2461</v>
      </c>
      <c r="E182">
        <v>31</v>
      </c>
      <c r="G182">
        <v>2222</v>
      </c>
      <c r="H182">
        <v>208</v>
      </c>
      <c r="I182">
        <v>11</v>
      </c>
      <c r="J182">
        <v>39643</v>
      </c>
      <c r="K182">
        <v>499</v>
      </c>
      <c r="L182">
        <v>251454</v>
      </c>
      <c r="M182">
        <v>4050548</v>
      </c>
      <c r="N182">
        <v>62079</v>
      </c>
    </row>
    <row r="183" spans="1:14" x14ac:dyDescent="0.25">
      <c r="A183">
        <v>182</v>
      </c>
      <c r="B183" s="1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61375</v>
      </c>
      <c r="K183">
        <v>434</v>
      </c>
      <c r="L183">
        <v>65926</v>
      </c>
      <c r="M183">
        <v>1683117</v>
      </c>
      <c r="N183">
        <v>39169</v>
      </c>
    </row>
    <row r="184" spans="1:14" x14ac:dyDescent="0.25">
      <c r="A184">
        <v>183</v>
      </c>
      <c r="B184" s="1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58380</v>
      </c>
      <c r="N184">
        <v>222662</v>
      </c>
    </row>
    <row r="185" spans="1:14" x14ac:dyDescent="0.25">
      <c r="A185">
        <v>184</v>
      </c>
      <c r="B185" s="1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52476</v>
      </c>
      <c r="K185">
        <v>624</v>
      </c>
      <c r="L185">
        <v>26880</v>
      </c>
      <c r="M185">
        <v>620843</v>
      </c>
      <c r="N185">
        <v>43296</v>
      </c>
    </row>
    <row r="186" spans="1:14" x14ac:dyDescent="0.25">
      <c r="A186">
        <v>185</v>
      </c>
      <c r="B186" s="1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18969</v>
      </c>
      <c r="N186">
        <v>5159805</v>
      </c>
    </row>
    <row r="187" spans="1:14" x14ac:dyDescent="0.25">
      <c r="A187">
        <v>186</v>
      </c>
      <c r="B187" s="1" t="s">
        <v>198</v>
      </c>
      <c r="C187">
        <v>1928</v>
      </c>
      <c r="E187">
        <v>12</v>
      </c>
      <c r="G187">
        <v>1764</v>
      </c>
      <c r="H187">
        <v>152</v>
      </c>
      <c r="I187">
        <v>2</v>
      </c>
      <c r="J187">
        <v>17331</v>
      </c>
      <c r="K187">
        <v>108</v>
      </c>
      <c r="L187">
        <v>46829</v>
      </c>
      <c r="M187">
        <v>420954</v>
      </c>
      <c r="N187">
        <v>111245</v>
      </c>
    </row>
    <row r="188" spans="1:14" x14ac:dyDescent="0.25">
      <c r="A188">
        <v>187</v>
      </c>
      <c r="B188" s="1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45190</v>
      </c>
      <c r="K188">
        <v>306</v>
      </c>
      <c r="L188">
        <v>27588</v>
      </c>
      <c r="M188">
        <v>703166</v>
      </c>
      <c r="N188">
        <v>39234</v>
      </c>
    </row>
    <row r="189" spans="1:14" x14ac:dyDescent="0.25">
      <c r="A189">
        <v>188</v>
      </c>
      <c r="B189" s="1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523999</v>
      </c>
      <c r="N189">
        <v>85422</v>
      </c>
    </row>
    <row r="190" spans="1:14" x14ac:dyDescent="0.25">
      <c r="A190">
        <v>189</v>
      </c>
      <c r="B190" s="1" t="s">
        <v>201</v>
      </c>
      <c r="C190">
        <v>1590</v>
      </c>
      <c r="E190">
        <v>17</v>
      </c>
      <c r="G190">
        <v>1558</v>
      </c>
      <c r="H190">
        <v>15</v>
      </c>
      <c r="J190">
        <v>60152</v>
      </c>
      <c r="K190">
        <v>643</v>
      </c>
      <c r="L190">
        <v>10040</v>
      </c>
      <c r="M190">
        <v>379828</v>
      </c>
      <c r="N190">
        <v>26433</v>
      </c>
    </row>
    <row r="191" spans="1:14" x14ac:dyDescent="0.25">
      <c r="A191">
        <v>190</v>
      </c>
      <c r="B191" s="1" t="s">
        <v>202</v>
      </c>
      <c r="C191">
        <v>1482</v>
      </c>
      <c r="E191">
        <v>1</v>
      </c>
      <c r="G191">
        <v>431</v>
      </c>
      <c r="H191">
        <v>1050</v>
      </c>
      <c r="J191">
        <v>201</v>
      </c>
      <c r="K191">
        <v>0.1</v>
      </c>
      <c r="L191">
        <v>212173</v>
      </c>
      <c r="M191">
        <v>28802</v>
      </c>
      <c r="N191">
        <v>7366551</v>
      </c>
    </row>
    <row r="192" spans="1:14" x14ac:dyDescent="0.25">
      <c r="A192">
        <v>191</v>
      </c>
      <c r="B192" s="1" t="s">
        <v>203</v>
      </c>
      <c r="C192">
        <v>1274</v>
      </c>
      <c r="E192">
        <v>17</v>
      </c>
      <c r="G192">
        <v>1130</v>
      </c>
      <c r="H192">
        <v>127</v>
      </c>
      <c r="J192">
        <v>1000</v>
      </c>
      <c r="K192">
        <v>13</v>
      </c>
      <c r="L192">
        <v>358675</v>
      </c>
      <c r="M192">
        <v>281624</v>
      </c>
      <c r="N192">
        <v>1273594</v>
      </c>
    </row>
    <row r="193" spans="1:14" x14ac:dyDescent="0.25">
      <c r="A193">
        <v>192</v>
      </c>
      <c r="B193" s="1" t="s">
        <v>204</v>
      </c>
      <c r="C193">
        <v>1263</v>
      </c>
      <c r="E193">
        <v>1</v>
      </c>
      <c r="G193">
        <v>1121</v>
      </c>
      <c r="H193">
        <v>141</v>
      </c>
      <c r="J193">
        <v>1621</v>
      </c>
      <c r="K193">
        <v>1</v>
      </c>
      <c r="L193">
        <v>736272</v>
      </c>
      <c r="M193">
        <v>945224</v>
      </c>
      <c r="N193">
        <v>778939</v>
      </c>
    </row>
    <row r="194" spans="1:14" x14ac:dyDescent="0.25">
      <c r="A194">
        <v>193</v>
      </c>
      <c r="B194" s="1" t="s">
        <v>205</v>
      </c>
      <c r="C194">
        <v>1256</v>
      </c>
      <c r="E194">
        <v>12</v>
      </c>
      <c r="G194">
        <v>1102</v>
      </c>
      <c r="H194">
        <v>142</v>
      </c>
      <c r="J194">
        <v>53</v>
      </c>
      <c r="K194">
        <v>0.5</v>
      </c>
      <c r="L194">
        <v>571259</v>
      </c>
      <c r="M194">
        <v>23948</v>
      </c>
      <c r="N194">
        <v>23854078</v>
      </c>
    </row>
    <row r="195" spans="1:14" x14ac:dyDescent="0.25">
      <c r="A195">
        <v>194</v>
      </c>
      <c r="B195" s="1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169321</v>
      </c>
      <c r="N195">
        <v>98629</v>
      </c>
    </row>
    <row r="196" spans="1:14" x14ac:dyDescent="0.25">
      <c r="A196">
        <v>195</v>
      </c>
      <c r="B196" s="1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s="1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s="1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258096</v>
      </c>
      <c r="M198">
        <v>5264687</v>
      </c>
      <c r="N198">
        <v>49024</v>
      </c>
    </row>
    <row r="199" spans="1:14" x14ac:dyDescent="0.25">
      <c r="A199">
        <v>198</v>
      </c>
      <c r="B199" s="1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1406158</v>
      </c>
      <c r="N199">
        <v>66388</v>
      </c>
    </row>
    <row r="200" spans="1:14" x14ac:dyDescent="0.25">
      <c r="A200">
        <v>199</v>
      </c>
      <c r="B200" s="1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61193226</v>
      </c>
    </row>
    <row r="201" spans="1:14" x14ac:dyDescent="0.25">
      <c r="A201">
        <v>200</v>
      </c>
      <c r="B201" s="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40206</v>
      </c>
      <c r="K201">
        <v>632</v>
      </c>
      <c r="L201">
        <v>17264</v>
      </c>
      <c r="M201">
        <v>1559812</v>
      </c>
      <c r="N201">
        <v>11068</v>
      </c>
    </row>
    <row r="202" spans="1:14" x14ac:dyDescent="0.25">
      <c r="A202">
        <v>201</v>
      </c>
      <c r="B202" s="1" t="s">
        <v>213</v>
      </c>
      <c r="C202">
        <v>231</v>
      </c>
      <c r="E202">
        <v>3</v>
      </c>
      <c r="G202">
        <v>220</v>
      </c>
      <c r="H202">
        <v>8</v>
      </c>
      <c r="J202">
        <v>524</v>
      </c>
      <c r="K202">
        <v>7</v>
      </c>
      <c r="L202">
        <v>122884</v>
      </c>
      <c r="M202">
        <v>278589</v>
      </c>
      <c r="N202">
        <v>441095</v>
      </c>
    </row>
    <row r="203" spans="1:14" x14ac:dyDescent="0.25">
      <c r="A203">
        <v>202</v>
      </c>
      <c r="B203" s="1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s="1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s="1" t="s">
        <v>216</v>
      </c>
      <c r="C205">
        <v>165</v>
      </c>
      <c r="E205">
        <v>4</v>
      </c>
      <c r="G205">
        <v>109</v>
      </c>
      <c r="H205">
        <v>52</v>
      </c>
      <c r="J205">
        <v>183</v>
      </c>
      <c r="K205">
        <v>4</v>
      </c>
      <c r="L205">
        <v>70792</v>
      </c>
      <c r="M205">
        <v>78478</v>
      </c>
      <c r="N205">
        <v>902057</v>
      </c>
    </row>
    <row r="206" spans="1:14" x14ac:dyDescent="0.25">
      <c r="A206">
        <v>205</v>
      </c>
      <c r="B206" s="1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253899</v>
      </c>
      <c r="N206">
        <v>112974</v>
      </c>
    </row>
    <row r="207" spans="1:14" x14ac:dyDescent="0.25">
      <c r="A207">
        <v>206</v>
      </c>
      <c r="B207" s="1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108265</v>
      </c>
      <c r="N207">
        <v>287867</v>
      </c>
    </row>
    <row r="208" spans="1:14" x14ac:dyDescent="0.25">
      <c r="A208">
        <v>207</v>
      </c>
      <c r="B208" s="1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s="1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s="1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656966</v>
      </c>
    </row>
    <row r="211" spans="1:14" x14ac:dyDescent="0.25">
      <c r="A211">
        <v>210</v>
      </c>
      <c r="B211" s="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255792</v>
      </c>
      <c r="N211">
        <v>53524</v>
      </c>
    </row>
    <row r="212" spans="1:14" x14ac:dyDescent="0.25">
      <c r="A212">
        <v>211</v>
      </c>
      <c r="B212" s="1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s="1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s="1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s="1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s="1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701349</v>
      </c>
    </row>
    <row r="217" spans="1:14" x14ac:dyDescent="0.25">
      <c r="A217">
        <v>216</v>
      </c>
      <c r="B217" s="1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609951</v>
      </c>
    </row>
    <row r="218" spans="1:14" x14ac:dyDescent="0.25">
      <c r="A218">
        <v>217</v>
      </c>
      <c r="B218" s="1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s="1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73409</v>
      </c>
      <c r="N219">
        <v>313311</v>
      </c>
    </row>
    <row r="220" spans="1:14" x14ac:dyDescent="0.25">
      <c r="A220">
        <v>219</v>
      </c>
      <c r="B220" s="1" t="s">
        <v>231</v>
      </c>
      <c r="C220">
        <v>4</v>
      </c>
      <c r="G220">
        <v>4</v>
      </c>
      <c r="H220">
        <v>0</v>
      </c>
      <c r="J220">
        <v>67</v>
      </c>
      <c r="N220">
        <v>59535</v>
      </c>
    </row>
    <row r="221" spans="1:14" x14ac:dyDescent="0.25">
      <c r="A221">
        <v>220</v>
      </c>
      <c r="B221" s="1" t="s">
        <v>232</v>
      </c>
      <c r="C221">
        <v>3</v>
      </c>
      <c r="G221">
        <v>2</v>
      </c>
      <c r="H221">
        <v>1</v>
      </c>
      <c r="J221">
        <v>15</v>
      </c>
      <c r="N221">
        <v>199553</v>
      </c>
    </row>
    <row r="222" spans="1:14" x14ac:dyDescent="0.25">
      <c r="A222">
        <v>221</v>
      </c>
      <c r="B222" s="1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s="1" t="s">
        <v>234</v>
      </c>
      <c r="C223">
        <v>1</v>
      </c>
      <c r="G223">
        <v>1</v>
      </c>
      <c r="H223">
        <v>0</v>
      </c>
      <c r="J223">
        <v>9</v>
      </c>
      <c r="N223">
        <v>116064</v>
      </c>
    </row>
    <row r="225" spans="2:11" x14ac:dyDescent="0.25">
      <c r="B225" t="s">
        <v>235</v>
      </c>
      <c r="C225">
        <v>39072000</v>
      </c>
      <c r="D225">
        <v>3632</v>
      </c>
      <c r="E225">
        <v>876154</v>
      </c>
      <c r="F225">
        <v>311</v>
      </c>
      <c r="G225">
        <v>31184603</v>
      </c>
      <c r="H225">
        <v>7011243</v>
      </c>
      <c r="I225">
        <v>16430</v>
      </c>
    </row>
    <row r="226" spans="2:11" x14ac:dyDescent="0.25">
      <c r="B226" t="s">
        <v>236</v>
      </c>
      <c r="C226">
        <v>45698721</v>
      </c>
      <c r="D226">
        <v>1269</v>
      </c>
      <c r="E226">
        <v>591994</v>
      </c>
      <c r="F226">
        <v>9</v>
      </c>
      <c r="G226">
        <v>39799196</v>
      </c>
      <c r="H226">
        <v>5307531</v>
      </c>
      <c r="I226">
        <v>32313</v>
      </c>
    </row>
    <row r="227" spans="2:11" x14ac:dyDescent="0.25">
      <c r="B227" t="s">
        <v>237</v>
      </c>
      <c r="C227">
        <v>26415596</v>
      </c>
      <c r="E227">
        <v>718977</v>
      </c>
      <c r="G227">
        <v>23962329</v>
      </c>
      <c r="H227">
        <v>1734290</v>
      </c>
      <c r="I227">
        <v>28211</v>
      </c>
    </row>
    <row r="228" spans="2:11" x14ac:dyDescent="0.25">
      <c r="B228" t="s">
        <v>238</v>
      </c>
      <c r="C228">
        <v>45863910</v>
      </c>
      <c r="E228">
        <v>1044220</v>
      </c>
      <c r="G228">
        <v>41405659</v>
      </c>
      <c r="H228">
        <v>3414031</v>
      </c>
      <c r="I228">
        <v>24188</v>
      </c>
    </row>
    <row r="229" spans="2:11" x14ac:dyDescent="0.25">
      <c r="B229" t="s">
        <v>239</v>
      </c>
      <c r="C229">
        <v>4708637</v>
      </c>
      <c r="E229">
        <v>125938</v>
      </c>
      <c r="G229">
        <v>4243248</v>
      </c>
      <c r="H229">
        <v>339451</v>
      </c>
      <c r="I229">
        <v>3079</v>
      </c>
    </row>
    <row r="230" spans="2:11" x14ac:dyDescent="0.25">
      <c r="B230" t="s">
        <v>240</v>
      </c>
      <c r="C230">
        <v>65407</v>
      </c>
      <c r="D230">
        <v>3</v>
      </c>
      <c r="E230">
        <v>1222</v>
      </c>
      <c r="G230">
        <v>61315</v>
      </c>
      <c r="H230">
        <v>2870</v>
      </c>
      <c r="I230">
        <v>3</v>
      </c>
    </row>
    <row r="231" spans="2:11" x14ac:dyDescent="0.25">
      <c r="B231" t="s">
        <v>241</v>
      </c>
      <c r="C231">
        <v>721</v>
      </c>
      <c r="E231">
        <v>15</v>
      </c>
      <c r="G231">
        <v>706</v>
      </c>
      <c r="H231">
        <v>0</v>
      </c>
      <c r="I231">
        <v>0</v>
      </c>
    </row>
    <row r="232" spans="2:11" x14ac:dyDescent="0.25">
      <c r="B232" t="s">
        <v>242</v>
      </c>
      <c r="C232" s="2">
        <v>161824992</v>
      </c>
      <c r="D232" s="2">
        <v>4904</v>
      </c>
      <c r="E232" s="3">
        <v>3358520</v>
      </c>
      <c r="F232" s="2">
        <v>320</v>
      </c>
      <c r="G232" s="2">
        <v>140657056</v>
      </c>
      <c r="H232" s="2">
        <v>17809416</v>
      </c>
      <c r="I232" s="2">
        <v>104224</v>
      </c>
      <c r="J232" s="2">
        <v>20761</v>
      </c>
      <c r="K232" s="4">
        <v>430.9</v>
      </c>
    </row>
    <row r="234" spans="2:11" x14ac:dyDescent="0.25">
      <c r="D234" t="s">
        <v>254</v>
      </c>
      <c r="E234" s="5">
        <f>(1-E232/C232)</f>
        <v>0.97924597456491769</v>
      </c>
    </row>
    <row r="237" spans="2:11" x14ac:dyDescent="0.25">
      <c r="B237" t="s">
        <v>243</v>
      </c>
      <c r="C237">
        <v>161824992</v>
      </c>
      <c r="D237">
        <v>4904</v>
      </c>
      <c r="E237">
        <v>3358520</v>
      </c>
      <c r="F237">
        <v>320</v>
      </c>
      <c r="G237">
        <v>140657056</v>
      </c>
      <c r="H237">
        <v>17809416</v>
      </c>
      <c r="I237">
        <v>104224</v>
      </c>
      <c r="J237">
        <v>20761</v>
      </c>
      <c r="K237">
        <v>430.9</v>
      </c>
    </row>
    <row r="238" spans="2:11" x14ac:dyDescent="0.25">
      <c r="B238" t="s">
        <v>244</v>
      </c>
      <c r="C238">
        <v>45863910</v>
      </c>
      <c r="E238">
        <v>1044220</v>
      </c>
      <c r="G238">
        <v>41405659</v>
      </c>
      <c r="H238">
        <v>3414031</v>
      </c>
      <c r="I238">
        <v>24188</v>
      </c>
    </row>
    <row r="239" spans="2:11" x14ac:dyDescent="0.25">
      <c r="B239" t="s">
        <v>245</v>
      </c>
      <c r="C239">
        <v>45698721</v>
      </c>
      <c r="D239">
        <v>1269</v>
      </c>
      <c r="E239">
        <v>591994</v>
      </c>
      <c r="F239">
        <v>9</v>
      </c>
      <c r="G239">
        <v>39799196</v>
      </c>
      <c r="H239">
        <v>5307531</v>
      </c>
      <c r="I239">
        <v>32313</v>
      </c>
    </row>
    <row r="240" spans="2:11" x14ac:dyDescent="0.25">
      <c r="B240" t="s">
        <v>246</v>
      </c>
      <c r="C240">
        <v>39072000</v>
      </c>
      <c r="D240">
        <v>3632</v>
      </c>
      <c r="E240">
        <v>876154</v>
      </c>
      <c r="F240">
        <v>311</v>
      </c>
      <c r="G240">
        <v>31184603</v>
      </c>
      <c r="H240">
        <v>7011243</v>
      </c>
      <c r="I240">
        <v>16430</v>
      </c>
    </row>
    <row r="241" spans="2:9" x14ac:dyDescent="0.25">
      <c r="B241" t="s">
        <v>247</v>
      </c>
      <c r="C241">
        <v>26415596</v>
      </c>
      <c r="E241">
        <v>718977</v>
      </c>
      <c r="G241">
        <v>23962329</v>
      </c>
      <c r="H241">
        <v>1734290</v>
      </c>
      <c r="I241">
        <v>28211</v>
      </c>
    </row>
    <row r="242" spans="2:9" x14ac:dyDescent="0.25">
      <c r="B242" s="1" t="s">
        <v>248</v>
      </c>
      <c r="C242">
        <v>4708637</v>
      </c>
      <c r="E242">
        <v>125938</v>
      </c>
      <c r="G242">
        <v>4243248</v>
      </c>
      <c r="H242">
        <v>339451</v>
      </c>
      <c r="I242">
        <v>3079</v>
      </c>
    </row>
    <row r="243" spans="2:9" x14ac:dyDescent="0.25">
      <c r="B243" s="1" t="s">
        <v>249</v>
      </c>
      <c r="C243">
        <v>65407</v>
      </c>
      <c r="D243">
        <v>3</v>
      </c>
      <c r="E243">
        <v>1222</v>
      </c>
      <c r="G243">
        <v>61315</v>
      </c>
      <c r="H243">
        <v>2870</v>
      </c>
      <c r="I243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4559C-ADD3-41D3-A598-0304BBF73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CountryLookup</vt:lpstr>
      <vt:lpstr>CountryLookup (2)</vt:lpstr>
      <vt:lpstr>CountryLookup (3)</vt:lpstr>
      <vt:lpstr>COVID-19 Stats 5-17-2021</vt:lpstr>
      <vt:lpstr>COVID-19 Stats 5-14-2021</vt:lpstr>
      <vt:lpstr>COVID-19 Stats 5-13-2021</vt:lpstr>
      <vt:lpstr>COVID</vt:lpstr>
      <vt:lpstr>COVIDstats</vt:lpstr>
      <vt:lpstr>'CountryLookup (3)'!May172021Stats</vt:lpstr>
      <vt:lpstr>May172021Stats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2021-05-14T23:41:29Z</dcterms:created>
  <dcterms:modified xsi:type="dcterms:W3CDTF">2021-05-20T21:43:36Z</dcterms:modified>
</cp:coreProperties>
</file>