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597" documentId="8_{5F8F57C8-661F-40BF-BDC3-E1E9AAA97150}" xr6:coauthVersionLast="46" xr6:coauthVersionMax="46" xr10:uidLastSave="{153525EE-7C49-4CF3-8C50-F538DEDFA5BA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B32" i="4"/>
  <c r="C2" i="4"/>
  <c r="B3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B3" i="4"/>
  <c r="C3" i="4"/>
  <c r="D3" i="4"/>
  <c r="D4" i="1"/>
  <c r="E4" i="1"/>
  <c r="F4" i="1"/>
  <c r="G4" i="1"/>
  <c r="C4" i="1"/>
  <c r="B4" i="1"/>
  <c r="B4" i="4"/>
  <c r="B5" i="4"/>
  <c r="C4" i="4"/>
  <c r="D4" i="4"/>
  <c r="B6" i="4"/>
  <c r="C5" i="4"/>
  <c r="D5" i="4"/>
  <c r="B7" i="4"/>
  <c r="C6" i="4"/>
  <c r="D6" i="4"/>
  <c r="B8" i="4"/>
  <c r="C7" i="4"/>
  <c r="D7" i="4"/>
  <c r="B9" i="4"/>
  <c r="C8" i="4"/>
  <c r="D8" i="4"/>
  <c r="B10" i="4"/>
  <c r="C9" i="4"/>
  <c r="D9" i="4"/>
  <c r="B11" i="4"/>
  <c r="C10" i="4"/>
  <c r="D10" i="4"/>
  <c r="B12" i="4"/>
  <c r="C11" i="4"/>
  <c r="D11" i="4"/>
  <c r="B13" i="4"/>
  <c r="B14" i="4"/>
  <c r="C12" i="4"/>
  <c r="D12" i="4"/>
  <c r="B15" i="4"/>
  <c r="C14" i="4"/>
  <c r="D14" i="4"/>
  <c r="C13" i="4"/>
  <c r="D13" i="4"/>
  <c r="C15" i="4"/>
  <c r="D15" i="4"/>
  <c r="B16" i="4"/>
  <c r="B17" i="4"/>
  <c r="C17" i="4"/>
  <c r="D17" i="4"/>
  <c r="C16" i="4"/>
  <c r="D16" i="4"/>
</calcChain>
</file>

<file path=xl/sharedStrings.xml><?xml version="1.0" encoding="utf-8"?>
<sst xmlns="http://schemas.openxmlformats.org/spreadsheetml/2006/main" count="98" uniqueCount="38">
  <si>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</si>
  <si>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</si>
  <si>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</si>
  <si>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</si>
  <si>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</si>
  <si>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</si>
  <si>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</si>
  <si>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</si>
  <si>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</si>
  <si>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</si>
  <si>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</si>
  <si>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</si>
  <si>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</si>
  <si>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</si>
  <si>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</si>
  <si>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</si>
  <si>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</si>
  <si>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</si>
  <si>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</si>
  <si>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</si>
  <si>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</si>
  <si>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</si>
  <si>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</si>
  <si>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</si>
  <si>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</si>
  <si>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=VLOOKUP(B2,Age_Decades,2,FALSE)</t>
  </si>
  <si>
    <t>C2 =</t>
  </si>
  <si>
    <t>D2 =</t>
  </si>
  <si>
    <t>Teen</t>
  </si>
  <si>
    <t>=IF(Inputs!$B$2="Male",(HLOOKUP(C2,Probably,2,FALSE)*(Tables!$J$2*12)),(HLOOKUP(C2,Probably,3,FALSE)*(Tables!$J$3*12))) * IF(Inputs!$B$3="Unhealthy",1.5,1)</t>
  </si>
  <si>
    <t>Profit =</t>
  </si>
  <si>
    <t>Premiums rec'vd - Claims filed - overhead</t>
  </si>
  <si>
    <t>[gross premiums] - [claims] - 1.4*[claims]</t>
  </si>
  <si>
    <t>2.4*[claims] + Profit = [gross premiums]</t>
  </si>
  <si>
    <t>2.4*[claims] + 4*[claims] = [gross premiums] = 6.4 * [claims]</t>
  </si>
  <si>
    <t>Let Profit = 4*[claims]</t>
  </si>
  <si>
    <t>Suggested annual premium (SAP)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</si>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</sst>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6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7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IF(Inputs!$B$2="Male",(HLOOKUP(C2,Probably,2,FALSE)*(Tables!$J$2*12)),(HLOOKUP(C2,Probably,3,FALSE)*(Tables!$J$3*12)))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2" width="11.42578125" style="6" bestFit="1" customWidth="1"/>
    <col min="3" max="16384" width="9.140625" style="6"/>
  </cols>
  <sheetData>
    <row r="1" spans="1:2" x14ac:dyDescent="0.3">
      <c r="A1" s="15" t="s">
        <v>1</v>
      </c>
      <c r="B1" s="24"/>
    </row>
    <row r="2" spans="1:2" x14ac:dyDescent="0.3">
      <c r="A2" s="15" t="s">
        <v>0</v>
      </c>
      <c r="B2" s="25"/>
    </row>
    <row r="3" spans="1:2" x14ac:dyDescent="0.3">
      <c r="A3" s="15" t="s">
        <v>18</v>
      </c>
      <c r="B3" s="25"/>
    </row>
    <row r="5" spans="1:2" x14ac:dyDescent="0.3">
      <c r="B5" s="14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C3" sqref="C3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41" t="s">
        <v>11</v>
      </c>
      <c r="B1" s="41"/>
      <c r="C1" s="41"/>
      <c r="D1" s="41"/>
      <c r="E1" s="41"/>
      <c r="F1" s="41"/>
      <c r="G1" s="41"/>
      <c r="I1" s="40" t="s">
        <v>12</v>
      </c>
      <c r="J1" s="40"/>
      <c r="K1" s="40"/>
    </row>
    <row r="2" spans="1:17" ht="18.75" x14ac:dyDescent="0.35">
      <c r="A2" s="2" t="s">
        <v>13</v>
      </c>
      <c r="B2" s="36" t="s">
        <v>28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7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8" t="s">
        <v>2</v>
      </c>
      <c r="B3" s="29">
        <f>C3</f>
        <v>0.01</v>
      </c>
      <c r="C3" s="29">
        <v>0.01</v>
      </c>
      <c r="D3" s="29">
        <v>1.4999999999999999E-2</v>
      </c>
      <c r="E3" s="29">
        <v>0.03</v>
      </c>
      <c r="F3" s="29">
        <v>0.05</v>
      </c>
      <c r="G3" s="29">
        <v>0.08</v>
      </c>
      <c r="H3" s="9"/>
      <c r="I3" s="7" t="s">
        <v>3</v>
      </c>
      <c r="J3" s="38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8" t="s">
        <v>3</v>
      </c>
      <c r="B4" s="29">
        <f>C4</f>
        <v>7.4999999999999997E-3</v>
      </c>
      <c r="C4" s="29">
        <f>0.75*C3</f>
        <v>7.4999999999999997E-3</v>
      </c>
      <c r="D4" s="29">
        <f t="shared" ref="D4:G4" si="0">0.75*D3</f>
        <v>1.125E-2</v>
      </c>
      <c r="E4" s="29">
        <f t="shared" si="0"/>
        <v>2.2499999999999999E-2</v>
      </c>
      <c r="F4" s="29">
        <f t="shared" si="0"/>
        <v>3.7500000000000006E-2</v>
      </c>
      <c r="G4" s="29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4" t="s">
        <v>1</v>
      </c>
      <c r="B10" s="35" t="s">
        <v>24</v>
      </c>
      <c r="D10" s="13"/>
    </row>
    <row r="11" spans="1:17" x14ac:dyDescent="0.3">
      <c r="A11" s="30">
        <v>18</v>
      </c>
      <c r="B11" s="31" t="s">
        <v>28</v>
      </c>
      <c r="D11" s="13"/>
    </row>
    <row r="12" spans="1:17" x14ac:dyDescent="0.3">
      <c r="A12" s="30">
        <v>19</v>
      </c>
      <c r="B12" s="31" t="s">
        <v>28</v>
      </c>
      <c r="D12" s="13"/>
    </row>
    <row r="13" spans="1:17" x14ac:dyDescent="0.3">
      <c r="A13" s="30">
        <v>20</v>
      </c>
      <c r="B13" s="31" t="s">
        <v>4</v>
      </c>
    </row>
    <row r="14" spans="1:17" x14ac:dyDescent="0.3">
      <c r="A14" s="30">
        <v>21</v>
      </c>
      <c r="B14" s="31" t="s">
        <v>4</v>
      </c>
    </row>
    <row r="15" spans="1:17" x14ac:dyDescent="0.3">
      <c r="A15" s="30">
        <v>22</v>
      </c>
      <c r="B15" s="31" t="s">
        <v>4</v>
      </c>
    </row>
    <row r="16" spans="1:17" x14ac:dyDescent="0.3">
      <c r="A16" s="30">
        <v>23</v>
      </c>
      <c r="B16" s="31" t="s">
        <v>4</v>
      </c>
    </row>
    <row r="17" spans="1:2" x14ac:dyDescent="0.3">
      <c r="A17" s="30">
        <v>24</v>
      </c>
      <c r="B17" s="31" t="s">
        <v>4</v>
      </c>
    </row>
    <row r="18" spans="1:2" x14ac:dyDescent="0.3">
      <c r="A18" s="30">
        <v>25</v>
      </c>
      <c r="B18" s="31" t="s">
        <v>4</v>
      </c>
    </row>
    <row r="19" spans="1:2" x14ac:dyDescent="0.3">
      <c r="A19" s="30">
        <v>26</v>
      </c>
      <c r="B19" s="31" t="s">
        <v>4</v>
      </c>
    </row>
    <row r="20" spans="1:2" x14ac:dyDescent="0.3">
      <c r="A20" s="30">
        <v>27</v>
      </c>
      <c r="B20" s="31" t="s">
        <v>4</v>
      </c>
    </row>
    <row r="21" spans="1:2" x14ac:dyDescent="0.3">
      <c r="A21" s="30">
        <v>28</v>
      </c>
      <c r="B21" s="31" t="s">
        <v>4</v>
      </c>
    </row>
    <row r="22" spans="1:2" x14ac:dyDescent="0.3">
      <c r="A22" s="30">
        <v>29</v>
      </c>
      <c r="B22" s="31" t="s">
        <v>4</v>
      </c>
    </row>
    <row r="23" spans="1:2" x14ac:dyDescent="0.3">
      <c r="A23" s="30">
        <v>30</v>
      </c>
      <c r="B23" s="31" t="s">
        <v>5</v>
      </c>
    </row>
    <row r="24" spans="1:2" x14ac:dyDescent="0.3">
      <c r="A24" s="30">
        <v>31</v>
      </c>
      <c r="B24" s="31" t="s">
        <v>5</v>
      </c>
    </row>
    <row r="25" spans="1:2" x14ac:dyDescent="0.3">
      <c r="A25" s="30">
        <v>32</v>
      </c>
      <c r="B25" s="31" t="s">
        <v>5</v>
      </c>
    </row>
    <row r="26" spans="1:2" x14ac:dyDescent="0.3">
      <c r="A26" s="30">
        <v>33</v>
      </c>
      <c r="B26" s="31" t="s">
        <v>5</v>
      </c>
    </row>
    <row r="27" spans="1:2" x14ac:dyDescent="0.3">
      <c r="A27" s="30">
        <v>34</v>
      </c>
      <c r="B27" s="31" t="s">
        <v>5</v>
      </c>
    </row>
    <row r="28" spans="1:2" x14ac:dyDescent="0.3">
      <c r="A28" s="30">
        <v>35</v>
      </c>
      <c r="B28" s="31" t="s">
        <v>5</v>
      </c>
    </row>
    <row r="29" spans="1:2" x14ac:dyDescent="0.3">
      <c r="A29" s="30">
        <v>36</v>
      </c>
      <c r="B29" s="31" t="s">
        <v>5</v>
      </c>
    </row>
    <row r="30" spans="1:2" x14ac:dyDescent="0.3">
      <c r="A30" s="30">
        <v>37</v>
      </c>
      <c r="B30" s="31" t="s">
        <v>5</v>
      </c>
    </row>
    <row r="31" spans="1:2" x14ac:dyDescent="0.3">
      <c r="A31" s="30">
        <v>38</v>
      </c>
      <c r="B31" s="31" t="s">
        <v>5</v>
      </c>
    </row>
    <row r="32" spans="1:2" x14ac:dyDescent="0.3">
      <c r="A32" s="30">
        <v>39</v>
      </c>
      <c r="B32" s="31" t="s">
        <v>5</v>
      </c>
    </row>
    <row r="33" spans="1:2" x14ac:dyDescent="0.3">
      <c r="A33" s="30">
        <v>40</v>
      </c>
      <c r="B33" s="31" t="s">
        <v>6</v>
      </c>
    </row>
    <row r="34" spans="1:2" x14ac:dyDescent="0.3">
      <c r="A34" s="30">
        <v>41</v>
      </c>
      <c r="B34" s="31" t="s">
        <v>6</v>
      </c>
    </row>
    <row r="35" spans="1:2" x14ac:dyDescent="0.3">
      <c r="A35" s="30">
        <v>42</v>
      </c>
      <c r="B35" s="31" t="s">
        <v>6</v>
      </c>
    </row>
    <row r="36" spans="1:2" x14ac:dyDescent="0.3">
      <c r="A36" s="30">
        <v>43</v>
      </c>
      <c r="B36" s="31" t="s">
        <v>6</v>
      </c>
    </row>
    <row r="37" spans="1:2" x14ac:dyDescent="0.3">
      <c r="A37" s="30">
        <v>44</v>
      </c>
      <c r="B37" s="31" t="s">
        <v>6</v>
      </c>
    </row>
    <row r="38" spans="1:2" x14ac:dyDescent="0.3">
      <c r="A38" s="30">
        <v>45</v>
      </c>
      <c r="B38" s="31" t="s">
        <v>6</v>
      </c>
    </row>
    <row r="39" spans="1:2" x14ac:dyDescent="0.3">
      <c r="A39" s="30">
        <v>46</v>
      </c>
      <c r="B39" s="31" t="s">
        <v>6</v>
      </c>
    </row>
    <row r="40" spans="1:2" x14ac:dyDescent="0.3">
      <c r="A40" s="30">
        <v>47</v>
      </c>
      <c r="B40" s="31" t="s">
        <v>6</v>
      </c>
    </row>
    <row r="41" spans="1:2" x14ac:dyDescent="0.3">
      <c r="A41" s="30">
        <v>48</v>
      </c>
      <c r="B41" s="31" t="s">
        <v>6</v>
      </c>
    </row>
    <row r="42" spans="1:2" x14ac:dyDescent="0.3">
      <c r="A42" s="30">
        <v>49</v>
      </c>
      <c r="B42" s="31" t="s">
        <v>6</v>
      </c>
    </row>
    <row r="43" spans="1:2" x14ac:dyDescent="0.3">
      <c r="A43" s="30">
        <v>50</v>
      </c>
      <c r="B43" s="31" t="s">
        <v>7</v>
      </c>
    </row>
    <row r="44" spans="1:2" x14ac:dyDescent="0.3">
      <c r="A44" s="30">
        <v>51</v>
      </c>
      <c r="B44" s="31" t="s">
        <v>7</v>
      </c>
    </row>
    <row r="45" spans="1:2" x14ac:dyDescent="0.3">
      <c r="A45" s="30">
        <v>52</v>
      </c>
      <c r="B45" s="31" t="s">
        <v>7</v>
      </c>
    </row>
    <row r="46" spans="1:2" x14ac:dyDescent="0.3">
      <c r="A46" s="30">
        <v>53</v>
      </c>
      <c r="B46" s="31" t="s">
        <v>7</v>
      </c>
    </row>
    <row r="47" spans="1:2" x14ac:dyDescent="0.3">
      <c r="A47" s="30">
        <v>54</v>
      </c>
      <c r="B47" s="31" t="s">
        <v>7</v>
      </c>
    </row>
    <row r="48" spans="1:2" x14ac:dyDescent="0.3">
      <c r="A48" s="30">
        <v>55</v>
      </c>
      <c r="B48" s="31" t="s">
        <v>7</v>
      </c>
    </row>
    <row r="49" spans="1:2" x14ac:dyDescent="0.3">
      <c r="A49" s="30">
        <v>56</v>
      </c>
      <c r="B49" s="31" t="s">
        <v>7</v>
      </c>
    </row>
    <row r="50" spans="1:2" x14ac:dyDescent="0.3">
      <c r="A50" s="30">
        <v>57</v>
      </c>
      <c r="B50" s="31" t="s">
        <v>7</v>
      </c>
    </row>
    <row r="51" spans="1:2" x14ac:dyDescent="0.3">
      <c r="A51" s="30">
        <v>58</v>
      </c>
      <c r="B51" s="31" t="s">
        <v>7</v>
      </c>
    </row>
    <row r="52" spans="1:2" x14ac:dyDescent="0.3">
      <c r="A52" s="30">
        <v>59</v>
      </c>
      <c r="B52" s="31" t="s">
        <v>7</v>
      </c>
    </row>
    <row r="53" spans="1:2" x14ac:dyDescent="0.3">
      <c r="A53" s="30">
        <v>60</v>
      </c>
      <c r="B53" s="31" t="s">
        <v>8</v>
      </c>
    </row>
    <row r="54" spans="1:2" x14ac:dyDescent="0.3">
      <c r="A54" s="30">
        <v>61</v>
      </c>
      <c r="B54" s="31" t="s">
        <v>8</v>
      </c>
    </row>
    <row r="55" spans="1:2" x14ac:dyDescent="0.3">
      <c r="A55" s="30">
        <v>62</v>
      </c>
      <c r="B55" s="31" t="s">
        <v>8</v>
      </c>
    </row>
    <row r="56" spans="1:2" x14ac:dyDescent="0.3">
      <c r="A56" s="30">
        <v>63</v>
      </c>
      <c r="B56" s="31" t="s">
        <v>8</v>
      </c>
    </row>
    <row r="57" spans="1:2" x14ac:dyDescent="0.3">
      <c r="A57" s="30">
        <v>64</v>
      </c>
      <c r="B57" s="31" t="s">
        <v>8</v>
      </c>
    </row>
    <row r="58" spans="1:2" x14ac:dyDescent="0.3">
      <c r="A58" s="30">
        <v>65</v>
      </c>
      <c r="B58" s="31" t="s">
        <v>8</v>
      </c>
    </row>
    <row r="59" spans="1:2" x14ac:dyDescent="0.3">
      <c r="A59" s="30">
        <v>66</v>
      </c>
      <c r="B59" s="31" t="s">
        <v>8</v>
      </c>
    </row>
    <row r="60" spans="1:2" x14ac:dyDescent="0.3">
      <c r="A60" s="30">
        <v>67</v>
      </c>
      <c r="B60" s="31" t="s">
        <v>8</v>
      </c>
    </row>
    <row r="61" spans="1:2" x14ac:dyDescent="0.3">
      <c r="A61" s="30">
        <v>68</v>
      </c>
      <c r="B61" s="31" t="s">
        <v>8</v>
      </c>
    </row>
    <row r="62" spans="1:2" x14ac:dyDescent="0.3">
      <c r="A62" s="32">
        <v>69</v>
      </c>
      <c r="B62" s="33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M32"/>
  <sheetViews>
    <sheetView zoomScaleNormal="100" workbookViewId="0">
      <selection activeCell="B32" sqref="B32"/>
    </sheetView>
  </sheetViews>
  <sheetFormatPr defaultColWidth="9.140625" defaultRowHeight="16.5" x14ac:dyDescent="0.3"/>
  <cols>
    <col min="1" max="1" width="15" style="17" customWidth="1"/>
    <col min="2" max="2" width="7" style="17" customWidth="1"/>
    <col min="3" max="3" width="10.28515625" bestFit="1" customWidth="1"/>
    <col min="4" max="4" width="15.5703125" style="17" bestFit="1" customWidth="1"/>
    <col min="5" max="5" width="10" style="17" customWidth="1"/>
    <col min="6" max="16384" width="9.140625" style="16"/>
  </cols>
  <sheetData>
    <row r="1" spans="1:13" x14ac:dyDescent="0.3">
      <c r="A1" s="19" t="s">
        <v>21</v>
      </c>
      <c r="B1" s="19" t="s">
        <v>1</v>
      </c>
      <c r="C1" s="19" t="s">
        <v>23</v>
      </c>
      <c r="D1" s="19" t="s">
        <v>22</v>
      </c>
      <c r="E1" s="26"/>
      <c r="F1" s="26"/>
      <c r="G1" s="26"/>
      <c r="H1" s="26"/>
      <c r="I1" s="26"/>
      <c r="J1" s="26"/>
      <c r="K1" s="26"/>
      <c r="L1" s="26"/>
      <c r="M1" s="26"/>
    </row>
    <row r="2" spans="1:13" x14ac:dyDescent="0.3">
      <c r="A2" s="19">
        <v>1</v>
      </c>
      <c r="B2" s="19">
        <v>28</v>
      </c>
      <c r="C2" s="19" t="str">
        <f t="shared" ref="C2:C13" si="0">VLOOKUP(B2,Age_Decade,2,FALSE)</f>
        <v>20s</v>
      </c>
      <c r="D2" s="23">
        <f>IF(Inputs!$B$2="Male",(HLOOKUP(C2,Probably,2,FALSE)*(Tables!$J$2*12)),(HLOOKUP(C2,Probably,3,FALSE)*(Tables!$J$3*12))) * IF(Inputs!$B$3="Unhealthy",1.5,1)</f>
        <v>44.28</v>
      </c>
      <c r="E2" s="26"/>
      <c r="F2" s="26" t="s">
        <v>26</v>
      </c>
      <c r="G2" s="27" t="s">
        <v>25</v>
      </c>
      <c r="H2" s="26"/>
      <c r="I2" s="26"/>
      <c r="J2" s="26"/>
      <c r="K2" s="26"/>
      <c r="L2" s="26"/>
      <c r="M2" s="26"/>
    </row>
    <row r="3" spans="1:13" x14ac:dyDescent="0.3">
      <c r="A3" s="19">
        <f>A2+1</f>
        <v>2</v>
      </c>
      <c r="B3" s="19">
        <f>B2+1</f>
        <v>29</v>
      </c>
      <c r="C3" s="19" t="str">
        <f t="shared" si="0"/>
        <v>20s</v>
      </c>
      <c r="D3" s="39">
        <f>IF(Inputs!$B$2="Male",(HLOOKUP(C3,Probably,2,FALSE)*(Tables!$J$2*12)),(HLOOKUP(C3,Probably,3,FALSE)*(Tables!$J$3*12))) * IF(Inputs!$B$3="Unhealthy",1.5,1)</f>
        <v>44.28</v>
      </c>
      <c r="E3" s="26"/>
      <c r="F3" s="26" t="s">
        <v>27</v>
      </c>
      <c r="G3" s="27" t="s">
        <v>29</v>
      </c>
      <c r="H3" s="26"/>
      <c r="I3" s="26"/>
      <c r="J3" s="26"/>
      <c r="K3" s="26"/>
      <c r="L3" s="26"/>
      <c r="M3" s="26"/>
    </row>
    <row r="4" spans="1:13" x14ac:dyDescent="0.3">
      <c r="A4" s="19">
        <f t="shared" ref="A4:A17" si="1">A3+1</f>
        <v>3</v>
      </c>
      <c r="B4" s="19">
        <f t="shared" ref="B4:B17" si="2">B3+1</f>
        <v>30</v>
      </c>
      <c r="C4" s="19" t="str">
        <f t="shared" si="0"/>
        <v>30s</v>
      </c>
      <c r="D4" s="39">
        <f>IF(Inputs!$B$2="Male",(HLOOKUP(C4,Probably,2,FALSE)*(Tables!$J$2*12)),(HLOOKUP(C4,Probably,3,FALSE)*(Tables!$J$3*12))) * IF(Inputs!$B$3="Unhealthy",1.5,1)</f>
        <v>66.42</v>
      </c>
      <c r="E4" s="26"/>
      <c r="F4" s="26"/>
      <c r="G4" s="26"/>
      <c r="H4" s="26"/>
      <c r="I4" s="26"/>
      <c r="J4" s="26"/>
      <c r="K4" s="26"/>
      <c r="L4" s="26"/>
      <c r="M4" s="26"/>
    </row>
    <row r="5" spans="1:13" x14ac:dyDescent="0.3">
      <c r="A5" s="19">
        <f t="shared" si="1"/>
        <v>4</v>
      </c>
      <c r="B5" s="19">
        <f t="shared" si="2"/>
        <v>31</v>
      </c>
      <c r="C5" s="19" t="str">
        <f t="shared" si="0"/>
        <v>30s</v>
      </c>
      <c r="D5" s="39">
        <f>IF(Inputs!$B$2="Male",(HLOOKUP(C5,Probably,2,FALSE)*(Tables!$J$2*12)),(HLOOKUP(C5,Probably,3,FALSE)*(Tables!$J$3*12))) * IF(Inputs!$B$3="Unhealthy",1.5,1)</f>
        <v>66.42</v>
      </c>
      <c r="E5" s="26"/>
      <c r="F5" s="26"/>
      <c r="G5" s="26"/>
      <c r="H5" s="26"/>
      <c r="I5" s="26"/>
      <c r="J5" s="26"/>
      <c r="K5" s="26"/>
      <c r="L5" s="26"/>
      <c r="M5" s="26"/>
    </row>
    <row r="6" spans="1:13" x14ac:dyDescent="0.3">
      <c r="A6" s="19">
        <f t="shared" si="1"/>
        <v>5</v>
      </c>
      <c r="B6" s="19">
        <f t="shared" si="2"/>
        <v>32</v>
      </c>
      <c r="C6" s="19" t="str">
        <f t="shared" si="0"/>
        <v>30s</v>
      </c>
      <c r="D6" s="39">
        <f>IF(Inputs!$B$2="Male",(HLOOKUP(C6,Probably,2,FALSE)*(Tables!$J$2*12)),(HLOOKUP(C6,Probably,3,FALSE)*(Tables!$J$3*12))) * IF(Inputs!$B$3="Unhealthy",1.5,1)</f>
        <v>66.42</v>
      </c>
      <c r="E6" s="26"/>
      <c r="F6" s="26"/>
      <c r="G6" s="26"/>
      <c r="H6" s="26"/>
      <c r="I6" s="26"/>
      <c r="J6" s="26"/>
      <c r="K6" s="26"/>
      <c r="L6" s="26"/>
      <c r="M6" s="26"/>
    </row>
    <row r="7" spans="1:13" x14ac:dyDescent="0.3">
      <c r="A7" s="19">
        <f t="shared" si="1"/>
        <v>6</v>
      </c>
      <c r="B7" s="19">
        <f t="shared" si="2"/>
        <v>33</v>
      </c>
      <c r="C7" s="19" t="str">
        <f t="shared" si="0"/>
        <v>30s</v>
      </c>
      <c r="D7" s="39">
        <f>IF(Inputs!$B$2="Male",(HLOOKUP(C7,Probably,2,FALSE)*(Tables!$J$2*12)),(HLOOKUP(C7,Probably,3,FALSE)*(Tables!$J$3*12))) * IF(Inputs!$B$3="Unhealthy",1.5,1)</f>
        <v>66.42</v>
      </c>
      <c r="E7" s="26"/>
      <c r="F7" s="26"/>
      <c r="G7" s="26"/>
      <c r="H7" s="26"/>
      <c r="I7" s="26"/>
      <c r="J7" s="26"/>
      <c r="K7" s="26"/>
      <c r="L7" s="26"/>
      <c r="M7" s="26"/>
    </row>
    <row r="8" spans="1:13" x14ac:dyDescent="0.3">
      <c r="A8" s="19">
        <f t="shared" si="1"/>
        <v>7</v>
      </c>
      <c r="B8" s="19">
        <f t="shared" si="2"/>
        <v>34</v>
      </c>
      <c r="C8" s="19" t="str">
        <f t="shared" si="0"/>
        <v>30s</v>
      </c>
      <c r="D8" s="39">
        <f>IF(Inputs!$B$2="Male",(HLOOKUP(C8,Probably,2,FALSE)*(Tables!$J$2*12)),(HLOOKUP(C8,Probably,3,FALSE)*(Tables!$J$3*12))) * IF(Inputs!$B$3="Unhealthy",1.5,1)</f>
        <v>66.42</v>
      </c>
      <c r="E8" s="26"/>
      <c r="F8" s="26"/>
      <c r="G8" s="26"/>
      <c r="H8" s="26"/>
      <c r="I8" s="26"/>
      <c r="J8" s="26"/>
      <c r="K8" s="26"/>
      <c r="L8" s="26"/>
      <c r="M8" s="26"/>
    </row>
    <row r="9" spans="1:13" x14ac:dyDescent="0.3">
      <c r="A9" s="19">
        <f t="shared" si="1"/>
        <v>8</v>
      </c>
      <c r="B9" s="19">
        <f t="shared" si="2"/>
        <v>35</v>
      </c>
      <c r="C9" s="19" t="str">
        <f t="shared" si="0"/>
        <v>30s</v>
      </c>
      <c r="D9" s="39">
        <f>IF(Inputs!$B$2="Male",(HLOOKUP(C9,Probably,2,FALSE)*(Tables!$J$2*12)),(HLOOKUP(C9,Probably,3,FALSE)*(Tables!$J$3*12))) * IF(Inputs!$B$3="Unhealthy",1.5,1)</f>
        <v>66.42</v>
      </c>
      <c r="E9" s="26"/>
      <c r="F9" s="26"/>
      <c r="G9" s="26"/>
      <c r="H9" s="26"/>
      <c r="I9" s="26"/>
      <c r="J9" s="26"/>
      <c r="K9" s="26"/>
      <c r="L9" s="26"/>
      <c r="M9" s="26"/>
    </row>
    <row r="10" spans="1:13" x14ac:dyDescent="0.3">
      <c r="A10" s="19">
        <f t="shared" si="1"/>
        <v>9</v>
      </c>
      <c r="B10" s="19">
        <f t="shared" si="2"/>
        <v>36</v>
      </c>
      <c r="C10" s="19" t="str">
        <f t="shared" si="0"/>
        <v>30s</v>
      </c>
      <c r="D10" s="39">
        <f>IF(Inputs!$B$2="Male",(HLOOKUP(C10,Probably,2,FALSE)*(Tables!$J$2*12)),(HLOOKUP(C10,Probably,3,FALSE)*(Tables!$J$3*12))) * IF(Inputs!$B$3="Unhealthy",1.5,1)</f>
        <v>66.42</v>
      </c>
      <c r="E10" s="26"/>
      <c r="F10" s="26"/>
      <c r="G10" s="26"/>
      <c r="H10" s="26"/>
      <c r="I10" s="26"/>
      <c r="J10" s="26"/>
      <c r="K10" s="26"/>
      <c r="L10" s="26"/>
      <c r="M10" s="26"/>
    </row>
    <row r="11" spans="1:13" x14ac:dyDescent="0.3">
      <c r="A11" s="19">
        <f t="shared" si="1"/>
        <v>10</v>
      </c>
      <c r="B11" s="19">
        <f t="shared" si="2"/>
        <v>37</v>
      </c>
      <c r="C11" s="19" t="str">
        <f t="shared" si="0"/>
        <v>30s</v>
      </c>
      <c r="D11" s="39">
        <f>IF(Inputs!$B$2="Male",(HLOOKUP(C11,Probably,2,FALSE)*(Tables!$J$2*12)),(HLOOKUP(C11,Probably,3,FALSE)*(Tables!$J$3*12))) * IF(Inputs!$B$3="Unhealthy",1.5,1)</f>
        <v>66.42</v>
      </c>
      <c r="E11" s="26"/>
      <c r="H11" s="26"/>
      <c r="I11" s="26"/>
      <c r="J11" s="26"/>
      <c r="K11" s="26"/>
      <c r="L11" s="26"/>
      <c r="M11" s="26"/>
    </row>
    <row r="12" spans="1:13" x14ac:dyDescent="0.3">
      <c r="A12" s="19">
        <f t="shared" si="1"/>
        <v>11</v>
      </c>
      <c r="B12" s="19">
        <f t="shared" si="2"/>
        <v>38</v>
      </c>
      <c r="C12" s="19" t="str">
        <f t="shared" si="0"/>
        <v>30s</v>
      </c>
      <c r="D12" s="39">
        <f>IF(Inputs!$B$2="Male",(HLOOKUP(C12,Probably,2,FALSE)*(Tables!$J$2*12)),(HLOOKUP(C12,Probably,3,FALSE)*(Tables!$J$3*12))) * IF(Inputs!$B$3="Unhealthy",1.5,1)</f>
        <v>66.42</v>
      </c>
      <c r="E12" s="26"/>
      <c r="H12" s="26"/>
      <c r="I12" s="26"/>
      <c r="J12" s="26"/>
      <c r="K12" s="26"/>
      <c r="L12" s="26"/>
      <c r="M12" s="26"/>
    </row>
    <row r="13" spans="1:13" x14ac:dyDescent="0.3">
      <c r="A13" s="19">
        <f t="shared" si="1"/>
        <v>12</v>
      </c>
      <c r="B13" s="19">
        <f t="shared" si="2"/>
        <v>39</v>
      </c>
      <c r="C13" s="19" t="str">
        <f t="shared" si="0"/>
        <v>30s</v>
      </c>
      <c r="D13" s="39">
        <f>IF(Inputs!$B$2="Male",(HLOOKUP(C13,Probably,2,FALSE)*(Tables!$J$2*12)),(HLOOKUP(C13,Probably,3,FALSE)*(Tables!$J$3*12))) * IF(Inputs!$B$3="Unhealthy",1.5,1)</f>
        <v>66.42</v>
      </c>
      <c r="E13" s="26"/>
      <c r="F13" s="26"/>
      <c r="G13" s="26"/>
      <c r="H13" s="26"/>
      <c r="I13" s="26"/>
      <c r="J13" s="26"/>
      <c r="K13" s="26"/>
      <c r="L13" s="26"/>
      <c r="M13" s="26"/>
    </row>
    <row r="14" spans="1:13" x14ac:dyDescent="0.3">
      <c r="A14" s="19">
        <f t="shared" si="1"/>
        <v>13</v>
      </c>
      <c r="B14" s="19">
        <f t="shared" si="2"/>
        <v>40</v>
      </c>
      <c r="C14" s="19" t="str">
        <f t="shared" ref="C14:C16" si="3">VLOOKUP(B14,Age_Decade,2,FALSE)</f>
        <v>40s</v>
      </c>
      <c r="D14" s="39">
        <f>IF(Inputs!$B$2="Male",(HLOOKUP(C14,Probably,2,FALSE)*(Tables!$J$2*12)),(HLOOKUP(C14,Probably,3,FALSE)*(Tables!$J$3*12))) * IF(Inputs!$B$3="Unhealthy",1.5,1)</f>
        <v>132.84</v>
      </c>
      <c r="E14" s="20"/>
    </row>
    <row r="15" spans="1:13" x14ac:dyDescent="0.3">
      <c r="A15" s="19">
        <f t="shared" si="1"/>
        <v>14</v>
      </c>
      <c r="B15" s="19">
        <f t="shared" si="2"/>
        <v>41</v>
      </c>
      <c r="C15" s="19" t="str">
        <f t="shared" si="3"/>
        <v>40s</v>
      </c>
      <c r="D15" s="39">
        <f>IF(Inputs!$B$2="Male",(HLOOKUP(C15,Probably,2,FALSE)*(Tables!$J$2*12)),(HLOOKUP(C15,Probably,3,FALSE)*(Tables!$J$3*12))) * IF(Inputs!$B$3="Unhealthy",1.5,1)</f>
        <v>132.84</v>
      </c>
      <c r="E15" s="20"/>
    </row>
    <row r="16" spans="1:13" x14ac:dyDescent="0.3">
      <c r="A16" s="19">
        <f t="shared" si="1"/>
        <v>15</v>
      </c>
      <c r="B16" s="19">
        <f t="shared" si="2"/>
        <v>42</v>
      </c>
      <c r="C16" s="19" t="str">
        <f t="shared" si="3"/>
        <v>40s</v>
      </c>
      <c r="D16" s="39">
        <f>IF(Inputs!$B$2="Male",(HLOOKUP(C16,Probably,2,FALSE)*(Tables!$J$2*12)),(HLOOKUP(C16,Probably,3,FALSE)*(Tables!$J$3*12))) * IF(Inputs!$B$3="Unhealthy",1.5,1)</f>
        <v>132.84</v>
      </c>
      <c r="E16" s="20"/>
    </row>
    <row r="17" spans="1:5" x14ac:dyDescent="0.3">
      <c r="A17" s="19">
        <f t="shared" si="1"/>
        <v>16</v>
      </c>
      <c r="B17" s="19">
        <f t="shared" si="2"/>
        <v>43</v>
      </c>
      <c r="C17" s="19" t="str">
        <f t="shared" ref="C17" si="4">VLOOKUP(B17,Age_Decade,2,FALSE)</f>
        <v>40s</v>
      </c>
      <c r="D17" s="39">
        <f>IF(Inputs!$B$2="Male",(HLOOKUP(C17,Probably,2,FALSE)*(Tables!$J$2*12)),(HLOOKUP(C17,Probably,3,FALSE)*(Tables!$J$3*12))) * IF(Inputs!$B$3="Unhealthy",1.5,1)</f>
        <v>132.84</v>
      </c>
      <c r="E17" s="20"/>
    </row>
    <row r="18" spans="1:5" x14ac:dyDescent="0.3">
      <c r="A18" s="18"/>
      <c r="B18" s="18"/>
      <c r="D18" s="18"/>
      <c r="E18" s="20"/>
    </row>
    <row r="19" spans="1:5" x14ac:dyDescent="0.3">
      <c r="C19" s="27" t="s">
        <v>25</v>
      </c>
      <c r="D19" s="27" t="s">
        <v>29</v>
      </c>
      <c r="E19" s="21"/>
    </row>
    <row r="20" spans="1:5" x14ac:dyDescent="0.3">
      <c r="E20" s="21"/>
    </row>
    <row r="21" spans="1:5" x14ac:dyDescent="0.3">
      <c r="E21" s="21"/>
    </row>
    <row r="25" spans="1:5" customFormat="1" x14ac:dyDescent="0.3">
      <c r="A25" s="6" t="s">
        <v>30</v>
      </c>
      <c r="B25" s="6" t="s">
        <v>31</v>
      </c>
    </row>
    <row r="26" spans="1:5" customFormat="1" x14ac:dyDescent="0.3">
      <c r="A26" s="6" t="s">
        <v>30</v>
      </c>
      <c r="B26" s="6" t="s">
        <v>32</v>
      </c>
    </row>
    <row r="27" spans="1:5" customFormat="1" x14ac:dyDescent="0.3">
      <c r="A27" s="6" t="s">
        <v>33</v>
      </c>
    </row>
    <row r="28" spans="1:5" customFormat="1" x14ac:dyDescent="0.3">
      <c r="A28" s="6" t="s">
        <v>35</v>
      </c>
    </row>
    <row r="29" spans="1:5" customFormat="1" x14ac:dyDescent="0.3">
      <c r="A29" s="6" t="s">
        <v>34</v>
      </c>
      <c r="B29" s="22"/>
    </row>
    <row r="30" spans="1:5" customFormat="1" ht="15" x14ac:dyDescent="0.25">
      <c r="B30" s="22"/>
    </row>
    <row r="31" spans="1:5" x14ac:dyDescent="0.3">
      <c r="A31" s="42" t="s">
        <v>36</v>
      </c>
    </row>
    <row r="32" spans="1:5" x14ac:dyDescent="0.3">
      <c r="A32" s="17" t="s">
        <v>37</v>
      </c>
      <c r="B32" s="17">
        <f>6.4*D2</f>
        <v>283.392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2021-05-15T07:47:59Z</dcterms:modified>
</cp:coreProperties>
</file>